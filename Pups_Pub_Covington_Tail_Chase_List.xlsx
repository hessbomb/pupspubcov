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ail Chase List" sheetId="2" state="visible" r:id="rId2"/>
    <sheet xmlns:r="http://schemas.openxmlformats.org/officeDocument/2006/relationships" name="Scoring Method" sheetId="3" state="visible" r:id="rId3"/>
    <sheet xmlns:r="http://schemas.openxmlformats.org/officeDocument/2006/relationships" name="Data Gaps" sheetId="4" state="visible" r:id="rId4"/>
    <sheet xmlns:r="http://schemas.openxmlformats.org/officeDocument/2006/relationships" name="Excluded - Government" sheetId="5" state="visible" r:id="rId5"/>
  </sheets>
  <definedNames>
    <definedName name="_xlnm._FilterDatabase" localSheetId="1" hidden="1">'Tail Chase List'!$A$1:$BG$338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00"/>
  </numFmts>
  <fonts count="3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5A63C"/>
      <sz val="9"/>
    </font>
    <font>
      <name val="Arial"/>
      <charset val="1"/>
      <family val="0"/>
      <color rgb="FFC9D2E4"/>
      <sz val="9"/>
    </font>
    <font>
      <name val="Arial"/>
      <charset val="1"/>
      <family val="0"/>
      <b val="1"/>
      <color rgb="FFFFFFFF"/>
      <sz val="26"/>
    </font>
    <font>
      <name val="Arial"/>
      <charset val="1"/>
      <family val="0"/>
      <color rgb="FFC9D2E4"/>
      <sz val="10"/>
    </font>
    <font>
      <name val="Arial"/>
      <charset val="1"/>
      <family val="0"/>
      <b val="1"/>
      <color rgb="FF0D1A38"/>
      <sz val="12"/>
    </font>
    <font>
      <name val="Arial"/>
      <charset val="1"/>
      <family val="0"/>
      <b val="1"/>
      <color rgb="FF0D1A38"/>
      <sz val="20"/>
    </font>
    <font>
      <name val="Arial"/>
      <charset val="1"/>
      <family val="0"/>
      <b val="1"/>
      <color rgb="FFF5A63C"/>
      <sz val="20"/>
    </font>
    <font>
      <name val="Arial"/>
      <charset val="1"/>
      <family val="0"/>
      <color rgb="FF8494B4"/>
      <sz val="9"/>
    </font>
    <font>
      <name val="Arial"/>
      <charset val="1"/>
      <family val="0"/>
      <i val="1"/>
      <color rgb="FF8494B4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sz val="9.5"/>
    </font>
    <font>
      <name val="Arial"/>
      <charset val="1"/>
      <family val="0"/>
      <sz val="9.5"/>
    </font>
    <font>
      <name val="Arial"/>
      <charset val="1"/>
      <family val="0"/>
      <b val="1"/>
      <color rgb="FF7A4A10"/>
      <sz val="11"/>
    </font>
    <font>
      <name val="Arial"/>
      <charset val="1"/>
      <family val="0"/>
      <b val="1"/>
      <color rgb="FFC24A26"/>
      <sz val="9"/>
    </font>
    <font>
      <name val="Arial"/>
      <charset val="1"/>
      <family val="0"/>
      <b val="1"/>
      <color rgb="FF0D1A38"/>
      <sz val="10.5"/>
    </font>
    <font>
      <name val="Arial"/>
      <charset val="1"/>
      <family val="0"/>
      <color rgb="FF404A5E"/>
      <sz val="9.5"/>
    </font>
    <font>
      <name val="Arial"/>
      <charset val="1"/>
      <family val="0"/>
      <color rgb="FF6B3A22"/>
      <sz val="9.5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D1A38"/>
      <sz val="16"/>
    </font>
    <font>
      <name val="Arial"/>
      <charset val="1"/>
      <family val="0"/>
      <i val="1"/>
      <color rgb="FF8494B4"/>
      <sz val="9.5"/>
    </font>
    <font>
      <name val="Arial"/>
      <charset val="1"/>
      <family val="0"/>
      <b val="1"/>
      <color rgb="FFF5A63C"/>
      <sz val="10.5"/>
    </font>
    <font>
      <name val="Arial"/>
      <charset val="1"/>
      <family val="0"/>
      <color rgb="FF0000FF"/>
      <sz val="10"/>
    </font>
    <font>
      <name val="Arial"/>
      <charset val="1"/>
      <family val="0"/>
      <i val="1"/>
      <sz val="10"/>
    </font>
    <font>
      <name val="Arial"/>
      <charset val="1"/>
      <family val="0"/>
      <b val="1"/>
      <sz val="12"/>
    </font>
    <font>
      <name val="Arial"/>
      <charset val="1"/>
      <family val="0"/>
      <i val="1"/>
      <sz val="9"/>
    </font>
    <font>
      <name val="Arial"/>
      <charset val="1"/>
      <family val="0"/>
      <b val="1"/>
      <sz val="14"/>
    </font>
    <font>
      <b val="1"/>
    </font>
  </fonts>
  <fills count="13">
    <fill>
      <patternFill/>
    </fill>
    <fill>
      <patternFill patternType="gray125"/>
    </fill>
    <fill>
      <patternFill patternType="solid">
        <fgColor rgb="FF0D1A38"/>
        <bgColor rgb="FF122148"/>
      </patternFill>
    </fill>
    <fill>
      <patternFill patternType="solid">
        <fgColor rgb="FF122148"/>
        <bgColor rgb="FF0D1A38"/>
      </patternFill>
    </fill>
    <fill>
      <patternFill patternType="solid">
        <fgColor rgb="FFFDEBD0"/>
        <bgColor rgb="FFFCE4D6"/>
      </patternFill>
    </fill>
    <fill>
      <patternFill patternType="solid">
        <fgColor rgb="FFFBFAF7"/>
        <bgColor rgb="FFFFFFFF"/>
      </patternFill>
    </fill>
    <fill>
      <patternFill patternType="solid">
        <fgColor rgb="FFFDF3EA"/>
        <bgColor rgb="FFFBFAF7"/>
      </patternFill>
    </fill>
    <fill>
      <patternFill patternType="solid">
        <fgColor rgb="FF1F3864"/>
        <bgColor rgb="FF1E3163"/>
      </patternFill>
    </fill>
    <fill>
      <patternFill patternType="solid">
        <fgColor rgb="FFD9D9D9"/>
        <bgColor rgb="FFD6D1C4"/>
      </patternFill>
    </fill>
    <fill>
      <patternFill patternType="solid">
        <fgColor rgb="FFFCE4D6"/>
        <bgColor rgb="FFFDEBD0"/>
      </patternFill>
    </fill>
    <fill>
      <patternFill patternType="solid">
        <fgColor rgb="FFFFE699"/>
        <bgColor rgb="FFFDEBD0"/>
      </patternFill>
    </fill>
    <fill>
      <patternFill patternType="solid">
        <fgColor rgb="FFFFC7CE"/>
        <bgColor rgb="FFFCE4D6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5A63C"/>
      </bottom>
      <diagonal/>
    </border>
    <border>
      <left/>
      <right/>
      <top/>
      <bottom style="thin">
        <color rgb="FFD6D1C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4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right" vertical="bottom"/>
    </xf>
    <xf numFmtId="0" fontId="6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right" vertical="bottom"/>
    </xf>
    <xf numFmtId="0" fontId="13" fillId="3" borderId="0" applyAlignment="1" pivotButton="0" quotePrefix="0" xfId="0">
      <alignment horizontal="center" vertical="bottom" wrapText="1"/>
    </xf>
    <xf numFmtId="0" fontId="14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right" vertical="bottom"/>
    </xf>
    <xf numFmtId="3" fontId="15" fillId="0" borderId="2" applyAlignment="1" pivotButton="0" quotePrefix="0" xfId="0">
      <alignment horizontal="right" vertical="bottom"/>
    </xf>
    <xf numFmtId="0" fontId="16" fillId="4" borderId="2" applyAlignment="1" pivotButton="0" quotePrefix="0" xfId="0">
      <alignment horizontal="right" vertical="bottom"/>
    </xf>
    <xf numFmtId="0" fontId="14" fillId="5" borderId="2" applyAlignment="1" pivotButton="0" quotePrefix="0" xfId="0">
      <alignment horizontal="general" vertical="bottom"/>
    </xf>
    <xf numFmtId="0" fontId="15" fillId="5" borderId="2" applyAlignment="1" pivotButton="0" quotePrefix="0" xfId="0">
      <alignment horizontal="general" vertical="bottom"/>
    </xf>
    <xf numFmtId="0" fontId="15" fillId="5" borderId="2" applyAlignment="1" pivotButton="0" quotePrefix="0" xfId="0">
      <alignment horizontal="right" vertical="bottom"/>
    </xf>
    <xf numFmtId="3" fontId="15" fillId="5" borderId="2" applyAlignment="1" pivotButton="0" quotePrefix="0" xfId="0">
      <alignment horizontal="right" vertical="bottom"/>
    </xf>
    <xf numFmtId="0" fontId="17" fillId="0" borderId="2" applyAlignment="1" pivotButton="0" quotePrefix="0" xfId="0">
      <alignment horizontal="general" vertical="bottom"/>
    </xf>
    <xf numFmtId="0" fontId="17" fillId="5" borderId="2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top" wrapText="1"/>
    </xf>
    <xf numFmtId="0" fontId="20" fillId="6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1" fillId="7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general" vertical="bottom"/>
    </xf>
    <xf numFmtId="3" fontId="22" fillId="0" borderId="3" applyAlignment="1" pivotButton="0" quotePrefix="0" xfId="0">
      <alignment horizontal="general" vertical="bottom"/>
    </xf>
    <xf numFmtId="2" fontId="22" fillId="0" borderId="3" applyAlignment="1" pivotButton="0" quotePrefix="0" xfId="0">
      <alignment horizontal="general" vertical="bottom"/>
    </xf>
    <xf numFmtId="164" fontId="22" fillId="0" borderId="3" applyAlignment="1" pivotButton="0" quotePrefix="0" xfId="0">
      <alignment horizontal="general" vertical="bottom"/>
    </xf>
    <xf numFmtId="165" fontId="23" fillId="0" borderId="3" applyAlignment="1" pivotButton="0" quotePrefix="0" xfId="0">
      <alignment horizontal="general" vertical="bottom"/>
    </xf>
    <xf numFmtId="9" fontId="22" fillId="0" borderId="3" applyAlignment="1" pivotButton="0" quotePrefix="0" xfId="0">
      <alignment horizontal="general" vertical="bottom"/>
    </xf>
    <xf numFmtId="1" fontId="22" fillId="0" borderId="3" applyAlignment="1" pivotButton="0" quotePrefix="0" xfId="0">
      <alignment horizontal="general" vertical="bottom"/>
    </xf>
    <xf numFmtId="166" fontId="22" fillId="0" borderId="3" applyAlignment="1" pivotButton="0" quotePrefix="0" xfId="0">
      <alignment horizontal="general" vertical="bottom"/>
    </xf>
    <xf numFmtId="0" fontId="22" fillId="8" borderId="3" applyAlignment="1" pivotButton="0" quotePrefix="0" xfId="0">
      <alignment horizontal="general" vertical="bottom"/>
    </xf>
    <xf numFmtId="0" fontId="22" fillId="9" borderId="3" applyAlignment="1" pivotButton="0" quotePrefix="0" xfId="0">
      <alignment horizontal="general" vertical="bottom"/>
    </xf>
    <xf numFmtId="0" fontId="22" fillId="10" borderId="3" applyAlignment="1" pivotButton="0" quotePrefix="0" xfId="0">
      <alignment horizontal="general" vertical="bottom"/>
    </xf>
    <xf numFmtId="0" fontId="22" fillId="11" borderId="3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2" borderId="0" applyAlignment="1" pivotButton="0" quotePrefix="0" xfId="0">
      <alignment horizontal="general" vertical="bottom"/>
    </xf>
    <xf numFmtId="0" fontId="13" fillId="3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7" fillId="12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top" wrapText="1"/>
    </xf>
    <xf numFmtId="0" fontId="29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27" fillId="9" borderId="0" applyAlignment="1" pivotButton="0" quotePrefix="0" xfId="0">
      <alignment horizontal="general" vertical="bottom"/>
    </xf>
    <xf numFmtId="2" fontId="27" fillId="12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21" fillId="7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3" fontId="22" fillId="0" borderId="0" applyAlignment="1" pivotButton="0" quotePrefix="0" xfId="0">
      <alignment horizontal="general" vertical="bottom"/>
    </xf>
    <xf numFmtId="2" fontId="2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right" vertical="bottom"/>
    </xf>
    <xf numFmtId="0" fontId="6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right" vertical="bottom"/>
    </xf>
    <xf numFmtId="0" fontId="0" fillId="0" borderId="1" pivotButton="0" quotePrefix="0" xfId="0"/>
    <xf numFmtId="0" fontId="13" fillId="3" borderId="0" applyAlignment="1" pivotButton="0" quotePrefix="0" xfId="0">
      <alignment horizontal="center" vertical="bottom" wrapText="1"/>
    </xf>
    <xf numFmtId="0" fontId="14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right" vertical="bottom"/>
    </xf>
    <xf numFmtId="3" fontId="15" fillId="0" borderId="2" applyAlignment="1" pivotButton="0" quotePrefix="0" xfId="0">
      <alignment horizontal="right" vertical="bottom"/>
    </xf>
    <xf numFmtId="0" fontId="16" fillId="4" borderId="2" applyAlignment="1" pivotButton="0" quotePrefix="0" xfId="0">
      <alignment horizontal="right" vertical="bottom"/>
    </xf>
    <xf numFmtId="0" fontId="14" fillId="5" borderId="2" applyAlignment="1" pivotButton="0" quotePrefix="0" xfId="0">
      <alignment horizontal="general" vertical="bottom"/>
    </xf>
    <xf numFmtId="0" fontId="15" fillId="5" borderId="2" applyAlignment="1" pivotButton="0" quotePrefix="0" xfId="0">
      <alignment horizontal="general" vertical="bottom"/>
    </xf>
    <xf numFmtId="0" fontId="15" fillId="5" borderId="2" applyAlignment="1" pivotButton="0" quotePrefix="0" xfId="0">
      <alignment horizontal="right" vertical="bottom"/>
    </xf>
    <xf numFmtId="3" fontId="15" fillId="5" borderId="2" applyAlignment="1" pivotButton="0" quotePrefix="0" xfId="0">
      <alignment horizontal="right" vertical="bottom"/>
    </xf>
    <xf numFmtId="0" fontId="17" fillId="0" borderId="2" applyAlignment="1" pivotButton="0" quotePrefix="0" xfId="0">
      <alignment horizontal="general" vertical="bottom"/>
    </xf>
    <xf numFmtId="0" fontId="17" fillId="5" borderId="2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top" wrapText="1"/>
    </xf>
    <xf numFmtId="0" fontId="20" fillId="6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21" fillId="7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general" vertical="bottom"/>
    </xf>
    <xf numFmtId="3" fontId="22" fillId="0" borderId="3" applyAlignment="1" pivotButton="0" quotePrefix="0" xfId="0">
      <alignment horizontal="general" vertical="bottom"/>
    </xf>
    <xf numFmtId="2" fontId="22" fillId="0" borderId="3" applyAlignment="1" pivotButton="0" quotePrefix="0" xfId="0">
      <alignment horizontal="general" vertical="bottom"/>
    </xf>
    <xf numFmtId="164" fontId="22" fillId="0" borderId="3" applyAlignment="1" pivotButton="0" quotePrefix="0" xfId="0">
      <alignment horizontal="general" vertical="bottom"/>
    </xf>
    <xf numFmtId="165" fontId="23" fillId="0" borderId="3" applyAlignment="1" pivotButton="0" quotePrefix="0" xfId="0">
      <alignment horizontal="general" vertical="bottom"/>
    </xf>
    <xf numFmtId="9" fontId="22" fillId="0" borderId="3" applyAlignment="1" pivotButton="0" quotePrefix="0" xfId="0">
      <alignment horizontal="general" vertical="bottom"/>
    </xf>
    <xf numFmtId="1" fontId="22" fillId="0" borderId="3" applyAlignment="1" pivotButton="0" quotePrefix="0" xfId="0">
      <alignment horizontal="general" vertical="bottom"/>
    </xf>
    <xf numFmtId="166" fontId="22" fillId="0" borderId="3" applyAlignment="1" pivotButton="0" quotePrefix="0" xfId="0">
      <alignment horizontal="general" vertical="bottom"/>
    </xf>
    <xf numFmtId="0" fontId="22" fillId="8" borderId="3" applyAlignment="1" pivotButton="0" quotePrefix="0" xfId="0">
      <alignment horizontal="general" vertical="bottom"/>
    </xf>
    <xf numFmtId="0" fontId="22" fillId="9" borderId="3" applyAlignment="1" pivotButton="0" quotePrefix="0" xfId="0">
      <alignment horizontal="general" vertical="bottom"/>
    </xf>
    <xf numFmtId="0" fontId="22" fillId="10" borderId="3" applyAlignment="1" pivotButton="0" quotePrefix="0" xfId="0">
      <alignment horizontal="general" vertical="bottom"/>
    </xf>
    <xf numFmtId="0" fontId="22" fillId="11" borderId="3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2" borderId="0" applyAlignment="1" pivotButton="0" quotePrefix="0" xfId="0">
      <alignment horizontal="general" vertical="bottom"/>
    </xf>
    <xf numFmtId="0" fontId="13" fillId="3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7" fillId="12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top" wrapText="1"/>
    </xf>
    <xf numFmtId="0" fontId="29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27" fillId="9" borderId="0" applyAlignment="1" pivotButton="0" quotePrefix="0" xfId="0">
      <alignment horizontal="general" vertical="bottom"/>
    </xf>
    <xf numFmtId="2" fontId="27" fillId="12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2" fillId="0" borderId="0" pivotButton="0" quotePrefix="0" xfId="0"/>
    <xf numFmtId="0" fontId="31" fillId="0" borderId="0" applyAlignment="1" pivotButton="0" quotePrefix="0" xfId="0">
      <alignment horizontal="general" vertical="bottom"/>
    </xf>
    <xf numFmtId="0" fontId="21" fillId="7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3" fontId="22" fillId="0" borderId="0" applyAlignment="1" pivotButton="0" quotePrefix="0" xfId="0">
      <alignment horizontal="general" vertical="bottom"/>
    </xf>
    <xf numFmtId="2" fontId="22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22148"/>
      <rgbColor rgb="FF808000"/>
      <rgbColor rgb="FF800080"/>
      <rgbColor rgb="FF008080"/>
      <rgbColor rgb="FFBFBFBF"/>
      <rgbColor rgb="FF808080"/>
      <rgbColor rgb="FF9999FF"/>
      <rgbColor rgb="FFC24A26"/>
      <rgbColor rgb="FFFDF3EA"/>
      <rgbColor rgb="FFFBFAF7"/>
      <rgbColor rgb="FF660066"/>
      <rgbColor rgb="FFFF8080"/>
      <rgbColor rgb="FF0066CC"/>
      <rgbColor rgb="FFC9D2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BD0"/>
      <rgbColor rgb="FFD9D9D9"/>
      <rgbColor rgb="FFFFE699"/>
      <rgbColor rgb="FFD6D1C4"/>
      <rgbColor rgb="FFFCE4D6"/>
      <rgbColor rgb="FFCC99FF"/>
      <rgbColor rgb="FFFFC7CE"/>
      <rgbColor rgb="FF3366FF"/>
      <rgbColor rgb="FF33CCCC"/>
      <rgbColor rgb="FF99CC00"/>
      <rgbColor rgb="FFFFCC00"/>
      <rgbColor rgb="FFF5A63C"/>
      <rgbColor rgb="FFFF6600"/>
      <rgbColor rgb="FF666699"/>
      <rgbColor rgb="FF8494B4"/>
      <rgbColor rgb="FF1E3163"/>
      <rgbColor rgb="FF339966"/>
      <rgbColor rgb="FF0D1A38"/>
      <rgbColor rgb="FF6B3A22"/>
      <rgbColor rgb="FF7A4A10"/>
      <rgbColor rgb="FF993366"/>
      <rgbColor rgb="FF404A5E"/>
      <rgbColor rgb="FF1F386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D1A38"/>
    <outlinePr summaryBelow="1" summaryRight="1"/>
    <pageSetUpPr fitToPage="0"/>
  </sheetPr>
  <dimension ref="A1:K6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61" min="1" max="1"/>
    <col width="26" customWidth="1" style="61" min="2" max="2"/>
    <col width="30" customWidth="1" style="61" min="3" max="3"/>
    <col width="20" customWidth="1" style="61" min="4" max="4"/>
    <col width="11" customWidth="1" style="61" min="5" max="7"/>
    <col width="9" customWidth="1" style="61" min="8" max="8"/>
    <col width="20" customWidth="1" style="61" min="9" max="9"/>
    <col width="17" customWidth="1" style="61" min="10" max="10"/>
    <col width="3" customWidth="1" style="61" min="11" max="11"/>
  </cols>
  <sheetData>
    <row r="1" ht="15" customHeight="1" s="62">
      <c r="A1" s="63" t="n"/>
      <c r="B1" s="63" t="n"/>
      <c r="C1" s="63" t="n"/>
      <c r="D1" s="63" t="n"/>
      <c r="E1" s="63" t="n"/>
      <c r="F1" s="63" t="n"/>
      <c r="G1" s="63" t="n"/>
      <c r="H1" s="63" t="n"/>
      <c r="I1" s="63" t="n"/>
      <c r="J1" s="63" t="n"/>
      <c r="K1" s="63" t="n"/>
    </row>
    <row r="2" ht="15" customHeight="1" s="62">
      <c r="A2" s="63" t="n"/>
      <c r="B2" s="64" t="inlineStr">
        <is>
          <t>SITE SELECTION  ·  COVINGTON, KENTON COUNTY KY</t>
        </is>
      </c>
      <c r="C2" s="63" t="n"/>
      <c r="D2" s="63" t="n"/>
      <c r="E2" s="63" t="n"/>
      <c r="F2" s="63" t="n"/>
      <c r="G2" s="63" t="n"/>
      <c r="H2" s="63" t="n"/>
      <c r="I2" s="65" t="inlineStr">
        <is>
          <t>Prepared for the Board of Directors</t>
        </is>
      </c>
      <c r="K2" s="63" t="n"/>
    </row>
    <row r="3" ht="33.75" customHeight="1" s="62">
      <c r="A3" s="63" t="n"/>
      <c r="B3" s="66" t="inlineStr">
        <is>
          <t>PUPS PUB COVINGTON</t>
        </is>
      </c>
      <c r="C3" s="63" t="n"/>
      <c r="D3" s="63" t="n"/>
      <c r="E3" s="63" t="n"/>
      <c r="F3" s="63" t="n"/>
      <c r="G3" s="63" t="n"/>
      <c r="H3" s="63" t="n"/>
      <c r="I3" s="65" t="inlineStr">
        <is>
          <t>Data as of 2 August 2026</t>
        </is>
      </c>
      <c r="K3" s="63" t="n"/>
    </row>
    <row r="4" ht="15" customHeight="1" s="62">
      <c r="A4" s="63" t="n"/>
      <c r="B4" s="67" t="inlineStr">
        <is>
          <t>The Tail Chase List — every commercial parcel in the city, scored and ranked</t>
        </is>
      </c>
      <c r="C4" s="63" t="n"/>
      <c r="D4" s="63" t="n"/>
      <c r="E4" s="63" t="n"/>
      <c r="F4" s="63" t="n"/>
      <c r="G4" s="63" t="n"/>
      <c r="H4" s="63" t="n"/>
      <c r="I4" s="65" t="inlineStr">
        <is>
          <t>Kenton County PVA · LINK-GIS · LoopNet</t>
        </is>
      </c>
      <c r="K4" s="63" t="n"/>
    </row>
    <row r="5" ht="15" customHeight="1" s="62">
      <c r="A5" s="63" t="n"/>
      <c r="B5" s="63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</row>
    <row r="7" ht="15" customHeight="1" s="62">
      <c r="B7" s="68" t="inlineStr">
        <is>
          <t>HOW THE FIELD WAS NARROWED</t>
        </is>
      </c>
      <c r="C7" s="69" t="n"/>
      <c r="D7" s="69" t="n"/>
      <c r="E7" s="69" t="n"/>
      <c r="F7" s="69" t="n"/>
      <c r="G7" s="69" t="n"/>
      <c r="H7" s="69" t="n"/>
      <c r="I7" s="69" t="n"/>
      <c r="J7" s="69" t="n"/>
    </row>
    <row r="9" ht="24.45" customHeight="1" s="62">
      <c r="B9" s="70" t="inlineStr">
        <is>
          <t>16,103</t>
        </is>
      </c>
      <c r="D9" s="70" t="inlineStr">
        <is>
          <t>384</t>
        </is>
      </c>
      <c r="F9" s="70" t="inlineStr">
        <is>
          <t>337</t>
        </is>
      </c>
      <c r="H9" s="70" t="inlineStr">
        <is>
          <t>328</t>
        </is>
      </c>
      <c r="J9" s="71" t="inlineStr">
        <is>
          <t>25</t>
        </is>
      </c>
    </row>
    <row r="10" ht="15" customHeight="1" s="62">
      <c r="B10" s="72" t="inlineStr">
        <is>
          <t>Parcels in Covington</t>
        </is>
      </c>
      <c r="D10" s="72" t="inlineStr">
        <is>
          <t>Pass use &amp; size screen</t>
        </is>
      </c>
      <c r="F10" s="72" t="inlineStr">
        <is>
          <t>Privately held</t>
        </is>
      </c>
      <c r="H10" s="72" t="inlineStr">
        <is>
          <t>Fully scored</t>
        </is>
      </c>
      <c r="J10" s="72" t="inlineStr">
        <is>
          <t>Drive-by shortlist</t>
        </is>
      </c>
    </row>
    <row r="13" ht="15" customHeight="1" s="62">
      <c r="B13" s="68" t="inlineStr">
        <is>
          <t>TOP 15 TAIL CHASE TARGETS</t>
        </is>
      </c>
      <c r="C13" s="69" t="n"/>
      <c r="D13" s="69" t="n"/>
      <c r="E13" s="69" t="n"/>
      <c r="F13" s="69" t="n"/>
      <c r="G13" s="69" t="n"/>
      <c r="H13" s="69" t="n"/>
      <c r="I13" s="73" t="inlineStr">
        <is>
          <t>Score = factor points x scoped multipliers (v8) — see Scoring Method</t>
        </is>
      </c>
      <c r="J13" s="74" t="n"/>
    </row>
    <row r="15" ht="32.8" customHeight="1" s="62">
      <c r="A15" s="75" t="inlineStr">
        <is>
          <t>#</t>
        </is>
      </c>
      <c r="B15" s="75" t="inlineStr">
        <is>
          <t>Address</t>
        </is>
      </c>
      <c r="C15" s="75" t="inlineStr">
        <is>
          <t>Owner of record</t>
        </is>
      </c>
      <c r="D15" s="75" t="inlineStr">
        <is>
          <t>Current use</t>
        </is>
      </c>
      <c r="E15" s="75" t="inlineStr">
        <is>
          <t>Lot AC</t>
        </is>
      </c>
      <c r="F15" s="75" t="inlineStr">
        <is>
          <t>Bldg SF</t>
        </is>
      </c>
      <c r="G15" s="75" t="inlineStr">
        <is>
          <t>Yard SF</t>
        </is>
      </c>
      <c r="H15" s="75" t="inlineStr">
        <is>
          <t>Mi</t>
        </is>
      </c>
      <c r="I15" s="75" t="inlineStr">
        <is>
          <t>Neighborhood</t>
        </is>
      </c>
      <c r="J15" s="75" t="inlineStr">
        <is>
          <t>Est. rent</t>
        </is>
      </c>
      <c r="K15" s="75" t="inlineStr">
        <is>
          <t>Score</t>
        </is>
      </c>
    </row>
    <row r="16" ht="15" customHeight="1" s="62">
      <c r="A16" s="76" t="inlineStr">
        <is>
          <t>1</t>
        </is>
      </c>
      <c r="B16" s="77" t="inlineStr">
        <is>
          <t>209 JOHNSON ST</t>
        </is>
      </c>
      <c r="C16" s="77" t="inlineStr">
        <is>
          <t>RICHMOND RODNEY C TRUSTEE</t>
        </is>
      </c>
      <c r="D16" s="77" t="inlineStr">
        <is>
          <t>SMALL SHOP</t>
        </is>
      </c>
      <c r="E16" s="78" t="inlineStr">
        <is>
          <t>0.3</t>
        </is>
      </c>
      <c r="F16" s="79" t="inlineStr">
        <is>
          <t>3000</t>
        </is>
      </c>
      <c r="G16" s="79" t="inlineStr">
        <is>
          <t>9900</t>
        </is>
      </c>
      <c r="H16" s="78" t="inlineStr">
        <is>
          <t>0.13</t>
        </is>
      </c>
      <c r="I16" s="77" t="inlineStr">
        <is>
          <t>Botany Hills / Riverfront West</t>
        </is>
      </c>
      <c r="J16" s="77" t="inlineStr">
        <is>
          <t>$2,750/mo</t>
        </is>
      </c>
      <c r="K16" s="80" t="inlineStr">
        <is>
          <t>82.3</t>
        </is>
      </c>
    </row>
    <row r="17" ht="15" customHeight="1" s="62">
      <c r="A17" s="81" t="inlineStr">
        <is>
          <t>2</t>
        </is>
      </c>
      <c r="B17" s="82" t="inlineStr">
        <is>
          <t>401-419 GREENUP ST</t>
        </is>
      </c>
      <c r="C17" s="82" t="inlineStr">
        <is>
          <t>RP PROP OZ LLC</t>
        </is>
      </c>
      <c r="D17" s="82" t="inlineStr">
        <is>
          <t>OTHER RETAIL</t>
        </is>
      </c>
      <c r="E17" s="83" t="inlineStr">
        <is>
          <t>0.46</t>
        </is>
      </c>
      <c r="F17" s="84" t="inlineStr">
        <is>
          <t>1325</t>
        </is>
      </c>
      <c r="G17" s="84" t="inlineStr">
        <is>
          <t>10650</t>
        </is>
      </c>
      <c r="H17" s="83" t="inlineStr">
        <is>
          <t>0.26</t>
        </is>
      </c>
      <c r="I17" s="82" t="inlineStr">
        <is>
          <t>Central Business District</t>
        </is>
      </c>
      <c r="J17" s="82" t="inlineStr">
        <is>
          <t>$1,215/mo</t>
        </is>
      </c>
      <c r="K17" s="80" t="inlineStr">
        <is>
          <t>78.8</t>
        </is>
      </c>
    </row>
    <row r="18" ht="15" customHeight="1" s="62">
      <c r="A18" s="76" t="inlineStr">
        <is>
          <t>3</t>
        </is>
      </c>
      <c r="B18" s="77" t="inlineStr">
        <is>
          <t>409 MAIN ST</t>
        </is>
      </c>
      <c r="C18" s="77" t="inlineStr">
        <is>
          <t>SMITH HOLDING CO INC</t>
        </is>
      </c>
      <c r="D18" s="77" t="inlineStr">
        <is>
          <t>AUTO SERVICE/REPAIR</t>
        </is>
      </c>
      <c r="E18" s="78" t="inlineStr">
        <is>
          <t>1.01</t>
        </is>
      </c>
      <c r="F18" s="79" t="inlineStr">
        <is>
          <t>14720</t>
        </is>
      </c>
      <c r="G18" s="79" t="inlineStr">
        <is>
          <t>27500</t>
        </is>
      </c>
      <c r="H18" s="78" t="inlineStr">
        <is>
          <t>0.1</t>
        </is>
      </c>
      <c r="I18" s="77" t="inlineStr">
        <is>
          <t>MainStrasse</t>
        </is>
      </c>
      <c r="J18" s="77" t="inlineStr">
        <is>
          <t>$13,493/mo</t>
        </is>
      </c>
      <c r="K18" s="80" t="inlineStr">
        <is>
          <t>78.6</t>
        </is>
      </c>
    </row>
    <row r="19" ht="15" customHeight="1" s="62">
      <c r="A19" s="81" t="inlineStr">
        <is>
          <t>4</t>
        </is>
      </c>
      <c r="B19" s="82" t="inlineStr">
        <is>
          <t>805 RUSSELL ST</t>
        </is>
      </c>
      <c r="C19" s="82" t="inlineStr">
        <is>
          <t>SEMINARY SQUARE II LLC</t>
        </is>
      </c>
      <c r="D19" s="82" t="inlineStr">
        <is>
          <t>GARAGE/PARKING SPACE</t>
        </is>
      </c>
      <c r="E19" s="83" t="inlineStr">
        <is>
          <t>0.71</t>
        </is>
      </c>
      <c r="F19" s="84" t="inlineStr"/>
      <c r="G19" s="84" t="inlineStr">
        <is>
          <t>30375</t>
        </is>
      </c>
      <c r="H19" s="83" t="inlineStr">
        <is>
          <t>0.22</t>
        </is>
      </c>
      <c r="I19" s="82" t="inlineStr">
        <is>
          <t>MainStrasse</t>
        </is>
      </c>
      <c r="J19" s="82" t="inlineStr">
        <is>
          <t>—</t>
        </is>
      </c>
      <c r="K19" s="80" t="inlineStr">
        <is>
          <t>78.5</t>
        </is>
      </c>
    </row>
    <row r="20" ht="15" customHeight="1" s="62">
      <c r="A20" s="76" t="inlineStr">
        <is>
          <t>5</t>
        </is>
      </c>
      <c r="B20" s="77" t="inlineStr">
        <is>
          <t>248 W PIKE ST</t>
        </is>
      </c>
      <c r="C20" s="77" t="inlineStr">
        <is>
          <t>CLAYPOOL PROPERTIES LLC</t>
        </is>
      </c>
      <c r="D20" s="77" t="inlineStr">
        <is>
          <t>WHSE DISTRIBUTION</t>
        </is>
      </c>
      <c r="E20" s="78" t="inlineStr">
        <is>
          <t>0.87</t>
        </is>
      </c>
      <c r="F20" s="79" t="inlineStr">
        <is>
          <t>22064</t>
        </is>
      </c>
      <c r="G20" s="79" t="inlineStr">
        <is>
          <t>13300</t>
        </is>
      </c>
      <c r="H20" s="78" t="inlineStr">
        <is>
          <t>0.25</t>
        </is>
      </c>
      <c r="I20" s="77" t="inlineStr">
        <is>
          <t>MainStrasse</t>
        </is>
      </c>
      <c r="J20" s="77" t="inlineStr">
        <is>
          <t>$20,225/mo</t>
        </is>
      </c>
      <c r="K20" s="80" t="inlineStr">
        <is>
          <t>78.1</t>
        </is>
      </c>
    </row>
    <row r="21" ht="15" customHeight="1" s="62">
      <c r="A21" s="81" t="inlineStr">
        <is>
          <t>6</t>
        </is>
      </c>
      <c r="B21" s="82" t="inlineStr">
        <is>
          <t>409 W 4TH ST</t>
        </is>
      </c>
      <c r="C21" s="82" t="inlineStr">
        <is>
          <t>SMITH HOLDING CO INC</t>
        </is>
      </c>
      <c r="D21" s="82" t="inlineStr">
        <is>
          <t>AUTO SERVICE/REPAIR</t>
        </is>
      </c>
      <c r="E21" s="83" t="inlineStr">
        <is>
          <t>0.48</t>
        </is>
      </c>
      <c r="F21" s="84" t="inlineStr">
        <is>
          <t>9000</t>
        </is>
      </c>
      <c r="G21" s="84" t="inlineStr">
        <is>
          <t>9650</t>
        </is>
      </c>
      <c r="H21" s="83" t="inlineStr">
        <is>
          <t>0.13</t>
        </is>
      </c>
      <c r="I21" s="82" t="inlineStr">
        <is>
          <t>Botany Hills / Riverfront West</t>
        </is>
      </c>
      <c r="J21" s="82" t="inlineStr">
        <is>
          <t>$8,250/mo</t>
        </is>
      </c>
      <c r="K21" s="80" t="inlineStr">
        <is>
          <t>77.5</t>
        </is>
      </c>
    </row>
    <row r="22" ht="15" customHeight="1" s="62">
      <c r="A22" s="76" t="inlineStr">
        <is>
          <t>7</t>
        </is>
      </c>
      <c r="B22" s="77" t="inlineStr">
        <is>
          <t>325 GREENUP ST</t>
        </is>
      </c>
      <c r="C22" s="77" t="inlineStr">
        <is>
          <t>BUTT LLC</t>
        </is>
      </c>
      <c r="D22" s="77" t="inlineStr">
        <is>
          <t>PAVED LOT</t>
        </is>
      </c>
      <c r="E22" s="78" t="inlineStr">
        <is>
          <t>0.34</t>
        </is>
      </c>
      <c r="F22" s="79" t="inlineStr">
        <is>
          <t>2891</t>
        </is>
      </c>
      <c r="G22" s="79" t="inlineStr">
        <is>
          <t>14400</t>
        </is>
      </c>
      <c r="H22" s="78" t="inlineStr">
        <is>
          <t>0.22</t>
        </is>
      </c>
      <c r="I22" s="77" t="inlineStr">
        <is>
          <t>Central Business District</t>
        </is>
      </c>
      <c r="J22" s="77" t="inlineStr">
        <is>
          <t>$2,650/mo</t>
        </is>
      </c>
      <c r="K22" s="80" t="inlineStr">
        <is>
          <t>77.1</t>
        </is>
      </c>
    </row>
    <row r="23" ht="15" customHeight="1" s="62">
      <c r="A23" s="81" t="inlineStr">
        <is>
          <t>8</t>
        </is>
      </c>
      <c r="B23" s="82" t="inlineStr">
        <is>
          <t>620 W 5TH ST</t>
        </is>
      </c>
      <c r="C23" s="82" t="inlineStr">
        <is>
          <t>SKYLIGHT CINCINNATI HOLDING</t>
        </is>
      </c>
      <c r="D23" s="82" t="inlineStr">
        <is>
          <t>PAVED LOT</t>
        </is>
      </c>
      <c r="E23" s="83" t="inlineStr">
        <is>
          <t>0.77</t>
        </is>
      </c>
      <c r="F23" s="84" t="inlineStr"/>
      <c r="G23" s="84" t="inlineStr">
        <is>
          <t>33200</t>
        </is>
      </c>
      <c r="H23" s="83" t="inlineStr">
        <is>
          <t>0.18</t>
        </is>
      </c>
      <c r="I23" s="82" t="inlineStr">
        <is>
          <t>MainStrasse</t>
        </is>
      </c>
      <c r="J23" s="82" t="inlineStr">
        <is>
          <t>—</t>
        </is>
      </c>
      <c r="K23" s="80" t="inlineStr">
        <is>
          <t>75.5</t>
        </is>
      </c>
    </row>
    <row r="24" ht="15" customHeight="1" s="62">
      <c r="A24" s="76" t="inlineStr">
        <is>
          <t>9</t>
        </is>
      </c>
      <c r="B24" s="77" t="inlineStr">
        <is>
          <t>617 HINDE ST</t>
        </is>
      </c>
      <c r="C24" s="77" t="inlineStr">
        <is>
          <t>GABE HOLDINGS LLC</t>
        </is>
      </c>
      <c r="D24" s="77" t="inlineStr">
        <is>
          <t>SMALL SHOP</t>
        </is>
      </c>
      <c r="E24" s="78" t="inlineStr">
        <is>
          <t>0.75</t>
        </is>
      </c>
      <c r="F24" s="79" t="inlineStr"/>
      <c r="G24" s="79" t="inlineStr">
        <is>
          <t>30400</t>
        </is>
      </c>
      <c r="H24" s="78" t="inlineStr">
        <is>
          <t>0.72</t>
        </is>
      </c>
      <c r="I24" s="77" t="inlineStr">
        <is>
          <t>Lewisburg</t>
        </is>
      </c>
      <c r="J24" s="77" t="inlineStr">
        <is>
          <t>—</t>
        </is>
      </c>
      <c r="K24" s="80" t="inlineStr">
        <is>
          <t>74.7</t>
        </is>
      </c>
    </row>
    <row r="25" ht="15" customHeight="1" s="62">
      <c r="A25" s="81" t="inlineStr">
        <is>
          <t>10</t>
        </is>
      </c>
      <c r="B25" s="82" t="inlineStr">
        <is>
          <t>423 SCOTT ST</t>
        </is>
      </c>
      <c r="C25" s="82" t="inlineStr">
        <is>
          <t>DECASTRO MANAGEMENT LLC</t>
        </is>
      </c>
      <c r="D25" s="82" t="inlineStr">
        <is>
          <t>AUTO SERVICE/REPAIR</t>
        </is>
      </c>
      <c r="E25" s="83" t="inlineStr">
        <is>
          <t>0.83</t>
        </is>
      </c>
      <c r="F25" s="84" t="inlineStr">
        <is>
          <t>17586</t>
        </is>
      </c>
      <c r="G25" s="84" t="inlineStr">
        <is>
          <t>17825</t>
        </is>
      </c>
      <c r="H25" s="83" t="inlineStr">
        <is>
          <t>0.18</t>
        </is>
      </c>
      <c r="I25" s="82" t="inlineStr">
        <is>
          <t>Central Business District</t>
        </is>
      </c>
      <c r="J25" s="82" t="inlineStr">
        <is>
          <t>$16,120/mo</t>
        </is>
      </c>
      <c r="K25" s="80" t="inlineStr">
        <is>
          <t>74.5</t>
        </is>
      </c>
    </row>
    <row r="26" ht="15" customHeight="1" s="62">
      <c r="A26" s="76" t="inlineStr">
        <is>
          <t>11</t>
        </is>
      </c>
      <c r="B26" s="77" t="inlineStr">
        <is>
          <t>101 W 6TH ST</t>
        </is>
      </c>
      <c r="C26" s="77" t="inlineStr">
        <is>
          <t>DIOCESE OF COVINGTON</t>
        </is>
      </c>
      <c r="D26" s="77" t="inlineStr">
        <is>
          <t>PAVED LOT</t>
        </is>
      </c>
      <c r="E26" s="78" t="inlineStr">
        <is>
          <t>0.46</t>
        </is>
      </c>
      <c r="F26" s="79" t="inlineStr"/>
      <c r="G26" s="79" t="inlineStr">
        <is>
          <t>19775</t>
        </is>
      </c>
      <c r="H26" s="78" t="inlineStr">
        <is>
          <t>0.06</t>
        </is>
      </c>
      <c r="I26" s="77" t="inlineStr">
        <is>
          <t>Central Business District</t>
        </is>
      </c>
      <c r="J26" s="85" t="inlineStr">
        <is>
          <t>—</t>
        </is>
      </c>
      <c r="K26" s="80" t="inlineStr">
        <is>
          <t>74.4</t>
        </is>
      </c>
    </row>
    <row r="27" ht="15" customHeight="1" s="62">
      <c r="A27" s="81" t="inlineStr">
        <is>
          <t>12</t>
        </is>
      </c>
      <c r="B27" s="82" t="inlineStr">
        <is>
          <t>102 8TH ST W</t>
        </is>
      </c>
      <c r="C27" s="82" t="inlineStr">
        <is>
          <t>PIKE PARTNERS LLC</t>
        </is>
      </c>
      <c r="D27" s="82" t="inlineStr">
        <is>
          <t>PAVED LOT</t>
        </is>
      </c>
      <c r="E27" s="83" t="inlineStr">
        <is>
          <t>0.55</t>
        </is>
      </c>
      <c r="F27" s="84" t="inlineStr"/>
      <c r="G27" s="84" t="inlineStr">
        <is>
          <t>23550</t>
        </is>
      </c>
      <c r="H27" s="83" t="inlineStr">
        <is>
          <t>0.17</t>
        </is>
      </c>
      <c r="I27" s="82" t="inlineStr">
        <is>
          <t>Central Business District</t>
        </is>
      </c>
      <c r="J27" s="86" t="inlineStr">
        <is>
          <t>—</t>
        </is>
      </c>
      <c r="K27" s="80" t="inlineStr">
        <is>
          <t>74.4</t>
        </is>
      </c>
    </row>
    <row r="28" ht="15" customHeight="1" s="62">
      <c r="A28" s="76" t="inlineStr">
        <is>
          <t>13</t>
        </is>
      </c>
      <c r="B28" s="77" t="inlineStr">
        <is>
          <t>601 SCOTT ST</t>
        </is>
      </c>
      <c r="C28" s="77" t="inlineStr">
        <is>
          <t>608 MADISON LLC</t>
        </is>
      </c>
      <c r="D28" s="77" t="inlineStr">
        <is>
          <t>LAND/W MISCELLANEOUS IMPROVEMENT</t>
        </is>
      </c>
      <c r="E28" s="78" t="inlineStr">
        <is>
          <t>0.52</t>
        </is>
      </c>
      <c r="F28" s="79" t="inlineStr"/>
      <c r="G28" s="79" t="inlineStr">
        <is>
          <t>21625</t>
        </is>
      </c>
      <c r="H28" s="78" t="inlineStr">
        <is>
          <t>0.1</t>
        </is>
      </c>
      <c r="I28" s="77" t="inlineStr">
        <is>
          <t>Central Business District</t>
        </is>
      </c>
      <c r="J28" s="77" t="inlineStr">
        <is>
          <t>—</t>
        </is>
      </c>
      <c r="K28" s="80" t="inlineStr">
        <is>
          <t>74.4</t>
        </is>
      </c>
    </row>
    <row r="29" ht="15" customHeight="1" s="62">
      <c r="A29" s="81" t="inlineStr">
        <is>
          <t>14</t>
        </is>
      </c>
      <c r="B29" s="82" t="inlineStr">
        <is>
          <t>16 W 9TH ST</t>
        </is>
      </c>
      <c r="C29" s="82" t="inlineStr">
        <is>
          <t>BLUE BRIDGE LLC</t>
        </is>
      </c>
      <c r="D29" s="82" t="inlineStr">
        <is>
          <t>WHSE DISTRIBUTION</t>
        </is>
      </c>
      <c r="E29" s="83" t="inlineStr">
        <is>
          <t>0.78</t>
        </is>
      </c>
      <c r="F29" s="84" t="inlineStr">
        <is>
          <t>31448</t>
        </is>
      </c>
      <c r="G29" s="84" t="inlineStr">
        <is>
          <t>12025</t>
        </is>
      </c>
      <c r="H29" s="83" t="inlineStr">
        <is>
          <t>0.18</t>
        </is>
      </c>
      <c r="I29" s="82" t="inlineStr">
        <is>
          <t>Central Business District</t>
        </is>
      </c>
      <c r="J29" s="82" t="inlineStr">
        <is>
          <t>$28,827/mo</t>
        </is>
      </c>
      <c r="K29" s="80" t="inlineStr">
        <is>
          <t>74</t>
        </is>
      </c>
    </row>
    <row r="30" ht="15" customHeight="1" s="62">
      <c r="A30" s="76" t="inlineStr">
        <is>
          <t>15</t>
        </is>
      </c>
      <c r="B30" s="77" t="inlineStr">
        <is>
          <t>305 W PIKE ST</t>
        </is>
      </c>
      <c r="C30" s="77" t="inlineStr">
        <is>
          <t>DUPONT VENTURES LLC</t>
        </is>
      </c>
      <c r="D30" s="77" t="inlineStr">
        <is>
          <t>RETAIL W/APARTMENTS</t>
        </is>
      </c>
      <c r="E30" s="78" t="inlineStr">
        <is>
          <t>0.5</t>
        </is>
      </c>
      <c r="F30" s="79" t="inlineStr">
        <is>
          <t>4878</t>
        </is>
      </c>
      <c r="G30" s="79" t="inlineStr">
        <is>
          <t>7875</t>
        </is>
      </c>
      <c r="H30" s="78" t="inlineStr">
        <is>
          <t>0.35</t>
        </is>
      </c>
      <c r="I30" s="77" t="inlineStr">
        <is>
          <t>MainStrasse</t>
        </is>
      </c>
      <c r="J30" s="77" t="inlineStr">
        <is>
          <t>$4,472/mo</t>
        </is>
      </c>
      <c r="K30" s="80" t="inlineStr">
        <is>
          <t>72.7</t>
        </is>
      </c>
    </row>
    <row r="33" ht="15" customHeight="1" s="62">
      <c r="B33" s="68" t="inlineStr">
        <is>
          <t>WHAT THE DATA SAYS</t>
        </is>
      </c>
      <c r="C33" s="69" t="n"/>
      <c r="D33" s="69" t="n"/>
      <c r="E33" s="69" t="n"/>
      <c r="F33" s="69" t="n"/>
      <c r="G33" s="69" t="n"/>
      <c r="H33" s="69" t="n"/>
      <c r="I33" s="69" t="n"/>
      <c r="J33" s="69" t="n"/>
    </row>
    <row r="35" ht="15" customHeight="1" s="62">
      <c r="B35" s="87" t="inlineStr">
        <is>
          <t>▸  Location and convertibility drive the ranking.</t>
        </is>
      </c>
    </row>
    <row r="36" ht="15" customHeight="1" s="62">
      <c r="B36" s="88" t="inlineStr">
        <is>
          <t>The two strongest predictors of owner field ratings are distance to a walkable district (26 pts) and whether the shell can actually be opened up (20 pts). Both validated positively against 23 site visits.</t>
        </is>
      </c>
    </row>
    <row r="37" ht="15" customHeight="1" s="62"/>
    <row r="39" ht="15" customHeight="1" s="62">
      <c r="B39" s="87" t="inlineStr">
        <is>
          <t>▸  Chain-occupied pads look good on paper and are not obtainable.</t>
        </is>
      </c>
    </row>
    <row r="40" ht="15" customHeight="1" s="62">
      <c r="B40" s="88" t="inlineStr">
        <is>
          <t>46 parcels are held by a national brand or a net-lease investor. They score well physically and were rated 1–4 by the owner. An availability multiplier now pushes them out of contention.</t>
        </is>
      </c>
    </row>
    <row r="41" ht="15" customHeight="1" s="62"/>
    <row r="43" ht="15" customHeight="1" s="62">
      <c r="B43" s="87" t="inlineStr">
        <is>
          <t>▸  Usable yard is far smaller than lot arithmetic suggests.</t>
        </is>
      </c>
    </row>
    <row r="44" ht="15" customHeight="1" s="62">
      <c r="B44" s="88" t="inlineStr">
        <is>
          <t>Measuring open space geometrically — and deleting any strip under 20 ft wide — cut apparent outdoor area by half or more on tight downtown parcels, and to zero on several.</t>
        </is>
      </c>
    </row>
    <row r="45" ht="15" customHeight="1" s="62"/>
    <row r="47" ht="15" customHeight="1" s="62">
      <c r="B47" s="87" t="inlineStr">
        <is>
          <t>▸  Oversized parcels are capped by design.</t>
        </is>
      </c>
    </row>
    <row r="48" ht="15" customHeight="1" s="62">
      <c r="B48" s="88" t="inlineStr">
        <is>
          <t>Nothing above 1.25 acres reaches the top half of the list. The largest candidates remain visible but carry a 0.65 multiplier reflecting cost and complexity a single venue cannot absorb.</t>
        </is>
      </c>
    </row>
    <row r="49" ht="15" customHeight="1" s="62"/>
    <row r="51" ht="15" customHeight="1" s="62">
      <c r="B51" s="68" t="inlineStr">
        <is>
          <t>WHAT THIS MODEL DOES NOT KNOW</t>
        </is>
      </c>
      <c r="C51" s="69" t="n"/>
      <c r="D51" s="69" t="n"/>
      <c r="E51" s="69" t="n"/>
      <c r="F51" s="69" t="n"/>
      <c r="G51" s="69" t="n"/>
      <c r="H51" s="69" t="n"/>
      <c r="I51" s="69" t="n"/>
      <c r="J51" s="69" t="n"/>
    </row>
    <row r="53" ht="13.5" customHeight="1" s="62">
      <c r="B53" s="89" t="inlineStr">
        <is>
          <t>•  Rent is assumed, not quoted — $11/SF gross against an $11,000/month target. No public Covington lease comps exist; every figure needs broker confirmation.</t>
        </is>
      </c>
    </row>
    <row r="54" ht="15" customHeight="1" s="62"/>
    <row r="56" ht="13.5" customHeight="1" s="62">
      <c r="B56" s="89" t="inlineStr">
        <is>
          <t>•  Crime is partly estimated — 5 of 14 neighbourhoods carry a NeighborhoodScout-sourced ranking; the remainder are judgment calls, flagged in the Scoring Method tab.</t>
        </is>
      </c>
    </row>
    <row r="57" ht="15" customHeight="1" s="62"/>
    <row r="59" ht="13.5" customHeight="1" s="62">
      <c r="B59" s="89" t="inlineStr">
        <is>
          <t>•  Zoning is not scored — Neighborhood Development Code review sits outside this model, as does the Kentucky food-code rule limiting dogs to outdoor areas.</t>
        </is>
      </c>
    </row>
    <row r="60" ht="15" customHeight="1" s="62"/>
    <row r="62" ht="13.5" customHeight="1" s="62">
      <c r="B62" s="89" t="inlineStr">
        <is>
          <t>•  Building size is mixed-source — LoopNet gross area where available, otherwise a single-storey footprint from GIS geometry, which understates multi-storey buildings.</t>
        </is>
      </c>
    </row>
    <row r="63" ht="15" customHeight="1" s="62"/>
    <row r="64">
      <c r="A64" s="61" t="inlineStr">
        <is>
          <t>•  Flood is now FEMA-sourced — NFHL zones joined 2 Aug 2026 for all 328 parcels (296 X · 22 levee-protected X · 7 shaded X · 3 AE). The 5/4/3.5/0 sub-band split is an owner-approved weighting decision, not a FEMA designation.</t>
        </is>
      </c>
    </row>
    <row r="65">
      <c r="A65" s="61" t="inlineStr">
        <is>
          <t>•  Zoning now scores — v7 multiplier (1.0/0.9/0.7/0.5/0.3 by NDC bar-status tier, owner-approved 2 Aug 2026) discounts Location and Convertibility only. 422 Russell falls #1→#45 (TUR: bars prohibited; restaurant/microbrewery alt-paths remain). New #1: 401-419 Greenup St (DTC). SU parcels provisional pending corner-lot check.</t>
        </is>
      </c>
    </row>
    <row r="66" ht="15" customHeight="1" s="62">
      <c r="A66" s="61" t="inlineStr">
        <is>
          <t>•  Model v8 (2 Aug 2026): multipliers are factor-scoped (availability -&gt; location/building/convertibility; lot-size -&gt; yard/building/convertibility; zoning -&gt; location/convertibility). Crime/flood/environmental immune. 17 LoopNet building-SF corrections applied (157/328 verified). Compare ranks, not raw scores, across model versions.</t>
        </is>
      </c>
      <c r="B66" s="90" t="inlineStr">
        <is>
          <t>Model agreement with owner field ratings: r = +0.71 across 23 rated parcels.</t>
        </is>
      </c>
    </row>
  </sheetData>
  <mergeCells count="26">
    <mergeCell ref="B40:J41"/>
    <mergeCell ref="D10:E10"/>
    <mergeCell ref="F10:G10"/>
    <mergeCell ref="H10:I10"/>
    <mergeCell ref="I2:J2"/>
    <mergeCell ref="J10:K10"/>
    <mergeCell ref="H9:I9"/>
    <mergeCell ref="J9:K9"/>
    <mergeCell ref="B56:J57"/>
    <mergeCell ref="B59:J60"/>
    <mergeCell ref="B62:J63"/>
    <mergeCell ref="I3:J3"/>
    <mergeCell ref="B10:C10"/>
    <mergeCell ref="B48:J49"/>
    <mergeCell ref="B35:J35"/>
    <mergeCell ref="B9:C9"/>
    <mergeCell ref="D9:E9"/>
    <mergeCell ref="B47:J47"/>
    <mergeCell ref="F9:G9"/>
    <mergeCell ref="I4:J4"/>
    <mergeCell ref="B53:J54"/>
    <mergeCell ref="B44:J45"/>
    <mergeCell ref="I13:J13"/>
    <mergeCell ref="B43:J43"/>
    <mergeCell ref="B39:J39"/>
    <mergeCell ref="B36:J3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E3163"/>
    <outlinePr summaryBelow="1" summaryRight="1"/>
    <pageSetUpPr fitToPage="0"/>
  </sheetPr>
  <dimension ref="A1:BM3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61" min="1" max="1"/>
    <col width="18" customWidth="1" style="61" min="2" max="2"/>
    <col width="34" customWidth="1" style="61" min="3" max="3"/>
    <col width="32" customWidth="1" style="61" min="4" max="4"/>
    <col width="28" customWidth="1" style="61" min="5" max="5"/>
    <col width="16" customWidth="1" style="61" min="6" max="6"/>
    <col width="8" customWidth="1" style="61" min="7" max="7"/>
    <col width="30" customWidth="1" style="61" min="8" max="8"/>
    <col width="10" customWidth="1" style="61" min="9" max="10"/>
    <col width="12" customWidth="1" style="61" min="11" max="12"/>
    <col width="22" customWidth="1" style="61" min="13" max="13"/>
    <col width="12" customWidth="1" style="61" min="14" max="14"/>
    <col width="20" customWidth="1" style="61" min="15" max="15"/>
    <col width="10" customWidth="1" style="61" min="16" max="16"/>
    <col width="16" customWidth="1" style="61" min="17" max="17"/>
    <col width="18" customWidth="1" style="61" min="18" max="18"/>
    <col width="10" customWidth="1" style="61" min="19" max="20"/>
    <col width="11" customWidth="1" style="61" min="21" max="22"/>
    <col width="12" customWidth="1" style="61" min="23" max="25"/>
    <col width="10" customWidth="1" style="61" min="26" max="26"/>
    <col width="12" customWidth="1" style="61" min="27" max="27"/>
    <col width="14" customWidth="1" style="61" min="28" max="29"/>
    <col width="12" customWidth="1" style="61" min="30" max="30"/>
    <col width="16" customWidth="1" style="61" min="31" max="31"/>
    <col width="12" customWidth="1" style="61" min="32" max="32"/>
    <col width="16" customWidth="1" style="61" min="33" max="33"/>
    <col width="26" customWidth="1" style="61" min="34" max="34"/>
    <col width="10" customWidth="1" style="61" min="35" max="35"/>
    <col width="11" customWidth="1" style="61" min="36" max="36"/>
    <col width="13" customWidth="1" style="61" min="37" max="39"/>
    <col width="11" customWidth="1" style="61" min="40" max="40"/>
    <col width="20" customWidth="1" style="61" min="41" max="42"/>
    <col width="18" customWidth="1" style="61" min="43" max="43"/>
    <col width="12" customWidth="1" style="61" min="44" max="44"/>
    <col width="13" customWidth="1" style="61" min="45" max="45"/>
    <col width="15" customWidth="1" style="61" min="46" max="46"/>
    <col width="26" customWidth="1" style="61" min="47" max="47"/>
    <col width="12" customWidth="1" style="61" min="48" max="49"/>
    <col width="16" customWidth="1" style="61" min="50" max="50"/>
    <col width="10" customWidth="1" style="61" min="51" max="51"/>
    <col width="13" customWidth="1" style="61" min="52" max="52"/>
    <col width="24" customWidth="1" style="61" min="53" max="53"/>
    <col width="13" customWidth="1" style="61" min="54" max="54"/>
    <col width="22" customWidth="1" style="61" min="55" max="55"/>
    <col width="12" customWidth="1" style="61" min="56" max="56"/>
    <col width="10" customWidth="1" style="61" min="57" max="57"/>
    <col width="15" customWidth="1" style="61" min="58" max="59"/>
  </cols>
  <sheetData>
    <row r="1" ht="23.25" customHeight="1" s="62">
      <c r="A1" s="91" t="inlineStr">
        <is>
          <t>Rank</t>
        </is>
      </c>
      <c r="B1" s="91" t="inlineStr">
        <is>
          <t>Parcel ID</t>
        </is>
      </c>
      <c r="C1" s="91" t="inlineStr">
        <is>
          <t>Address</t>
        </is>
      </c>
      <c r="D1" s="91" t="inlineStr">
        <is>
          <t>Owner Name</t>
        </is>
      </c>
      <c r="E1" s="91" t="inlineStr">
        <is>
          <t>Mailing Address</t>
        </is>
      </c>
      <c r="F1" s="91" t="inlineStr">
        <is>
          <t>Mail City</t>
        </is>
      </c>
      <c r="G1" s="91" t="inlineStr">
        <is>
          <t>Mail ST</t>
        </is>
      </c>
      <c r="H1" s="91" t="inlineStr">
        <is>
          <t>Current Use</t>
        </is>
      </c>
      <c r="I1" s="91" t="inlineStr">
        <is>
          <t>Lot SF</t>
        </is>
      </c>
      <c r="J1" s="91" t="inlineStr">
        <is>
          <t>Lot Acres</t>
        </is>
      </c>
      <c r="K1" s="91" t="inlineStr">
        <is>
          <t>Perimeter FT</t>
        </is>
      </c>
      <c r="L1" s="91" t="inlineStr">
        <is>
          <t>Compactness</t>
        </is>
      </c>
      <c r="M1" s="91" t="inlineStr">
        <is>
          <t>Lot Band</t>
        </is>
      </c>
      <c r="N1" s="91" t="inlineStr">
        <is>
          <t>Structure Tier</t>
        </is>
      </c>
      <c r="O1" s="91" t="inlineStr">
        <is>
          <t>Compact Band</t>
        </is>
      </c>
      <c r="P1" s="91" t="inlineStr">
        <is>
          <t>Env Risk</t>
        </is>
      </c>
      <c r="Q1" s="91" t="inlineStr">
        <is>
          <t>Absentee Tier</t>
        </is>
      </c>
      <c r="R1" s="91" t="inlineStr">
        <is>
          <t>Owner Class</t>
        </is>
      </c>
      <c r="S1" s="91" t="inlineStr">
        <is>
          <t>Portfolio</t>
        </is>
      </c>
      <c r="T1" s="91" t="inlineStr">
        <is>
          <t>Site Fit</t>
        </is>
      </c>
      <c r="U1" s="91" t="inlineStr">
        <is>
          <t>Readiness</t>
        </is>
      </c>
      <c r="V1" s="91" t="inlineStr">
        <is>
          <t>Combined</t>
        </is>
      </c>
      <c r="W1" s="91" t="inlineStr">
        <is>
          <t>Building SF</t>
        </is>
      </c>
      <c r="X1" s="91" t="inlineStr">
        <is>
          <t>Flood Zone (FEMA NFHL)</t>
        </is>
      </c>
      <c r="Y1" s="91" t="inlineStr">
        <is>
          <t>Outdoor SF</t>
        </is>
      </c>
      <c r="Z1" s="91" t="inlineStr">
        <is>
          <t>Coverage %</t>
        </is>
      </c>
      <c r="AA1" s="91" t="inlineStr">
        <is>
          <t>Parking Est</t>
        </is>
      </c>
      <c r="AB1" s="91" t="inlineStr">
        <is>
          <t>Market Status</t>
        </is>
      </c>
      <c r="AC1" s="91" t="inlineStr">
        <is>
          <t>LoopNet Lot AC</t>
        </is>
      </c>
      <c r="AD1" s="91" t="inlineStr">
        <is>
          <t>Lot Variance</t>
        </is>
      </c>
      <c r="AE1" s="91" t="inlineStr">
        <is>
          <t>Bldg Fit Band</t>
        </is>
      </c>
      <c r="AF1" s="91" t="inlineStr">
        <is>
          <t>Verified Fit</t>
        </is>
      </c>
      <c r="AG1" s="91" t="inlineStr">
        <is>
          <t>Verified Combined</t>
        </is>
      </c>
      <c r="AH1" s="91" t="inlineStr">
        <is>
          <t>Data Source</t>
        </is>
      </c>
      <c r="AI1" s="91" t="inlineStr">
        <is>
          <t>Lat</t>
        </is>
      </c>
      <c r="AJ1" s="91" t="inlineStr">
        <is>
          <t>Lon</t>
        </is>
      </c>
      <c r="AK1" s="91" t="inlineStr">
        <is>
          <t>Mi to MainStrasse</t>
        </is>
      </c>
      <c r="AL1" s="91" t="inlineStr">
        <is>
          <t>Mi to Roebling Pt</t>
        </is>
      </c>
      <c r="AM1" s="91" t="inlineStr">
        <is>
          <t>Mi to Cincy CBD</t>
        </is>
      </c>
      <c r="AN1" s="91" t="inlineStr">
        <is>
          <t>Mi to Core</t>
        </is>
      </c>
      <c r="AO1" s="91" t="inlineStr">
        <is>
          <t>Location Band</t>
        </is>
      </c>
      <c r="AP1" s="91" t="inlineStr">
        <is>
          <t>Convertibility</t>
        </is>
      </c>
      <c r="AQ1" s="91" t="inlineStr">
        <is>
          <t>Outdoor Band</t>
        </is>
      </c>
      <c r="AR1" s="91" t="inlineStr">
        <is>
          <t>Crime Risk</t>
        </is>
      </c>
      <c r="AS1" s="91" t="inlineStr">
        <is>
          <t>Verified Fit v2</t>
        </is>
      </c>
      <c r="AT1" s="91" t="inlineStr">
        <is>
          <t>Verified Combined v2</t>
        </is>
      </c>
      <c r="AU1" s="91" t="inlineStr">
        <is>
          <t>Neighborhood</t>
        </is>
      </c>
      <c r="AV1" s="91" t="inlineStr">
        <is>
          <t>Crime Index</t>
        </is>
      </c>
      <c r="AW1" s="91" t="inlineStr">
        <is>
          <t>Crime Source</t>
        </is>
      </c>
      <c r="AX1" s="91" t="inlineStr">
        <is>
          <t>Crime Band</t>
        </is>
      </c>
      <c r="AY1" s="91" t="inlineStr">
        <is>
          <t>Fit v3</t>
        </is>
      </c>
      <c r="AZ1" s="91" t="inlineStr">
        <is>
          <t>COMBINED v3</t>
        </is>
      </c>
      <c r="BA1" s="91" t="inlineStr">
        <is>
          <t>Availability Class</t>
        </is>
      </c>
      <c r="BB1" s="91" t="inlineStr">
        <is>
          <t>Avail Multiplier</t>
        </is>
      </c>
      <c r="BC1" s="91" t="inlineStr">
        <is>
          <t>Lot Size Class</t>
        </is>
      </c>
      <c r="BD1" s="91" t="inlineStr">
        <is>
          <t>Lot Multiplier</t>
        </is>
      </c>
      <c r="BE1" s="91" t="inlineStr">
        <is>
          <t>Fit (raw factor sum)</t>
        </is>
      </c>
      <c r="BF1" s="91" t="inlineStr">
        <is>
          <t>CHASE SCORE v8</t>
        </is>
      </c>
      <c r="BG1" s="91" t="inlineStr">
        <is>
          <t>Budget Fit @ $11k</t>
        </is>
      </c>
      <c r="BH1" s="61" t="inlineStr">
        <is>
          <t>NDC District</t>
        </is>
      </c>
      <c r="BI1" s="61" t="inlineStr">
        <is>
          <t>District Name</t>
        </is>
      </c>
      <c r="BJ1" s="61" t="inlineStr">
        <is>
          <t>HP Overlay</t>
        </is>
      </c>
      <c r="BK1" s="61" t="inlineStr">
        <is>
          <t>12th St Corridor</t>
        </is>
      </c>
      <c r="BL1" s="61" t="inlineStr">
        <is>
          <t>NDC Bar Status</t>
        </is>
      </c>
      <c r="BM1" s="61" t="inlineStr">
        <is>
          <t>Zoning Mult</t>
        </is>
      </c>
    </row>
    <row r="2" ht="15" customHeight="1" s="62">
      <c r="A2" s="92" t="n">
        <v>1</v>
      </c>
      <c r="B2" s="92" t="inlineStr">
        <is>
          <t>054-22-40-001.01</t>
        </is>
      </c>
      <c r="C2" s="92" t="inlineStr">
        <is>
          <t>1206 CHESAPEAKE ST</t>
        </is>
      </c>
      <c r="D2" s="92" t="inlineStr">
        <is>
          <t>KIRN RONALD C &amp; MELISSA</t>
        </is>
      </c>
      <c r="E2" s="92" t="inlineStr">
        <is>
          <t>408 OLIVIA LN</t>
        </is>
      </c>
      <c r="F2" s="92" t="inlineStr">
        <is>
          <t>FT WRIGHT</t>
        </is>
      </c>
      <c r="G2" s="92" t="inlineStr">
        <is>
          <t>KY</t>
        </is>
      </c>
      <c r="H2" s="92" t="inlineStr">
        <is>
          <t>AUTO SERVICE/REPAIR</t>
        </is>
      </c>
      <c r="I2" s="93" t="n">
        <v>22126</v>
      </c>
      <c r="J2" s="94">
        <f>I2/43560</f>
        <v/>
      </c>
      <c r="K2" s="93" t="n">
        <v>595</v>
      </c>
      <c r="L2" s="95">
        <f>I2/(K2^2)</f>
        <v/>
      </c>
      <c r="M2" s="92" t="inlineStr">
        <is>
          <t>Ideal 18-32k</t>
        </is>
      </c>
      <c r="N2" s="92" t="inlineStr">
        <is>
          <t>A</t>
        </is>
      </c>
      <c r="O2" s="92" t="inlineStr">
        <is>
          <t>Compact &gt;=.055</t>
        </is>
      </c>
      <c r="P2" s="92" t="inlineStr">
        <is>
          <t>Moderate</t>
        </is>
      </c>
      <c r="Q2" s="92" t="inlineStr">
        <is>
          <t>Out-of-city KY</t>
        </is>
      </c>
      <c r="R2" s="92" t="inlineStr">
        <is>
          <t>Individual</t>
        </is>
      </c>
      <c r="S2" s="92" t="n">
        <v>2</v>
      </c>
      <c r="T2" s="96">
        <f>INDEX('Scoring Method'!$B$6:$B$9,MATCH(M2,'Scoring Method'!$A$6:$A$9,0))+INDEX('Scoring Method'!$B$12:$B$16,MATCH(N2,'Scoring Method'!$A$12:$A$16,0))+INDEX('Scoring Method'!$B$19:$B$22,MATCH(O2,'Scoring Method'!$A$19:$A$22,0))+INDEX('Scoring Method'!$B$25:$B$27,MATCH(P2,'Scoring Method'!$A$25:$A$27,0))</f>
        <v/>
      </c>
      <c r="U2" s="96">
        <f>(INDEX('Scoring Method'!$B$30:$B$33,MATCH(Q2,'Scoring Method'!$A$30:$A$33,0))+INDEX('Scoring Method'!$B$36:$B$42,MATCH(R2,'Scoring Method'!$A$36:$A$42,0))+INDEX('Scoring Method'!$B$45:$B$47,MATCH(IF(S2=1,"1",IF(S2=2,"2","3+")),'Scoring Method'!$A$45:$A$47,0)))/90*100</f>
        <v/>
      </c>
      <c r="V2" s="96">
        <f>T2*U2/100</f>
        <v/>
      </c>
      <c r="W2" s="93" t="n">
        <v>5000</v>
      </c>
      <c r="X2" s="92" t="inlineStr">
        <is>
          <t>X (minimal hazard)</t>
        </is>
      </c>
      <c r="Y2" s="93" t="n">
        <v>15000</v>
      </c>
      <c r="Z2" s="97">
        <f>W2/I2</f>
        <v/>
      </c>
      <c r="AA2" s="98">
        <f>MAX(0,(Y2-5000)/300)</f>
        <v/>
      </c>
      <c r="AB2" s="92" t="n"/>
      <c r="AC2" s="92" t="n">
        <v>0.51</v>
      </c>
      <c r="AD2" s="92" t="inlineStr">
        <is>
          <t>ok</t>
        </is>
      </c>
      <c r="AE2" s="92" t="inlineStr">
        <is>
          <t>Large 4-6k</t>
        </is>
      </c>
      <c r="AF2" s="96">
        <f>INDEX('Scoring Method'!$B$63:$B$71,MATCH(AE2,'Scoring Method'!$A$63:$A$71,0))+INDEX('Scoring Method'!$B$75:$B$79,MATCH("Ample &gt;=15k",'Scoring Method'!$A$75:$A$79,0))+INDEX('Scoring Method'!$B$343:$B$347,MATCH(X2,'Scoring Method'!$A$343:$A$347,0))+INDEX('Scoring Method'!$B$25:$B$27,MATCH(P2,'Scoring Method'!$A$25:$A$27,0))</f>
        <v/>
      </c>
      <c r="AG2" s="96">
        <f>AF2*U2/100</f>
        <v/>
      </c>
      <c r="AH2" s="92" t="inlineStr">
        <is>
          <t>LINK-GIS + LoopNet</t>
        </is>
      </c>
      <c r="AI2" s="99" t="n">
        <v>39.07696</v>
      </c>
      <c r="AJ2" s="99" t="n">
        <v>-84.51056</v>
      </c>
      <c r="AK2" s="94" t="n">
        <v>0.65</v>
      </c>
      <c r="AL2" s="94" t="n">
        <v>0.97</v>
      </c>
      <c r="AM2" s="94" t="n">
        <v>1.7</v>
      </c>
      <c r="AN2" s="94" t="n">
        <v>0.49</v>
      </c>
      <c r="AO2" s="92" t="inlineStr">
        <is>
          <t>Near 0.35-0.75mi</t>
        </is>
      </c>
      <c r="AP2" s="92" t="inlineStr">
        <is>
          <t>Open span</t>
        </is>
      </c>
      <c r="AQ2" s="92" t="inlineStr">
        <is>
          <t>Ample &gt;=15k</t>
        </is>
      </c>
      <c r="AR2" s="100" t="n"/>
      <c r="AS2" s="96">
        <f>ROUND(INDEX('Scoring Method'!$B$63:$B$70,MATCH(AE2,'Scoring Method'!$A$63:$A$70,0))*0.625+INDEX('Scoring Method'!$B$105:$B$113,MATCH(AP2,'Scoring Method'!$A$105:$A$113,0))+INDEX('Scoring Method'!$B$74:$B$78,MATCH(AQ2,'Scoring Method'!$A$74:$A$78,0))*0.6667+INDEX('Scoring Method'!$B$96:$B$101,MATCH(AO2,'Scoring Method'!$A$96:$A$101,0))+INDEX('Scoring Method'!$B$343:$B$347,MATCH(X2,'Scoring Method'!$A$343:$A$347,0))*0.3333+INDEX('Scoring Method'!$B$25:$B$27,MATCH(P2,'Scoring Method'!$A$25:$A$27,0))*0.3333,1)</f>
        <v/>
      </c>
      <c r="AT2" s="96">
        <f>AS2*U2/100</f>
        <v/>
      </c>
      <c r="AU2" s="92" t="inlineStr">
        <is>
          <t>Old Seminary Square</t>
        </is>
      </c>
      <c r="AV2" s="92" t="n">
        <v>35</v>
      </c>
      <c r="AW2" s="101" t="inlineStr">
        <is>
          <t>ESTIMATED</t>
        </is>
      </c>
      <c r="AX2" s="92" t="inlineStr">
        <is>
          <t>Elevated 35-44</t>
        </is>
      </c>
      <c r="AY2" s="96">
        <f>ROUND(INDEX('Scoring Method'!$B$132:$B$140,MATCH(AE2,'Scoring Method'!$A$132:$A$140,0))+INDEX('Scoring Method'!$B$144:$B$152,MATCH(AP2,'Scoring Method'!$A$144:$A$152,0))+INDEX('Scoring Method'!$B$156:$B$160,MATCH(AQ2,'Scoring Method'!$A$156:$A$160,0))+INDEX('Scoring Method'!$B$164:$B$169,MATCH(AO2,'Scoring Method'!$A$164:$A$169,0))+INDEX('Scoring Method'!$B$173:$B$178,MATCH(AX2,'Scoring Method'!$A$173:$A$178,0))+INDEX('Scoring Method'!$B$349:$B$353,MATCH(X2,'Scoring Method'!$A$349:$A$353,0))+INDEX('Scoring Method'!$B$188:$B$190,MATCH(P2,'Scoring Method'!$A$188:$A$190,0)),1)</f>
        <v/>
      </c>
      <c r="AZ2" s="96">
        <f>AY2*U2/100</f>
        <v/>
      </c>
      <c r="BA2" s="92" t="inlineStr">
        <is>
          <t>No chain signal</t>
        </is>
      </c>
      <c r="BB2" s="94" t="n">
        <v>1</v>
      </c>
      <c r="BC2" s="92" t="inlineStr">
        <is>
          <t>Right-sized 0.35-0.75 AC</t>
        </is>
      </c>
      <c r="BD2" s="94" t="n">
        <v>1</v>
      </c>
      <c r="BE2" s="96">
        <f>ROUND(INDEX('Scoring Method'!$B$268:$B$276,MATCH(AE2,'Scoring Method'!$A$268:$A$276,0))+INDEX('Scoring Method'!$B$280:$B$288,MATCH(AP2,'Scoring Method'!$A$280:$A$288,0))+INDEX('Scoring Method'!$B$292:$B$296,MATCH(AQ2,'Scoring Method'!$A$292:$A$296,0))+INDEX('Scoring Method'!$B$300:$B$305,MATCH(AO2,'Scoring Method'!$A$300:$A$305,0))+INDEX('Scoring Method'!$B$309:$B$314,MATCH(AX2,'Scoring Method'!$A$309:$A$314,0))+INDEX('Scoring Method'!$B$337:$B$341,MATCH(X2,'Scoring Method'!$A$337:$A$341,0))+INDEX('Scoring Method'!$B$324:$B$326,MATCH(P2,'Scoring Method'!$A$324:$A$326,0)),1)</f>
        <v/>
      </c>
      <c r="BF2" s="96">
        <f>ROUND(INDEX('Scoring Method'!$B$268:$B$276,MATCH(AE2,'Scoring Method'!$A$268:$A$276,0))*BB2*BD2+INDEX('Scoring Method'!$B$280:$B$288,MATCH(AP2,'Scoring Method'!$A$280:$A$288,0))*BM2*BB2*BD2+INDEX('Scoring Method'!$B$292:$B$296,MATCH(AQ2,'Scoring Method'!$A$292:$A$296,0))*BD2+INDEX('Scoring Method'!$B$300:$B$305,MATCH(AO2,'Scoring Method'!$A$300:$A$305,0))*BM2*BB2+INDEX('Scoring Method'!$B$309:$B$314,MATCH(AX2,'Scoring Method'!$A$309:$A$314,0))+INDEX('Scoring Method'!$B$337:$B$341,MATCH(X2,'Scoring Method'!$A$337:$A$341,0))+INDEX('Scoring Method'!$B$324:$B$326,MATCH(P2,'Scoring Method'!$A$324:$A$326,0)),1)</f>
        <v/>
      </c>
      <c r="BG2" s="92" t="inlineStr">
        <is>
          <t>Fits (~$4,583/mo)</t>
        </is>
      </c>
      <c r="BH2" s="61" t="inlineStr">
        <is>
          <t>LI (TS)</t>
        </is>
      </c>
      <c r="BI2" s="61" t="inlineStr">
        <is>
          <t>Limited Industrial</t>
        </is>
      </c>
      <c r="BJ2" s="61" t="inlineStr"/>
      <c r="BK2" s="61" t="inlineStr">
        <is>
          <t>Yes</t>
        </is>
      </c>
      <c r="BL2" s="61" t="inlineStr">
        <is>
          <t>Bar prohibited, alt-path</t>
        </is>
      </c>
      <c r="BM2" s="61">
        <f>INDEX('Scoring Method'!$B$358:$B$363,MATCH(BL2,'Scoring Method'!$A$358:$A$363,0))</f>
        <v/>
      </c>
    </row>
    <row r="3" ht="15" customHeight="1" s="62">
      <c r="A3" s="92" t="n">
        <v>2</v>
      </c>
      <c r="B3" s="92" t="inlineStr">
        <is>
          <t>055-14-12-003.00</t>
        </is>
      </c>
      <c r="C3" s="92" t="inlineStr">
        <is>
          <t>1901 MADISON AVE</t>
        </is>
      </c>
      <c r="D3" s="92" t="inlineStr">
        <is>
          <t>NEW HORIZON PROPERTIES LLC</t>
        </is>
      </c>
      <c r="E3" s="92" t="inlineStr">
        <is>
          <t>3000 READING RD</t>
        </is>
      </c>
      <c r="F3" s="92" t="inlineStr">
        <is>
          <t>CINCINNATI</t>
        </is>
      </c>
      <c r="G3" s="92" t="inlineStr">
        <is>
          <t>OH</t>
        </is>
      </c>
      <c r="H3" s="92" t="inlineStr">
        <is>
          <t>AUTO SERVICE/REPAIR</t>
        </is>
      </c>
      <c r="I3" s="93" t="n">
        <v>18667</v>
      </c>
      <c r="J3" s="94">
        <f>I3/43560</f>
        <v/>
      </c>
      <c r="K3" s="93" t="n">
        <v>658.2</v>
      </c>
      <c r="L3" s="95">
        <f>I3/(K3^2)</f>
        <v/>
      </c>
      <c r="M3" s="92" t="inlineStr">
        <is>
          <t>Ideal 18-32k</t>
        </is>
      </c>
      <c r="N3" s="92" t="inlineStr">
        <is>
          <t>A</t>
        </is>
      </c>
      <c r="O3" s="92" t="inlineStr">
        <is>
          <t>Elongated .035-.045</t>
        </is>
      </c>
      <c r="P3" s="92" t="inlineStr">
        <is>
          <t>Moderate</t>
        </is>
      </c>
      <c r="Q3" s="92" t="inlineStr">
        <is>
          <t>Out-of-state</t>
        </is>
      </c>
      <c r="R3" s="92" t="inlineStr">
        <is>
          <t>Passive vehicle</t>
        </is>
      </c>
      <c r="S3" s="92" t="n">
        <v>2</v>
      </c>
      <c r="T3" s="96">
        <f>INDEX('Scoring Method'!$B$6:$B$9,MATCH(M3,'Scoring Method'!$A$6:$A$9,0))+INDEX('Scoring Method'!$B$12:$B$16,MATCH(N3,'Scoring Method'!$A$12:$A$16,0))+INDEX('Scoring Method'!$B$19:$B$22,MATCH(O3,'Scoring Method'!$A$19:$A$22,0))+INDEX('Scoring Method'!$B$25:$B$27,MATCH(P3,'Scoring Method'!$A$25:$A$27,0))</f>
        <v/>
      </c>
      <c r="U3" s="96">
        <f>(INDEX('Scoring Method'!$B$30:$B$33,MATCH(Q3,'Scoring Method'!$A$30:$A$33,0))+INDEX('Scoring Method'!$B$36:$B$42,MATCH(R3,'Scoring Method'!$A$36:$A$42,0))+INDEX('Scoring Method'!$B$45:$B$47,MATCH(IF(S3=1,"1",IF(S3=2,"2","3+")),'Scoring Method'!$A$45:$A$47,0)))/90*100</f>
        <v/>
      </c>
      <c r="V3" s="96">
        <f>T3*U3/100</f>
        <v/>
      </c>
      <c r="W3" s="93" t="n">
        <v>1260</v>
      </c>
      <c r="X3" s="92" t="inlineStr">
        <is>
          <t>X (minimal hazard)</t>
        </is>
      </c>
      <c r="Y3" s="93" t="n">
        <v>15475</v>
      </c>
      <c r="Z3" s="97">
        <f>W3/I3</f>
        <v/>
      </c>
      <c r="AA3" s="98">
        <f>MAX(0,(Y3-5000)/300)</f>
        <v/>
      </c>
      <c r="AB3" s="92" t="n"/>
      <c r="AC3" s="92" t="n">
        <v>0.43</v>
      </c>
      <c r="AD3" s="92" t="inlineStr">
        <is>
          <t>ok</t>
        </is>
      </c>
      <c r="AE3" s="92" t="inlineStr">
        <is>
          <t>Below 1.2-1.5k</t>
        </is>
      </c>
      <c r="AF3" s="96">
        <f>INDEX('Scoring Method'!$B$63:$B$71,MATCH(AE3,'Scoring Method'!$A$63:$A$71,0))+INDEX('Scoring Method'!$B$75:$B$79,MATCH("Ample &gt;=15k",'Scoring Method'!$A$75:$A$79,0))+INDEX('Scoring Method'!$B$343:$B$347,MATCH(X3,'Scoring Method'!$A$343:$A$347,0))+INDEX('Scoring Method'!$B$25:$B$27,MATCH(P3,'Scoring Method'!$A$25:$A$27,0))</f>
        <v/>
      </c>
      <c r="AG3" s="96">
        <f>AF3*U3/100</f>
        <v/>
      </c>
      <c r="AH3" s="92" t="inlineStr">
        <is>
          <t>LINK-GIS + LoopNet</t>
        </is>
      </c>
      <c r="AI3" s="99" t="n">
        <v>39.06755</v>
      </c>
      <c r="AJ3" s="99" t="n">
        <v>-84.50646</v>
      </c>
      <c r="AK3" s="94" t="n">
        <v>1.32</v>
      </c>
      <c r="AL3" s="94" t="n">
        <v>1.61</v>
      </c>
      <c r="AM3" s="94" t="n">
        <v>2.37</v>
      </c>
      <c r="AN3" s="94" t="n">
        <v>1.16</v>
      </c>
      <c r="AO3" s="92" t="inlineStr">
        <is>
          <t>Fringe 0.75-1.25mi</t>
        </is>
      </c>
      <c r="AP3" s="92" t="inlineStr">
        <is>
          <t>Open span</t>
        </is>
      </c>
      <c r="AQ3" s="92" t="inlineStr">
        <is>
          <t>Ample &gt;=15k</t>
        </is>
      </c>
      <c r="AR3" s="100" t="n"/>
      <c r="AS3" s="96">
        <f>ROUND(INDEX('Scoring Method'!$B$63:$B$70,MATCH(AE3,'Scoring Method'!$A$63:$A$70,0))*0.625+INDEX('Scoring Method'!$B$105:$B$113,MATCH(AP3,'Scoring Method'!$A$105:$A$113,0))+INDEX('Scoring Method'!$B$74:$B$78,MATCH(AQ3,'Scoring Method'!$A$74:$A$78,0))*0.6667+INDEX('Scoring Method'!$B$96:$B$101,MATCH(AO3,'Scoring Method'!$A$96:$A$101,0))+INDEX('Scoring Method'!$B$343:$B$347,MATCH(X3,'Scoring Method'!$A$343:$A$347,0))*0.3333+INDEX('Scoring Method'!$B$25:$B$27,MATCH(P3,'Scoring Method'!$A$25:$A$27,0))*0.3333,1)</f>
        <v/>
      </c>
      <c r="AT3" s="96">
        <f>AS3*U3/100</f>
        <v/>
      </c>
      <c r="AU3" s="92" t="inlineStr">
        <is>
          <t>Levassor Park</t>
        </is>
      </c>
      <c r="AV3" s="92" t="n">
        <v>42</v>
      </c>
      <c r="AW3" s="101" t="inlineStr">
        <is>
          <t>ESTIMATED</t>
        </is>
      </c>
      <c r="AX3" s="92" t="inlineStr">
        <is>
          <t>Elevated 35-44</t>
        </is>
      </c>
      <c r="AY3" s="96">
        <f>ROUND(INDEX('Scoring Method'!$B$132:$B$140,MATCH(AE3,'Scoring Method'!$A$132:$A$140,0))+INDEX('Scoring Method'!$B$144:$B$152,MATCH(AP3,'Scoring Method'!$A$144:$A$152,0))+INDEX('Scoring Method'!$B$156:$B$160,MATCH(AQ3,'Scoring Method'!$A$156:$A$160,0))+INDEX('Scoring Method'!$B$164:$B$169,MATCH(AO3,'Scoring Method'!$A$164:$A$169,0))+INDEX('Scoring Method'!$B$173:$B$178,MATCH(AX3,'Scoring Method'!$A$173:$A$178,0))+INDEX('Scoring Method'!$B$349:$B$353,MATCH(X3,'Scoring Method'!$A$349:$A$353,0))+INDEX('Scoring Method'!$B$188:$B$190,MATCH(P3,'Scoring Method'!$A$188:$A$190,0)),1)</f>
        <v/>
      </c>
      <c r="AZ3" s="96">
        <f>AY3*U3/100</f>
        <v/>
      </c>
      <c r="BA3" s="92" t="inlineStr">
        <is>
          <t>No chain signal</t>
        </is>
      </c>
      <c r="BB3" s="94" t="n">
        <v>1</v>
      </c>
      <c r="BC3" s="92" t="inlineStr">
        <is>
          <t>Right-sized 0.35-0.75 AC</t>
        </is>
      </c>
      <c r="BD3" s="94" t="n">
        <v>1</v>
      </c>
      <c r="BE3" s="96">
        <f>ROUND(INDEX('Scoring Method'!$B$268:$B$276,MATCH(AE3,'Scoring Method'!$A$268:$A$276,0))+INDEX('Scoring Method'!$B$280:$B$288,MATCH(AP3,'Scoring Method'!$A$280:$A$288,0))+INDEX('Scoring Method'!$B$292:$B$296,MATCH(AQ3,'Scoring Method'!$A$292:$A$296,0))+INDEX('Scoring Method'!$B$300:$B$305,MATCH(AO3,'Scoring Method'!$A$300:$A$305,0))+INDEX('Scoring Method'!$B$309:$B$314,MATCH(AX3,'Scoring Method'!$A$309:$A$314,0))+INDEX('Scoring Method'!$B$337:$B$341,MATCH(X3,'Scoring Method'!$A$337:$A$341,0))+INDEX('Scoring Method'!$B$324:$B$326,MATCH(P3,'Scoring Method'!$A$324:$A$326,0)),1)</f>
        <v/>
      </c>
      <c r="BF3" s="96">
        <f>ROUND(INDEX('Scoring Method'!$B$268:$B$276,MATCH(AE3,'Scoring Method'!$A$268:$A$276,0))*BB3*BD3+INDEX('Scoring Method'!$B$280:$B$288,MATCH(AP3,'Scoring Method'!$A$280:$A$288,0))*BM3*BB3*BD3+INDEX('Scoring Method'!$B$292:$B$296,MATCH(AQ3,'Scoring Method'!$A$292:$A$296,0))*BD3+INDEX('Scoring Method'!$B$300:$B$305,MATCH(AO3,'Scoring Method'!$A$300:$A$305,0))*BM3*BB3+INDEX('Scoring Method'!$B$309:$B$314,MATCH(AX3,'Scoring Method'!$A$309:$A$314,0))+INDEX('Scoring Method'!$B$337:$B$341,MATCH(X3,'Scoring Method'!$A$337:$A$341,0))+INDEX('Scoring Method'!$B$324:$B$326,MATCH(P3,'Scoring Method'!$A$324:$A$326,0)),1)</f>
        <v/>
      </c>
      <c r="BG3" s="92" t="inlineStr">
        <is>
          <t>Fits (~$1,155/mo)</t>
        </is>
      </c>
      <c r="BH3" s="61" t="inlineStr">
        <is>
          <t>AUC</t>
        </is>
      </c>
      <c r="BI3" s="61" t="inlineStr">
        <is>
          <t>Auto-Urban Commercial</t>
        </is>
      </c>
      <c r="BJ3" s="61" t="inlineStr"/>
      <c r="BK3" s="61" t="inlineStr"/>
      <c r="BL3" s="61" t="inlineStr">
        <is>
          <t>Bar permitted</t>
        </is>
      </c>
      <c r="BM3" s="61">
        <f>INDEX('Scoring Method'!$B$358:$B$363,MATCH(BL3,'Scoring Method'!$A$358:$A$363,0))</f>
        <v/>
      </c>
    </row>
    <row r="4" ht="15" customHeight="1" s="62">
      <c r="A4" s="92" t="n">
        <v>3</v>
      </c>
      <c r="B4" s="92" t="inlineStr">
        <is>
          <t>040-43-07-001.01</t>
        </is>
      </c>
      <c r="C4" s="92" t="inlineStr">
        <is>
          <t>501 W 4TH ST</t>
        </is>
      </c>
      <c r="D4" s="92" t="inlineStr">
        <is>
          <t>DAYAN MICHELLE &amp; CHEN</t>
        </is>
      </c>
      <c r="E4" s="92" t="inlineStr">
        <is>
          <t>2424 RIDGE RD</t>
        </is>
      </c>
      <c r="F4" s="92" t="inlineStr">
        <is>
          <t>ROCKWALL</t>
        </is>
      </c>
      <c r="G4" s="92" t="inlineStr">
        <is>
          <t>TX</t>
        </is>
      </c>
      <c r="H4" s="92" t="inlineStr">
        <is>
          <t>FAST FOOD-DRIVE THRU REST</t>
        </is>
      </c>
      <c r="I4" s="93" t="n">
        <v>23325</v>
      </c>
      <c r="J4" s="94">
        <f>I4/43560</f>
        <v/>
      </c>
      <c r="K4" s="93" t="n">
        <v>645</v>
      </c>
      <c r="L4" s="95">
        <f>I4/(K4^2)</f>
        <v/>
      </c>
      <c r="M4" s="92" t="inlineStr">
        <is>
          <t>Ideal 18-32k</t>
        </is>
      </c>
      <c r="N4" s="92" t="inlineStr">
        <is>
          <t>C</t>
        </is>
      </c>
      <c r="O4" s="92" t="inlineStr">
        <is>
          <t>Compact &gt;=.055</t>
        </is>
      </c>
      <c r="P4" s="92" t="inlineStr">
        <is>
          <t>Low</t>
        </is>
      </c>
      <c r="Q4" s="92" t="inlineStr">
        <is>
          <t>Out-of-state</t>
        </is>
      </c>
      <c r="R4" s="92" t="inlineStr">
        <is>
          <t>Individual</t>
        </is>
      </c>
      <c r="S4" s="92" t="n">
        <v>1</v>
      </c>
      <c r="T4" s="96">
        <f>INDEX('Scoring Method'!$B$6:$B$9,MATCH(M4,'Scoring Method'!$A$6:$A$9,0))+INDEX('Scoring Method'!$B$12:$B$16,MATCH(N4,'Scoring Method'!$A$12:$A$16,0))+INDEX('Scoring Method'!$B$19:$B$22,MATCH(O4,'Scoring Method'!$A$19:$A$22,0))+INDEX('Scoring Method'!$B$25:$B$27,MATCH(P4,'Scoring Method'!$A$25:$A$27,0))</f>
        <v/>
      </c>
      <c r="U4" s="96">
        <f>(INDEX('Scoring Method'!$B$30:$B$33,MATCH(Q4,'Scoring Method'!$A$30:$A$33,0))+INDEX('Scoring Method'!$B$36:$B$42,MATCH(R4,'Scoring Method'!$A$36:$A$42,0))+INDEX('Scoring Method'!$B$45:$B$47,MATCH(IF(S4=1,"1",IF(S4=2,"2","3+")),'Scoring Method'!$A$45:$A$47,0)))/90*100</f>
        <v/>
      </c>
      <c r="V4" s="96">
        <f>T4*U4/100</f>
        <v/>
      </c>
      <c r="W4" s="93" t="n"/>
      <c r="X4" s="92" t="inlineStr">
        <is>
          <t>X (minimal hazard)</t>
        </is>
      </c>
      <c r="Y4" s="93" t="n">
        <v>20300</v>
      </c>
      <c r="Z4" s="97" t="n"/>
      <c r="AA4" s="98" t="n"/>
      <c r="AB4" s="92" t="n"/>
      <c r="AC4" s="92" t="n">
        <v>0.54</v>
      </c>
      <c r="AD4" s="92" t="inlineStr">
        <is>
          <t>ok</t>
        </is>
      </c>
      <c r="AE4" s="92" t="inlineStr">
        <is>
          <t>No building</t>
        </is>
      </c>
      <c r="AF4" s="96">
        <f>INDEX('Scoring Method'!$B$63:$B$71,MATCH(AE4,'Scoring Method'!$A$63:$A$71,0))+INDEX('Scoring Method'!$B$75:$B$79,MATCH("Ample &gt;=15k",'Scoring Method'!$A$75:$A$79,0))+INDEX('Scoring Method'!$B$343:$B$347,MATCH(X4,'Scoring Method'!$A$343:$A$347,0))+INDEX('Scoring Method'!$B$25:$B$27,MATCH(P4,'Scoring Method'!$A$25:$A$27,0))</f>
        <v/>
      </c>
      <c r="AG4" s="96">
        <f>AF4*U4/100</f>
        <v/>
      </c>
      <c r="AH4" s="92" t="inlineStr">
        <is>
          <t>LINK-GIS + LoopNet</t>
        </is>
      </c>
      <c r="AI4" s="99" t="n">
        <v>39.08608</v>
      </c>
      <c r="AJ4" s="99" t="n">
        <v>-84.51918000000001</v>
      </c>
      <c r="AK4" s="94" t="n">
        <v>0.14</v>
      </c>
      <c r="AL4" s="94" t="n">
        <v>0.67</v>
      </c>
      <c r="AM4" s="94" t="n">
        <v>1.13</v>
      </c>
      <c r="AN4" s="94" t="n">
        <v>0.14</v>
      </c>
      <c r="AO4" s="92" t="inlineStr">
        <is>
          <t>Core &lt;=0.35mi</t>
        </is>
      </c>
      <c r="AP4" s="92" t="inlineStr">
        <is>
          <t>Built-out kitchen</t>
        </is>
      </c>
      <c r="AQ4" s="92" t="inlineStr">
        <is>
          <t>Ample &gt;=15k</t>
        </is>
      </c>
      <c r="AR4" s="100" t="n"/>
      <c r="AS4" s="96">
        <f>ROUND(INDEX('Scoring Method'!$B$63:$B$70,MATCH(AE4,'Scoring Method'!$A$63:$A$70,0))*0.625+INDEX('Scoring Method'!$B$105:$B$113,MATCH(AP4,'Scoring Method'!$A$105:$A$113,0))+INDEX('Scoring Method'!$B$74:$B$78,MATCH(AQ4,'Scoring Method'!$A$74:$A$78,0))*0.6667+INDEX('Scoring Method'!$B$96:$B$101,MATCH(AO4,'Scoring Method'!$A$96:$A$101,0))+INDEX('Scoring Method'!$B$343:$B$347,MATCH(X4,'Scoring Method'!$A$343:$A$347,0))*0.3333+INDEX('Scoring Method'!$B$25:$B$27,MATCH(P4,'Scoring Method'!$A$25:$A$27,0))*0.3333,1)</f>
        <v/>
      </c>
      <c r="AT4" s="96">
        <f>AS4*U4/100</f>
        <v/>
      </c>
      <c r="AU4" s="92" t="inlineStr">
        <is>
          <t>Botany Hills / Riverfront West</t>
        </is>
      </c>
      <c r="AV4" s="92" t="n">
        <v>45</v>
      </c>
      <c r="AW4" s="101" t="inlineStr">
        <is>
          <t>ESTIMATED</t>
        </is>
      </c>
      <c r="AX4" s="92" t="inlineStr">
        <is>
          <t>Mixed 45-59</t>
        </is>
      </c>
      <c r="AY4" s="96">
        <f>ROUND(INDEX('Scoring Method'!$B$132:$B$140,MATCH(AE4,'Scoring Method'!$A$132:$A$140,0))+INDEX('Scoring Method'!$B$144:$B$152,MATCH(AP4,'Scoring Method'!$A$144:$A$152,0))+INDEX('Scoring Method'!$B$156:$B$160,MATCH(AQ4,'Scoring Method'!$A$156:$A$160,0))+INDEX('Scoring Method'!$B$164:$B$169,MATCH(AO4,'Scoring Method'!$A$164:$A$169,0))+INDEX('Scoring Method'!$B$173:$B$178,MATCH(AX4,'Scoring Method'!$A$173:$A$178,0))+INDEX('Scoring Method'!$B$349:$B$353,MATCH(X4,'Scoring Method'!$A$349:$A$353,0))+INDEX('Scoring Method'!$B$188:$B$190,MATCH(P4,'Scoring Method'!$A$188:$A$190,0)),1)</f>
        <v/>
      </c>
      <c r="AZ4" s="96">
        <f>AY4*U4/100</f>
        <v/>
      </c>
      <c r="BA4" s="102" t="inlineStr">
        <is>
          <t>Chain format + local owner</t>
        </is>
      </c>
      <c r="BB4" s="94" t="n">
        <v>0.7</v>
      </c>
      <c r="BC4" s="92" t="inlineStr">
        <is>
          <t>Right-sized 0.35-0.75 AC</t>
        </is>
      </c>
      <c r="BD4" s="94" t="n">
        <v>1</v>
      </c>
      <c r="BE4" s="96">
        <f>ROUND(INDEX('Scoring Method'!$B$268:$B$276,MATCH(AE4,'Scoring Method'!$A$268:$A$276,0))+INDEX('Scoring Method'!$B$280:$B$288,MATCH(AP4,'Scoring Method'!$A$280:$A$288,0))+INDEX('Scoring Method'!$B$292:$B$296,MATCH(AQ4,'Scoring Method'!$A$292:$A$296,0))+INDEX('Scoring Method'!$B$300:$B$305,MATCH(AO4,'Scoring Method'!$A$300:$A$305,0))+INDEX('Scoring Method'!$B$309:$B$314,MATCH(AX4,'Scoring Method'!$A$309:$A$314,0))+INDEX('Scoring Method'!$B$337:$B$341,MATCH(X4,'Scoring Method'!$A$337:$A$341,0))+INDEX('Scoring Method'!$B$324:$B$326,MATCH(P4,'Scoring Method'!$A$324:$A$326,0)),1)</f>
        <v/>
      </c>
      <c r="BF4" s="96">
        <f>ROUND(INDEX('Scoring Method'!$B$268:$B$276,MATCH(AE4,'Scoring Method'!$A$268:$A$276,0))*BB4*BD4+INDEX('Scoring Method'!$B$280:$B$288,MATCH(AP4,'Scoring Method'!$A$280:$A$288,0))*BM4*BB4*BD4+INDEX('Scoring Method'!$B$292:$B$296,MATCH(AQ4,'Scoring Method'!$A$292:$A$296,0))*BD4+INDEX('Scoring Method'!$B$300:$B$305,MATCH(AO4,'Scoring Method'!$A$300:$A$305,0))*BM4*BB4+INDEX('Scoring Method'!$B$309:$B$314,MATCH(AX4,'Scoring Method'!$A$309:$A$314,0))+INDEX('Scoring Method'!$B$337:$B$341,MATCH(X4,'Scoring Method'!$A$337:$A$341,0))+INDEX('Scoring Method'!$B$324:$B$326,MATCH(P4,'Scoring Method'!$A$324:$A$326,0)),1)</f>
        <v/>
      </c>
      <c r="BG4" s="92" t="n"/>
      <c r="BH4" s="61" t="inlineStr">
        <is>
          <t>AUC</t>
        </is>
      </c>
      <c r="BI4" s="61" t="inlineStr">
        <is>
          <t>Auto-Urban Commercial</t>
        </is>
      </c>
      <c r="BJ4" s="61" t="inlineStr"/>
      <c r="BK4" s="61" t="inlineStr"/>
      <c r="BL4" s="61" t="inlineStr">
        <is>
          <t>Bar permitted</t>
        </is>
      </c>
      <c r="BM4" s="61">
        <f>INDEX('Scoring Method'!$B$358:$B$363,MATCH(BL4,'Scoring Method'!$A$358:$A$363,0))</f>
        <v/>
      </c>
    </row>
    <row r="5" ht="15" customHeight="1" s="62">
      <c r="A5" s="92" t="n">
        <v>4</v>
      </c>
      <c r="B5" s="92" t="inlineStr">
        <is>
          <t>054-23-13-001.00</t>
        </is>
      </c>
      <c r="C5" s="92" t="inlineStr">
        <is>
          <t>602 SCOTT ST</t>
        </is>
      </c>
      <c r="D5" s="92" t="inlineStr">
        <is>
          <t>CUMMINS THOMAS M &amp; PATRICIA</t>
        </is>
      </c>
      <c r="E5" s="92" t="inlineStr">
        <is>
          <t>3638 ROUND BOTTOM RD</t>
        </is>
      </c>
      <c r="F5" s="92" t="inlineStr">
        <is>
          <t>CINCINNATI</t>
        </is>
      </c>
      <c r="G5" s="92" t="inlineStr">
        <is>
          <t>OH</t>
        </is>
      </c>
      <c r="H5" s="92" t="inlineStr">
        <is>
          <t>FAST FOOD-DRIVE THRU REST</t>
        </is>
      </c>
      <c r="I5" s="93" t="n">
        <v>22010</v>
      </c>
      <c r="J5" s="94">
        <f>I5/43560</f>
        <v/>
      </c>
      <c r="K5" s="93" t="n">
        <v>612</v>
      </c>
      <c r="L5" s="95">
        <f>I5/(K5^2)</f>
        <v/>
      </c>
      <c r="M5" s="92" t="inlineStr">
        <is>
          <t>Ideal 18-32k</t>
        </is>
      </c>
      <c r="N5" s="92" t="inlineStr">
        <is>
          <t>C</t>
        </is>
      </c>
      <c r="O5" s="92" t="inlineStr">
        <is>
          <t>Compact &gt;=.055</t>
        </is>
      </c>
      <c r="P5" s="92" t="inlineStr">
        <is>
          <t>Low</t>
        </is>
      </c>
      <c r="Q5" s="92" t="inlineStr">
        <is>
          <t>Out-of-state</t>
        </is>
      </c>
      <c r="R5" s="92" t="inlineStr">
        <is>
          <t>Individual</t>
        </is>
      </c>
      <c r="S5" s="92" t="n">
        <v>1</v>
      </c>
      <c r="T5" s="96">
        <f>INDEX('Scoring Method'!$B$6:$B$9,MATCH(M5,'Scoring Method'!$A$6:$A$9,0))+INDEX('Scoring Method'!$B$12:$B$16,MATCH(N5,'Scoring Method'!$A$12:$A$16,0))+INDEX('Scoring Method'!$B$19:$B$22,MATCH(O5,'Scoring Method'!$A$19:$A$22,0))+INDEX('Scoring Method'!$B$25:$B$27,MATCH(P5,'Scoring Method'!$A$25:$A$27,0))</f>
        <v/>
      </c>
      <c r="U5" s="96">
        <f>(INDEX('Scoring Method'!$B$30:$B$33,MATCH(Q5,'Scoring Method'!$A$30:$A$33,0))+INDEX('Scoring Method'!$B$36:$B$42,MATCH(R5,'Scoring Method'!$A$36:$A$42,0))+INDEX('Scoring Method'!$B$45:$B$47,MATCH(IF(S5=1,"1",IF(S5=2,"2","3+")),'Scoring Method'!$A$45:$A$47,0)))/90*100</f>
        <v/>
      </c>
      <c r="V5" s="96">
        <f>T5*U5/100</f>
        <v/>
      </c>
      <c r="W5" s="93" t="n">
        <v>2350</v>
      </c>
      <c r="X5" s="92" t="inlineStr">
        <is>
          <t>X (minimal hazard)</t>
        </is>
      </c>
      <c r="Y5" s="93" t="n">
        <v>16775</v>
      </c>
      <c r="Z5" s="97">
        <f>W5/I5</f>
        <v/>
      </c>
      <c r="AA5" s="98">
        <f>MAX(0,(Y5-5000)/300)</f>
        <v/>
      </c>
      <c r="AB5" s="92" t="n"/>
      <c r="AC5" s="92" t="n">
        <v>0.51</v>
      </c>
      <c r="AD5" s="92" t="inlineStr">
        <is>
          <t>ok</t>
        </is>
      </c>
      <c r="AE5" s="92" t="inlineStr">
        <is>
          <t>Target 1.5-2.5k</t>
        </is>
      </c>
      <c r="AF5" s="96">
        <f>INDEX('Scoring Method'!$B$63:$B$71,MATCH(AE5,'Scoring Method'!$A$63:$A$71,0))+INDEX('Scoring Method'!$B$75:$B$79,MATCH("Ample &gt;=15k",'Scoring Method'!$A$75:$A$79,0))+INDEX('Scoring Method'!$B$343:$B$347,MATCH(X5,'Scoring Method'!$A$343:$A$347,0))+INDEX('Scoring Method'!$B$25:$B$27,MATCH(P5,'Scoring Method'!$A$25:$A$27,0))</f>
        <v/>
      </c>
      <c r="AG5" s="96">
        <f>AF5*U5/100</f>
        <v/>
      </c>
      <c r="AH5" s="92" t="inlineStr">
        <is>
          <t>LINK-GIS + LoopNet</t>
        </is>
      </c>
      <c r="AI5" s="99" t="n">
        <v>39.08475</v>
      </c>
      <c r="AJ5" s="99" t="n">
        <v>-84.50838</v>
      </c>
      <c r="AK5" s="94" t="n">
        <v>0.51</v>
      </c>
      <c r="AL5" s="94" t="n">
        <v>0.42</v>
      </c>
      <c r="AM5" s="94" t="n">
        <v>1.18</v>
      </c>
      <c r="AN5" s="94" t="n">
        <v>0.15</v>
      </c>
      <c r="AO5" s="92" t="inlineStr">
        <is>
          <t>Core &lt;=0.35mi</t>
        </is>
      </c>
      <c r="AP5" s="92" t="inlineStr">
        <is>
          <t>Built-out kitchen</t>
        </is>
      </c>
      <c r="AQ5" s="92" t="inlineStr">
        <is>
          <t>Ample &gt;=15k</t>
        </is>
      </c>
      <c r="AR5" s="100" t="n"/>
      <c r="AS5" s="96">
        <f>ROUND(INDEX('Scoring Method'!$B$63:$B$70,MATCH(AE5,'Scoring Method'!$A$63:$A$70,0))*0.625+INDEX('Scoring Method'!$B$105:$B$113,MATCH(AP5,'Scoring Method'!$A$105:$A$113,0))+INDEX('Scoring Method'!$B$74:$B$78,MATCH(AQ5,'Scoring Method'!$A$74:$A$78,0))*0.6667+INDEX('Scoring Method'!$B$96:$B$101,MATCH(AO5,'Scoring Method'!$A$96:$A$101,0))+INDEX('Scoring Method'!$B$343:$B$347,MATCH(X5,'Scoring Method'!$A$343:$A$347,0))*0.3333+INDEX('Scoring Method'!$B$25:$B$27,MATCH(P5,'Scoring Method'!$A$25:$A$27,0))*0.3333,1)</f>
        <v/>
      </c>
      <c r="AT5" s="96">
        <f>AS5*U5/100</f>
        <v/>
      </c>
      <c r="AU5" s="92" t="inlineStr">
        <is>
          <t>Central Business District</t>
        </is>
      </c>
      <c r="AV5" s="92" t="n">
        <v>48</v>
      </c>
      <c r="AW5" s="101" t="inlineStr">
        <is>
          <t>ESTIMATED</t>
        </is>
      </c>
      <c r="AX5" s="92" t="inlineStr">
        <is>
          <t>Mixed 45-59</t>
        </is>
      </c>
      <c r="AY5" s="96">
        <f>ROUND(INDEX('Scoring Method'!$B$132:$B$140,MATCH(AE5,'Scoring Method'!$A$132:$A$140,0))+INDEX('Scoring Method'!$B$144:$B$152,MATCH(AP5,'Scoring Method'!$A$144:$A$152,0))+INDEX('Scoring Method'!$B$156:$B$160,MATCH(AQ5,'Scoring Method'!$A$156:$A$160,0))+INDEX('Scoring Method'!$B$164:$B$169,MATCH(AO5,'Scoring Method'!$A$164:$A$169,0))+INDEX('Scoring Method'!$B$173:$B$178,MATCH(AX5,'Scoring Method'!$A$173:$A$178,0))+INDEX('Scoring Method'!$B$349:$B$353,MATCH(X5,'Scoring Method'!$A$349:$A$353,0))+INDEX('Scoring Method'!$B$188:$B$190,MATCH(P5,'Scoring Method'!$A$188:$A$190,0)),1)</f>
        <v/>
      </c>
      <c r="AZ5" s="96">
        <f>AY5*U5/100</f>
        <v/>
      </c>
      <c r="BA5" s="102" t="inlineStr">
        <is>
          <t>Chain format + local owner</t>
        </is>
      </c>
      <c r="BB5" s="94" t="n">
        <v>0.7</v>
      </c>
      <c r="BC5" s="92" t="inlineStr">
        <is>
          <t>Right-sized 0.35-0.75 AC</t>
        </is>
      </c>
      <c r="BD5" s="94" t="n">
        <v>1</v>
      </c>
      <c r="BE5" s="96">
        <f>ROUND(INDEX('Scoring Method'!$B$268:$B$276,MATCH(AE5,'Scoring Method'!$A$268:$A$276,0))+INDEX('Scoring Method'!$B$280:$B$288,MATCH(AP5,'Scoring Method'!$A$280:$A$288,0))+INDEX('Scoring Method'!$B$292:$B$296,MATCH(AQ5,'Scoring Method'!$A$292:$A$296,0))+INDEX('Scoring Method'!$B$300:$B$305,MATCH(AO5,'Scoring Method'!$A$300:$A$305,0))+INDEX('Scoring Method'!$B$309:$B$314,MATCH(AX5,'Scoring Method'!$A$309:$A$314,0))+INDEX('Scoring Method'!$B$337:$B$341,MATCH(X5,'Scoring Method'!$A$337:$A$341,0))+INDEX('Scoring Method'!$B$324:$B$326,MATCH(P5,'Scoring Method'!$A$324:$A$326,0)),1)</f>
        <v/>
      </c>
      <c r="BF5" s="96">
        <f>ROUND(INDEX('Scoring Method'!$B$268:$B$276,MATCH(AE5,'Scoring Method'!$A$268:$A$276,0))*BB5*BD5+INDEX('Scoring Method'!$B$280:$B$288,MATCH(AP5,'Scoring Method'!$A$280:$A$288,0))*BM5*BB5*BD5+INDEX('Scoring Method'!$B$292:$B$296,MATCH(AQ5,'Scoring Method'!$A$292:$A$296,0))*BD5+INDEX('Scoring Method'!$B$300:$B$305,MATCH(AO5,'Scoring Method'!$A$300:$A$305,0))*BM5*BB5+INDEX('Scoring Method'!$B$309:$B$314,MATCH(AX5,'Scoring Method'!$A$309:$A$314,0))+INDEX('Scoring Method'!$B$337:$B$341,MATCH(X5,'Scoring Method'!$A$337:$A$341,0))+INDEX('Scoring Method'!$B$324:$B$326,MATCH(P5,'Scoring Method'!$A$324:$A$326,0)),1)</f>
        <v/>
      </c>
      <c r="BG5" s="92" t="inlineStr">
        <is>
          <t>Fits (~$2,154/mo)</t>
        </is>
      </c>
      <c r="BH5" s="61" t="inlineStr">
        <is>
          <t>DTC (HP)</t>
        </is>
      </c>
      <c r="BI5" s="61" t="inlineStr">
        <is>
          <t>Downtown Core</t>
        </is>
      </c>
      <c r="BJ5" s="61" t="inlineStr">
        <is>
          <t>HP</t>
        </is>
      </c>
      <c r="BK5" s="61" t="inlineStr"/>
      <c r="BL5" s="61" t="inlineStr">
        <is>
          <t>Bar permitted</t>
        </is>
      </c>
      <c r="BM5" s="61">
        <f>INDEX('Scoring Method'!$B$358:$B$363,MATCH(BL5,'Scoring Method'!$A$358:$A$363,0))</f>
        <v/>
      </c>
    </row>
    <row r="6" ht="15" customHeight="1" s="62">
      <c r="A6" s="92" t="n">
        <v>5</v>
      </c>
      <c r="B6" s="92" t="inlineStr">
        <is>
          <t>054-24-03-004.00</t>
        </is>
      </c>
      <c r="C6" s="92" t="inlineStr">
        <is>
          <t>1041 MADISON AVE</t>
        </is>
      </c>
      <c r="D6" s="92" t="inlineStr">
        <is>
          <t>MURPHY &amp; ROWDY ENTERPRISES LLC</t>
        </is>
      </c>
      <c r="E6" s="92" t="inlineStr">
        <is>
          <t>915 W 8TH ST</t>
        </is>
      </c>
      <c r="F6" s="92" t="inlineStr">
        <is>
          <t>CINCINNATI</t>
        </is>
      </c>
      <c r="G6" s="92" t="inlineStr">
        <is>
          <t>OH</t>
        </is>
      </c>
      <c r="H6" s="92" t="inlineStr">
        <is>
          <t>MFG/ASSEMBLY 20000 SF OR LESS</t>
        </is>
      </c>
      <c r="I6" s="93" t="n">
        <v>20908</v>
      </c>
      <c r="J6" s="94">
        <f>I6/43560</f>
        <v/>
      </c>
      <c r="K6" s="93" t="n">
        <v>639.1</v>
      </c>
      <c r="L6" s="95">
        <f>I6/(K6^2)</f>
        <v/>
      </c>
      <c r="M6" s="92" t="inlineStr">
        <is>
          <t>Ideal 18-32k</t>
        </is>
      </c>
      <c r="N6" s="92" t="inlineStr">
        <is>
          <t>A</t>
        </is>
      </c>
      <c r="O6" s="92" t="inlineStr">
        <is>
          <t>Regular .045-.055</t>
        </is>
      </c>
      <c r="P6" s="92" t="inlineStr">
        <is>
          <t>Moderate</t>
        </is>
      </c>
      <c r="Q6" s="92" t="inlineStr">
        <is>
          <t>Out-of-state</t>
        </is>
      </c>
      <c r="R6" s="92" t="inlineStr">
        <is>
          <t>Passive vehicle</t>
        </is>
      </c>
      <c r="S6" s="92" t="n">
        <v>1</v>
      </c>
      <c r="T6" s="96">
        <f>INDEX('Scoring Method'!$B$6:$B$9,MATCH(M6,'Scoring Method'!$A$6:$A$9,0))+INDEX('Scoring Method'!$B$12:$B$16,MATCH(N6,'Scoring Method'!$A$12:$A$16,0))+INDEX('Scoring Method'!$B$19:$B$22,MATCH(O6,'Scoring Method'!$A$19:$A$22,0))+INDEX('Scoring Method'!$B$25:$B$27,MATCH(P6,'Scoring Method'!$A$25:$A$27,0))</f>
        <v/>
      </c>
      <c r="U6" s="96">
        <f>(INDEX('Scoring Method'!$B$30:$B$33,MATCH(Q6,'Scoring Method'!$A$30:$A$33,0))+INDEX('Scoring Method'!$B$36:$B$42,MATCH(R6,'Scoring Method'!$A$36:$A$42,0))+INDEX('Scoring Method'!$B$45:$B$47,MATCH(IF(S6=1,"1",IF(S6=2,"2","3+")),'Scoring Method'!$A$45:$A$47,0)))/90*100</f>
        <v/>
      </c>
      <c r="V6" s="96">
        <f>T6*U6/100</f>
        <v/>
      </c>
      <c r="W6" s="93" t="n">
        <v>14000</v>
      </c>
      <c r="X6" s="92" t="inlineStr">
        <is>
          <t>X (minimal hazard)</t>
        </is>
      </c>
      <c r="Y6" s="93" t="n">
        <v>3225</v>
      </c>
      <c r="Z6" s="97">
        <f>W6/I6</f>
        <v/>
      </c>
      <c r="AA6" s="98">
        <f>MAX(0,(Y6-5000)/300)</f>
        <v/>
      </c>
      <c r="AB6" s="92" t="n"/>
      <c r="AC6" s="92" t="n">
        <v>0.44</v>
      </c>
      <c r="AD6" s="92" t="inlineStr">
        <is>
          <t>ok</t>
        </is>
      </c>
      <c r="AE6" s="92" t="inlineStr">
        <is>
          <t>Far oversize &gt;12k</t>
        </is>
      </c>
      <c r="AF6" s="96">
        <f>INDEX('Scoring Method'!$B$63:$B$71,MATCH(AE6,'Scoring Method'!$A$63:$A$71,0))+INDEX('Scoring Method'!$B$75:$B$79,MATCH("Tight 2-5k",'Scoring Method'!$A$75:$A$79,0))+INDEX('Scoring Method'!$B$343:$B$347,MATCH(X6,'Scoring Method'!$A$343:$A$347,0))+INDEX('Scoring Method'!$B$25:$B$27,MATCH(P6,'Scoring Method'!$A$25:$A$27,0))</f>
        <v/>
      </c>
      <c r="AG6" s="96">
        <f>AF6*U6/100</f>
        <v/>
      </c>
      <c r="AH6" s="92" t="inlineStr">
        <is>
          <t>LINK-GIS + LoopNet</t>
        </is>
      </c>
      <c r="AI6" s="99" t="n">
        <v>39.07912</v>
      </c>
      <c r="AJ6" s="99" t="n">
        <v>-84.50942000000001</v>
      </c>
      <c r="AK6" s="94" t="n">
        <v>0.58</v>
      </c>
      <c r="AL6" s="94" t="n">
        <v>0.8100000000000001</v>
      </c>
      <c r="AM6" s="94" t="n">
        <v>1.55</v>
      </c>
      <c r="AN6" s="94" t="n">
        <v>0.35</v>
      </c>
      <c r="AO6" s="92" t="inlineStr">
        <is>
          <t>Core &lt;=0.35mi</t>
        </is>
      </c>
      <c r="AP6" s="92" t="inlineStr">
        <is>
          <t>Open span</t>
        </is>
      </c>
      <c r="AQ6" s="92" t="inlineStr">
        <is>
          <t>Tight 2-5k</t>
        </is>
      </c>
      <c r="AR6" s="100" t="n"/>
      <c r="AS6" s="96">
        <f>ROUND(INDEX('Scoring Method'!$B$63:$B$70,MATCH(AE6,'Scoring Method'!$A$63:$A$70,0))*0.625+INDEX('Scoring Method'!$B$105:$B$113,MATCH(AP6,'Scoring Method'!$A$105:$A$113,0))+INDEX('Scoring Method'!$B$74:$B$78,MATCH(AQ6,'Scoring Method'!$A$74:$A$78,0))*0.6667+INDEX('Scoring Method'!$B$96:$B$101,MATCH(AO6,'Scoring Method'!$A$96:$A$101,0))+INDEX('Scoring Method'!$B$343:$B$347,MATCH(X6,'Scoring Method'!$A$343:$A$347,0))*0.3333+INDEX('Scoring Method'!$B$25:$B$27,MATCH(P6,'Scoring Method'!$A$25:$A$27,0))*0.3333,1)</f>
        <v/>
      </c>
      <c r="AT6" s="96">
        <f>AS6*U6/100</f>
        <v/>
      </c>
      <c r="AU6" s="92" t="inlineStr">
        <is>
          <t>Central Business District</t>
        </is>
      </c>
      <c r="AV6" s="92" t="n">
        <v>48</v>
      </c>
      <c r="AW6" s="101" t="inlineStr">
        <is>
          <t>ESTIMATED</t>
        </is>
      </c>
      <c r="AX6" s="92" t="inlineStr">
        <is>
          <t>Mixed 45-59</t>
        </is>
      </c>
      <c r="AY6" s="96">
        <f>ROUND(INDEX('Scoring Method'!$B$132:$B$140,MATCH(AE6,'Scoring Method'!$A$132:$A$140,0))+INDEX('Scoring Method'!$B$144:$B$152,MATCH(AP6,'Scoring Method'!$A$144:$A$152,0))+INDEX('Scoring Method'!$B$156:$B$160,MATCH(AQ6,'Scoring Method'!$A$156:$A$160,0))+INDEX('Scoring Method'!$B$164:$B$169,MATCH(AO6,'Scoring Method'!$A$164:$A$169,0))+INDEX('Scoring Method'!$B$173:$B$178,MATCH(AX6,'Scoring Method'!$A$173:$A$178,0))+INDEX('Scoring Method'!$B$349:$B$353,MATCH(X6,'Scoring Method'!$A$349:$A$353,0))+INDEX('Scoring Method'!$B$188:$B$190,MATCH(P6,'Scoring Method'!$A$188:$A$190,0)),1)</f>
        <v/>
      </c>
      <c r="AZ6" s="96">
        <f>AY6*U6/100</f>
        <v/>
      </c>
      <c r="BA6" s="92" t="inlineStr">
        <is>
          <t>No chain signal</t>
        </is>
      </c>
      <c r="BB6" s="94" t="n">
        <v>1</v>
      </c>
      <c r="BC6" s="92" t="inlineStr">
        <is>
          <t>Right-sized 0.35-0.75 AC</t>
        </is>
      </c>
      <c r="BD6" s="94" t="n">
        <v>1</v>
      </c>
      <c r="BE6" s="96">
        <f>ROUND(INDEX('Scoring Method'!$B$268:$B$276,MATCH(AE6,'Scoring Method'!$A$268:$A$276,0))+INDEX('Scoring Method'!$B$280:$B$288,MATCH(AP6,'Scoring Method'!$A$280:$A$288,0))+INDEX('Scoring Method'!$B$292:$B$296,MATCH(AQ6,'Scoring Method'!$A$292:$A$296,0))+INDEX('Scoring Method'!$B$300:$B$305,MATCH(AO6,'Scoring Method'!$A$300:$A$305,0))+INDEX('Scoring Method'!$B$309:$B$314,MATCH(AX6,'Scoring Method'!$A$309:$A$314,0))+INDEX('Scoring Method'!$B$337:$B$341,MATCH(X6,'Scoring Method'!$A$337:$A$341,0))+INDEX('Scoring Method'!$B$324:$B$326,MATCH(P6,'Scoring Method'!$A$324:$A$326,0)),1)</f>
        <v/>
      </c>
      <c r="BF6" s="96">
        <f>ROUND(INDEX('Scoring Method'!$B$268:$B$276,MATCH(AE6,'Scoring Method'!$A$268:$A$276,0))*BB6*BD6+INDEX('Scoring Method'!$B$280:$B$288,MATCH(AP6,'Scoring Method'!$A$280:$A$288,0))*BM6*BB6*BD6+INDEX('Scoring Method'!$B$292:$B$296,MATCH(AQ6,'Scoring Method'!$A$292:$A$296,0))*BD6+INDEX('Scoring Method'!$B$300:$B$305,MATCH(AO6,'Scoring Method'!$A$300:$A$305,0))*BM6*BB6+INDEX('Scoring Method'!$B$309:$B$314,MATCH(AX6,'Scoring Method'!$A$309:$A$314,0))+INDEX('Scoring Method'!$B$337:$B$341,MATCH(X6,'Scoring Method'!$A$337:$A$341,0))+INDEX('Scoring Method'!$B$324:$B$326,MATCH(P6,'Scoring Method'!$A$324:$A$326,0)),1)</f>
        <v/>
      </c>
      <c r="BG6" s="102" t="inlineStr">
        <is>
          <t>Over (~$12,833/mo)</t>
        </is>
      </c>
      <c r="BH6" s="61" t="inlineStr">
        <is>
          <t>DTC</t>
        </is>
      </c>
      <c r="BI6" s="61" t="inlineStr">
        <is>
          <t>Downtown Core</t>
        </is>
      </c>
      <c r="BJ6" s="61" t="inlineStr"/>
      <c r="BK6" s="61" t="inlineStr"/>
      <c r="BL6" s="61" t="inlineStr">
        <is>
          <t>Bar permitted</t>
        </is>
      </c>
      <c r="BM6" s="61">
        <f>INDEX('Scoring Method'!$B$358:$B$363,MATCH(BL6,'Scoring Method'!$A$358:$A$363,0))</f>
        <v/>
      </c>
    </row>
    <row r="7" ht="15" customHeight="1" s="62">
      <c r="A7" s="92" t="n">
        <v>6</v>
      </c>
      <c r="B7" s="92" t="inlineStr">
        <is>
          <t>056-31-09-002.00</t>
        </is>
      </c>
      <c r="C7" s="92" t="inlineStr">
        <is>
          <t>119 E 32ND ST</t>
        </is>
      </c>
      <c r="D7" s="92" t="inlineStr">
        <is>
          <t>MW &amp; MW PROPERTIES INC</t>
        </is>
      </c>
      <c r="E7" s="92" t="inlineStr">
        <is>
          <t>PO BOX 15609</t>
        </is>
      </c>
      <c r="F7" s="92" t="inlineStr">
        <is>
          <t>COVINGTON</t>
        </is>
      </c>
      <c r="G7" s="92" t="inlineStr">
        <is>
          <t>KY</t>
        </is>
      </c>
      <c r="H7" s="92" t="inlineStr">
        <is>
          <t>SMALL SHOP</t>
        </is>
      </c>
      <c r="I7" s="93" t="n">
        <v>19464</v>
      </c>
      <c r="J7" s="94">
        <f>I7/43560</f>
        <v/>
      </c>
      <c r="K7" s="93" t="n">
        <v>712.4</v>
      </c>
      <c r="L7" s="95">
        <f>I7/(K7^2)</f>
        <v/>
      </c>
      <c r="M7" s="92" t="inlineStr">
        <is>
          <t>Ideal 18-32k</t>
        </is>
      </c>
      <c r="N7" s="92" t="inlineStr">
        <is>
          <t>A</t>
        </is>
      </c>
      <c r="O7" s="92" t="inlineStr">
        <is>
          <t>Elongated .035-.045</t>
        </is>
      </c>
      <c r="P7" s="92" t="inlineStr">
        <is>
          <t>Low</t>
        </is>
      </c>
      <c r="Q7" s="92" t="inlineStr">
        <is>
          <t>Local absentee</t>
        </is>
      </c>
      <c r="R7" s="92" t="inlineStr">
        <is>
          <t>Passive vehicle</t>
        </is>
      </c>
      <c r="S7" s="92" t="n">
        <v>3</v>
      </c>
      <c r="T7" s="96">
        <f>INDEX('Scoring Method'!$B$6:$B$9,MATCH(M7,'Scoring Method'!$A$6:$A$9,0))+INDEX('Scoring Method'!$B$12:$B$16,MATCH(N7,'Scoring Method'!$A$12:$A$16,0))+INDEX('Scoring Method'!$B$19:$B$22,MATCH(O7,'Scoring Method'!$A$19:$A$22,0))+INDEX('Scoring Method'!$B$25:$B$27,MATCH(P7,'Scoring Method'!$A$25:$A$27,0))</f>
        <v/>
      </c>
      <c r="U7" s="96">
        <f>(INDEX('Scoring Method'!$B$30:$B$33,MATCH(Q7,'Scoring Method'!$A$30:$A$33,0))+INDEX('Scoring Method'!$B$36:$B$42,MATCH(R7,'Scoring Method'!$A$36:$A$42,0))+INDEX('Scoring Method'!$B$45:$B$47,MATCH(IF(S7=1,"1",IF(S7=2,"2","3+")),'Scoring Method'!$A$45:$A$47,0)))/90*100</f>
        <v/>
      </c>
      <c r="V7" s="96">
        <f>T7*U7/100</f>
        <v/>
      </c>
      <c r="W7" s="93" t="n">
        <v>5110</v>
      </c>
      <c r="X7" s="92" t="inlineStr">
        <is>
          <t>X (minimal hazard)</t>
        </is>
      </c>
      <c r="Y7" s="93" t="n">
        <v>10525</v>
      </c>
      <c r="Z7" s="97">
        <f>W7/I7</f>
        <v/>
      </c>
      <c r="AA7" s="98">
        <f>MAX(0,(Y7-5000)/300)</f>
        <v/>
      </c>
      <c r="AB7" s="92" t="n"/>
      <c r="AC7" s="92" t="n">
        <v>0.45</v>
      </c>
      <c r="AD7" s="92" t="inlineStr">
        <is>
          <t>ok</t>
        </is>
      </c>
      <c r="AE7" s="92" t="inlineStr">
        <is>
          <t>Large 4-6k</t>
        </is>
      </c>
      <c r="AF7" s="96">
        <f>INDEX('Scoring Method'!$B$63:$B$71,MATCH(AE7,'Scoring Method'!$A$63:$A$71,0))+INDEX('Scoring Method'!$B$75:$B$79,MATCH("Good 8-15k",'Scoring Method'!$A$75:$A$79,0))+INDEX('Scoring Method'!$B$343:$B$347,MATCH(X7,'Scoring Method'!$A$343:$A$347,0))+INDEX('Scoring Method'!$B$25:$B$27,MATCH(P7,'Scoring Method'!$A$25:$A$27,0))</f>
        <v/>
      </c>
      <c r="AG7" s="96">
        <f>AF7*U7/100</f>
        <v/>
      </c>
      <c r="AH7" s="92" t="inlineStr">
        <is>
          <t>LINK-GIS + LoopNet</t>
        </is>
      </c>
      <c r="AI7" s="99" t="n">
        <v>39.05315</v>
      </c>
      <c r="AJ7" s="99" t="n">
        <v>-84.5004</v>
      </c>
      <c r="AK7" s="94" t="n">
        <v>2.35</v>
      </c>
      <c r="AL7" s="94" t="n">
        <v>2.64</v>
      </c>
      <c r="AM7" s="94" t="n">
        <v>3.4</v>
      </c>
      <c r="AN7" s="94" t="n">
        <v>2.21</v>
      </c>
      <c r="AO7" s="92" t="inlineStr">
        <is>
          <t>Distant 2-3mi</t>
        </is>
      </c>
      <c r="AP7" s="92" t="inlineStr">
        <is>
          <t>Open span</t>
        </is>
      </c>
      <c r="AQ7" s="92" t="inlineStr">
        <is>
          <t>Good 8-15k</t>
        </is>
      </c>
      <c r="AR7" s="100" t="n"/>
      <c r="AS7" s="96">
        <f>ROUND(INDEX('Scoring Method'!$B$63:$B$70,MATCH(AE7,'Scoring Method'!$A$63:$A$70,0))*0.625+INDEX('Scoring Method'!$B$105:$B$113,MATCH(AP7,'Scoring Method'!$A$105:$A$113,0))+INDEX('Scoring Method'!$B$74:$B$78,MATCH(AQ7,'Scoring Method'!$A$74:$A$78,0))*0.6667+INDEX('Scoring Method'!$B$96:$B$101,MATCH(AO7,'Scoring Method'!$A$96:$A$101,0))+INDEX('Scoring Method'!$B$343:$B$347,MATCH(X7,'Scoring Method'!$A$343:$A$347,0))*0.3333+INDEX('Scoring Method'!$B$25:$B$27,MATCH(P7,'Scoring Method'!$A$25:$A$27,0))*0.3333,1)</f>
        <v/>
      </c>
      <c r="AT7" s="96">
        <f>AS7*U7/100</f>
        <v/>
      </c>
      <c r="AU7" s="92" t="inlineStr">
        <is>
          <t>Latonia</t>
        </is>
      </c>
      <c r="AV7" s="92" t="n">
        <v>78</v>
      </c>
      <c r="AW7" s="92" t="inlineStr">
        <is>
          <t>Sourced</t>
        </is>
      </c>
      <c r="AX7" s="92" t="inlineStr">
        <is>
          <t>Safe 70-79</t>
        </is>
      </c>
      <c r="AY7" s="96">
        <f>ROUND(INDEX('Scoring Method'!$B$132:$B$140,MATCH(AE7,'Scoring Method'!$A$132:$A$140,0))+INDEX('Scoring Method'!$B$144:$B$152,MATCH(AP7,'Scoring Method'!$A$144:$A$152,0))+INDEX('Scoring Method'!$B$156:$B$160,MATCH(AQ7,'Scoring Method'!$A$156:$A$160,0))+INDEX('Scoring Method'!$B$164:$B$169,MATCH(AO7,'Scoring Method'!$A$164:$A$169,0))+INDEX('Scoring Method'!$B$173:$B$178,MATCH(AX7,'Scoring Method'!$A$173:$A$178,0))+INDEX('Scoring Method'!$B$349:$B$353,MATCH(X7,'Scoring Method'!$A$349:$A$353,0))+INDEX('Scoring Method'!$B$188:$B$190,MATCH(P7,'Scoring Method'!$A$188:$A$190,0)),1)</f>
        <v/>
      </c>
      <c r="AZ7" s="96">
        <f>AY7*U7/100</f>
        <v/>
      </c>
      <c r="BA7" s="92" t="inlineStr">
        <is>
          <t>No chain signal</t>
        </is>
      </c>
      <c r="BB7" s="94" t="n">
        <v>1</v>
      </c>
      <c r="BC7" s="92" t="inlineStr">
        <is>
          <t>Right-sized 0.35-0.75 AC</t>
        </is>
      </c>
      <c r="BD7" s="94" t="n">
        <v>1</v>
      </c>
      <c r="BE7" s="96">
        <f>ROUND(INDEX('Scoring Method'!$B$268:$B$276,MATCH(AE7,'Scoring Method'!$A$268:$A$276,0))+INDEX('Scoring Method'!$B$280:$B$288,MATCH(AP7,'Scoring Method'!$A$280:$A$288,0))+INDEX('Scoring Method'!$B$292:$B$296,MATCH(AQ7,'Scoring Method'!$A$292:$A$296,0))+INDEX('Scoring Method'!$B$300:$B$305,MATCH(AO7,'Scoring Method'!$A$300:$A$305,0))+INDEX('Scoring Method'!$B$309:$B$314,MATCH(AX7,'Scoring Method'!$A$309:$A$314,0))+INDEX('Scoring Method'!$B$337:$B$341,MATCH(X7,'Scoring Method'!$A$337:$A$341,0))+INDEX('Scoring Method'!$B$324:$B$326,MATCH(P7,'Scoring Method'!$A$324:$A$326,0)),1)</f>
        <v/>
      </c>
      <c r="BF7" s="96">
        <f>ROUND(INDEX('Scoring Method'!$B$268:$B$276,MATCH(AE7,'Scoring Method'!$A$268:$A$276,0))*BB7*BD7+INDEX('Scoring Method'!$B$280:$B$288,MATCH(AP7,'Scoring Method'!$A$280:$A$288,0))*BM7*BB7*BD7+INDEX('Scoring Method'!$B$292:$B$296,MATCH(AQ7,'Scoring Method'!$A$292:$A$296,0))*BD7+INDEX('Scoring Method'!$B$300:$B$305,MATCH(AO7,'Scoring Method'!$A$300:$A$305,0))*BM7*BB7+INDEX('Scoring Method'!$B$309:$B$314,MATCH(AX7,'Scoring Method'!$A$309:$A$314,0))+INDEX('Scoring Method'!$B$337:$B$341,MATCH(X7,'Scoring Method'!$A$337:$A$341,0))+INDEX('Scoring Method'!$B$324:$B$326,MATCH(P7,'Scoring Method'!$A$324:$A$326,0)),1)</f>
        <v/>
      </c>
      <c r="BG7" s="92" t="inlineStr">
        <is>
          <t>Fits (~$4,684/mo)</t>
        </is>
      </c>
      <c r="BH7" s="61" t="inlineStr">
        <is>
          <t>GI</t>
        </is>
      </c>
      <c r="BI7" s="61" t="inlineStr">
        <is>
          <t>General Industrial</t>
        </is>
      </c>
      <c r="BJ7" s="61" t="inlineStr"/>
      <c r="BK7" s="61" t="inlineStr"/>
      <c r="BL7" s="61" t="inlineStr">
        <is>
          <t>No path</t>
        </is>
      </c>
      <c r="BM7" s="61">
        <f>INDEX('Scoring Method'!$B$358:$B$363,MATCH(BL7,'Scoring Method'!$A$358:$A$363,0))</f>
        <v/>
      </c>
    </row>
    <row r="8" ht="15" customHeight="1" s="62">
      <c r="A8" s="92" t="n">
        <v>7</v>
      </c>
      <c r="B8" s="92" t="inlineStr">
        <is>
          <t>056-11-09-003.00</t>
        </is>
      </c>
      <c r="C8" s="92" t="inlineStr">
        <is>
          <t>3022 MADISON AVE</t>
        </is>
      </c>
      <c r="D8" s="92" t="inlineStr">
        <is>
          <t>JCR INVESTMENTS LLC</t>
        </is>
      </c>
      <c r="E8" s="92" t="inlineStr">
        <is>
          <t>9455 TEBBS CT</t>
        </is>
      </c>
      <c r="F8" s="92" t="inlineStr">
        <is>
          <t>HARRISON</t>
        </is>
      </c>
      <c r="G8" s="92" t="inlineStr">
        <is>
          <t>OH</t>
        </is>
      </c>
      <c r="H8" s="92" t="inlineStr">
        <is>
          <t>LAUNDROMAT</t>
        </is>
      </c>
      <c r="I8" s="93" t="n">
        <v>20578</v>
      </c>
      <c r="J8" s="94">
        <f>I8/43560</f>
        <v/>
      </c>
      <c r="K8" s="93" t="n">
        <v>605.9</v>
      </c>
      <c r="L8" s="95">
        <f>I8/(K8^2)</f>
        <v/>
      </c>
      <c r="M8" s="92" t="inlineStr">
        <is>
          <t>Ideal 18-32k</t>
        </is>
      </c>
      <c r="N8" s="92" t="inlineStr">
        <is>
          <t>C</t>
        </is>
      </c>
      <c r="O8" s="92" t="inlineStr">
        <is>
          <t>Compact &gt;=.055</t>
        </is>
      </c>
      <c r="P8" s="92" t="inlineStr">
        <is>
          <t>Low</t>
        </is>
      </c>
      <c r="Q8" s="92" t="inlineStr">
        <is>
          <t>Out-of-state</t>
        </is>
      </c>
      <c r="R8" s="92" t="inlineStr">
        <is>
          <t>Passive vehicle</t>
        </is>
      </c>
      <c r="S8" s="92" t="n">
        <v>1</v>
      </c>
      <c r="T8" s="96">
        <f>INDEX('Scoring Method'!$B$6:$B$9,MATCH(M8,'Scoring Method'!$A$6:$A$9,0))+INDEX('Scoring Method'!$B$12:$B$16,MATCH(N8,'Scoring Method'!$A$12:$A$16,0))+INDEX('Scoring Method'!$B$19:$B$22,MATCH(O8,'Scoring Method'!$A$19:$A$22,0))+INDEX('Scoring Method'!$B$25:$B$27,MATCH(P8,'Scoring Method'!$A$25:$A$27,0))</f>
        <v/>
      </c>
      <c r="U8" s="96">
        <f>(INDEX('Scoring Method'!$B$30:$B$33,MATCH(Q8,'Scoring Method'!$A$30:$A$33,0))+INDEX('Scoring Method'!$B$36:$B$42,MATCH(R8,'Scoring Method'!$A$36:$A$42,0))+INDEX('Scoring Method'!$B$45:$B$47,MATCH(IF(S8=1,"1",IF(S8=2,"2","3+")),'Scoring Method'!$A$45:$A$47,0)))/90*100</f>
        <v/>
      </c>
      <c r="V8" s="96">
        <f>T8*U8/100</f>
        <v/>
      </c>
      <c r="W8" s="93" t="n">
        <v>2300</v>
      </c>
      <c r="X8" s="92" t="inlineStr">
        <is>
          <t>X (minimal hazard)</t>
        </is>
      </c>
      <c r="Y8" s="93" t="n">
        <v>17650</v>
      </c>
      <c r="Z8" s="97">
        <f>W8/I8</f>
        <v/>
      </c>
      <c r="AA8" s="98">
        <f>MAX(0,(Y8-5000)/300)</f>
        <v/>
      </c>
      <c r="AB8" s="92" t="n"/>
      <c r="AC8" s="92" t="n">
        <v>0.45</v>
      </c>
      <c r="AD8" s="92" t="inlineStr">
        <is>
          <t>ok</t>
        </is>
      </c>
      <c r="AE8" s="92" t="inlineStr">
        <is>
          <t>Target 1.5-2.5k</t>
        </is>
      </c>
      <c r="AF8" s="96">
        <f>INDEX('Scoring Method'!$B$63:$B$71,MATCH(AE8,'Scoring Method'!$A$63:$A$71,0))+INDEX('Scoring Method'!$B$75:$B$79,MATCH("Ample &gt;=15k",'Scoring Method'!$A$75:$A$79,0))+INDEX('Scoring Method'!$B$343:$B$347,MATCH(X8,'Scoring Method'!$A$343:$A$347,0))+INDEX('Scoring Method'!$B$25:$B$27,MATCH(P8,'Scoring Method'!$A$25:$A$27,0))</f>
        <v/>
      </c>
      <c r="AG8" s="96">
        <f>AF8*U8/100</f>
        <v/>
      </c>
      <c r="AH8" s="92" t="inlineStr">
        <is>
          <t>LINK-GIS + LoopNet</t>
        </is>
      </c>
      <c r="AI8" s="99" t="n">
        <v>39.05255</v>
      </c>
      <c r="AJ8" s="99" t="n">
        <v>-84.51618999999999</v>
      </c>
      <c r="AK8" s="94" t="n">
        <v>2.2</v>
      </c>
      <c r="AL8" s="94" t="n">
        <v>2.68</v>
      </c>
      <c r="AM8" s="94" t="n">
        <v>3.39</v>
      </c>
      <c r="AN8" s="94" t="n">
        <v>2.19</v>
      </c>
      <c r="AO8" s="92" t="inlineStr">
        <is>
          <t>Distant 2-3mi</t>
        </is>
      </c>
      <c r="AP8" s="92" t="inlineStr">
        <is>
          <t>Retail shell</t>
        </is>
      </c>
      <c r="AQ8" s="92" t="inlineStr">
        <is>
          <t>Ample &gt;=15k</t>
        </is>
      </c>
      <c r="AR8" s="100" t="n"/>
      <c r="AS8" s="96">
        <f>ROUND(INDEX('Scoring Method'!$B$63:$B$70,MATCH(AE8,'Scoring Method'!$A$63:$A$70,0))*0.625+INDEX('Scoring Method'!$B$105:$B$113,MATCH(AP8,'Scoring Method'!$A$105:$A$113,0))+INDEX('Scoring Method'!$B$74:$B$78,MATCH(AQ8,'Scoring Method'!$A$74:$A$78,0))*0.6667+INDEX('Scoring Method'!$B$96:$B$101,MATCH(AO8,'Scoring Method'!$A$96:$A$101,0))+INDEX('Scoring Method'!$B$343:$B$347,MATCH(X8,'Scoring Method'!$A$343:$A$347,0))*0.3333+INDEX('Scoring Method'!$B$25:$B$27,MATCH(P8,'Scoring Method'!$A$25:$A$27,0))*0.3333,1)</f>
        <v/>
      </c>
      <c r="AT8" s="96">
        <f>AS8*U8/100</f>
        <v/>
      </c>
      <c r="AU8" s="92" t="inlineStr">
        <is>
          <t>Latonia Rosedale</t>
        </is>
      </c>
      <c r="AV8" s="92" t="n">
        <v>68</v>
      </c>
      <c r="AW8" s="92" t="inlineStr">
        <is>
          <t>Sourced</t>
        </is>
      </c>
      <c r="AX8" s="92" t="inlineStr">
        <is>
          <t>Moderate 60-69</t>
        </is>
      </c>
      <c r="AY8" s="96">
        <f>ROUND(INDEX('Scoring Method'!$B$132:$B$140,MATCH(AE8,'Scoring Method'!$A$132:$A$140,0))+INDEX('Scoring Method'!$B$144:$B$152,MATCH(AP8,'Scoring Method'!$A$144:$A$152,0))+INDEX('Scoring Method'!$B$156:$B$160,MATCH(AQ8,'Scoring Method'!$A$156:$A$160,0))+INDEX('Scoring Method'!$B$164:$B$169,MATCH(AO8,'Scoring Method'!$A$164:$A$169,0))+INDEX('Scoring Method'!$B$173:$B$178,MATCH(AX8,'Scoring Method'!$A$173:$A$178,0))+INDEX('Scoring Method'!$B$349:$B$353,MATCH(X8,'Scoring Method'!$A$349:$A$353,0))+INDEX('Scoring Method'!$B$188:$B$190,MATCH(P8,'Scoring Method'!$A$188:$A$190,0)),1)</f>
        <v/>
      </c>
      <c r="AZ8" s="96">
        <f>AY8*U8/100</f>
        <v/>
      </c>
      <c r="BA8" s="92" t="inlineStr">
        <is>
          <t>No chain signal</t>
        </is>
      </c>
      <c r="BB8" s="94" t="n">
        <v>1</v>
      </c>
      <c r="BC8" s="92" t="inlineStr">
        <is>
          <t>Right-sized 0.35-0.75 AC</t>
        </is>
      </c>
      <c r="BD8" s="94" t="n">
        <v>1</v>
      </c>
      <c r="BE8" s="96">
        <f>ROUND(INDEX('Scoring Method'!$B$268:$B$276,MATCH(AE8,'Scoring Method'!$A$268:$A$276,0))+INDEX('Scoring Method'!$B$280:$B$288,MATCH(AP8,'Scoring Method'!$A$280:$A$288,0))+INDEX('Scoring Method'!$B$292:$B$296,MATCH(AQ8,'Scoring Method'!$A$292:$A$296,0))+INDEX('Scoring Method'!$B$300:$B$305,MATCH(AO8,'Scoring Method'!$A$300:$A$305,0))+INDEX('Scoring Method'!$B$309:$B$314,MATCH(AX8,'Scoring Method'!$A$309:$A$314,0))+INDEX('Scoring Method'!$B$337:$B$341,MATCH(X8,'Scoring Method'!$A$337:$A$341,0))+INDEX('Scoring Method'!$B$324:$B$326,MATCH(P8,'Scoring Method'!$A$324:$A$326,0)),1)</f>
        <v/>
      </c>
      <c r="BF8" s="96">
        <f>ROUND(INDEX('Scoring Method'!$B$268:$B$276,MATCH(AE8,'Scoring Method'!$A$268:$A$276,0))*BB8*BD8+INDEX('Scoring Method'!$B$280:$B$288,MATCH(AP8,'Scoring Method'!$A$280:$A$288,0))*BM8*BB8*BD8+INDEX('Scoring Method'!$B$292:$B$296,MATCH(AQ8,'Scoring Method'!$A$292:$A$296,0))*BD8+INDEX('Scoring Method'!$B$300:$B$305,MATCH(AO8,'Scoring Method'!$A$300:$A$305,0))*BM8*BB8+INDEX('Scoring Method'!$B$309:$B$314,MATCH(AX8,'Scoring Method'!$A$309:$A$314,0))+INDEX('Scoring Method'!$B$337:$B$341,MATCH(X8,'Scoring Method'!$A$337:$A$341,0))+INDEX('Scoring Method'!$B$324:$B$326,MATCH(P8,'Scoring Method'!$A$324:$A$326,0)),1)</f>
        <v/>
      </c>
      <c r="BG8" s="92" t="inlineStr">
        <is>
          <t>Fits (~$2,108/mo)</t>
        </is>
      </c>
      <c r="BH8" s="61" t="inlineStr">
        <is>
          <t>SU</t>
        </is>
      </c>
      <c r="BI8" s="61" t="inlineStr">
        <is>
          <t>Semi-Urban Residential</t>
        </is>
      </c>
      <c r="BJ8" s="61" t="inlineStr"/>
      <c r="BK8" s="61" t="inlineStr"/>
      <c r="BL8" s="61" t="inlineStr">
        <is>
          <t>SU corner unverified</t>
        </is>
      </c>
      <c r="BM8" s="61">
        <f>INDEX('Scoring Method'!$B$358:$B$363,MATCH(BL8,'Scoring Method'!$A$358:$A$363,0))</f>
        <v/>
      </c>
    </row>
    <row r="9" ht="15" customHeight="1" s="62">
      <c r="A9" s="92" t="n">
        <v>8</v>
      </c>
      <c r="B9" s="92" t="inlineStr">
        <is>
          <t>040-34-06-001.02</t>
        </is>
      </c>
      <c r="C9" s="92" t="inlineStr">
        <is>
          <t>316 PHILADELPHIA ST</t>
        </is>
      </c>
      <c r="D9" s="92" t="inlineStr">
        <is>
          <t>CURTIS JAMES INVESTMENTS</t>
        </is>
      </c>
      <c r="E9" s="92" t="inlineStr">
        <is>
          <t>PO BOX 6969</t>
        </is>
      </c>
      <c r="F9" s="92" t="inlineStr">
        <is>
          <t>SYRACUSE</t>
        </is>
      </c>
      <c r="G9" s="92" t="inlineStr">
        <is>
          <t>NY</t>
        </is>
      </c>
      <c r="H9" s="92" t="inlineStr">
        <is>
          <t>FAST FOOD-DRIVE THRU REST</t>
        </is>
      </c>
      <c r="I9" s="93" t="n">
        <v>29874</v>
      </c>
      <c r="J9" s="94">
        <f>I9/43560</f>
        <v/>
      </c>
      <c r="K9" s="93" t="n">
        <v>692</v>
      </c>
      <c r="L9" s="95">
        <f>I9/(K9^2)</f>
        <v/>
      </c>
      <c r="M9" s="92" t="inlineStr">
        <is>
          <t>Ideal 18-32k</t>
        </is>
      </c>
      <c r="N9" s="92" t="inlineStr">
        <is>
          <t>C</t>
        </is>
      </c>
      <c r="O9" s="92" t="inlineStr">
        <is>
          <t>Compact &gt;=.055</t>
        </is>
      </c>
      <c r="P9" s="92" t="inlineStr">
        <is>
          <t>Low</t>
        </is>
      </c>
      <c r="Q9" s="92" t="inlineStr">
        <is>
          <t>Out-of-state</t>
        </is>
      </c>
      <c r="R9" s="92" t="inlineStr">
        <is>
          <t>Passive vehicle</t>
        </is>
      </c>
      <c r="S9" s="92" t="n">
        <v>1</v>
      </c>
      <c r="T9" s="96">
        <f>INDEX('Scoring Method'!$B$6:$B$9,MATCH(M9,'Scoring Method'!$A$6:$A$9,0))+INDEX('Scoring Method'!$B$12:$B$16,MATCH(N9,'Scoring Method'!$A$12:$A$16,0))+INDEX('Scoring Method'!$B$19:$B$22,MATCH(O9,'Scoring Method'!$A$19:$A$22,0))+INDEX('Scoring Method'!$B$25:$B$27,MATCH(P9,'Scoring Method'!$A$25:$A$27,0))</f>
        <v/>
      </c>
      <c r="U9" s="96">
        <f>(INDEX('Scoring Method'!$B$30:$B$33,MATCH(Q9,'Scoring Method'!$A$30:$A$33,0))+INDEX('Scoring Method'!$B$36:$B$42,MATCH(R9,'Scoring Method'!$A$36:$A$42,0))+INDEX('Scoring Method'!$B$45:$B$47,MATCH(IF(S9=1,"1",IF(S9=2,"2","3+")),'Scoring Method'!$A$45:$A$47,0)))/90*100</f>
        <v/>
      </c>
      <c r="V9" s="96">
        <f>T9*U9/100</f>
        <v/>
      </c>
      <c r="W9" s="93" t="n">
        <v>2759</v>
      </c>
      <c r="X9" s="92" t="inlineStr">
        <is>
          <t>X (levee-protected)</t>
        </is>
      </c>
      <c r="Y9" s="93" t="n">
        <v>25925</v>
      </c>
      <c r="Z9" s="97">
        <f>W9/I9</f>
        <v/>
      </c>
      <c r="AA9" s="98">
        <f>MAX(0,(Y9-5000)/300)</f>
        <v/>
      </c>
      <c r="AB9" s="92" t="n"/>
      <c r="AC9" s="92" t="n">
        <v>0.6899999999999999</v>
      </c>
      <c r="AD9" s="92" t="inlineStr">
        <is>
          <t>ok</t>
        </is>
      </c>
      <c r="AE9" s="92" t="inlineStr">
        <is>
          <t>Above 2.5-4k</t>
        </is>
      </c>
      <c r="AF9" s="96">
        <f>INDEX('Scoring Method'!$B$63:$B$71,MATCH(AE9,'Scoring Method'!$A$63:$A$71,0))+INDEX('Scoring Method'!$B$75:$B$79,MATCH("Ample &gt;=15k",'Scoring Method'!$A$75:$A$79,0))+INDEX('Scoring Method'!$B$343:$B$347,MATCH(X9,'Scoring Method'!$A$343:$A$347,0))+INDEX('Scoring Method'!$B$25:$B$27,MATCH(P9,'Scoring Method'!$A$25:$A$27,0))</f>
        <v/>
      </c>
      <c r="AG9" s="96">
        <f>AF9*U9/100</f>
        <v/>
      </c>
      <c r="AH9" s="92" t="inlineStr">
        <is>
          <t>LINK-GIS + LoopNet</t>
        </is>
      </c>
      <c r="AI9" s="99" t="n">
        <v>39.08678</v>
      </c>
      <c r="AJ9" s="99" t="n">
        <v>-84.51954000000001</v>
      </c>
      <c r="AK9" s="94" t="n">
        <v>0.19</v>
      </c>
      <c r="AL9" s="94" t="n">
        <v>0.66</v>
      </c>
      <c r="AM9" s="94" t="n">
        <v>1.09</v>
      </c>
      <c r="AN9" s="94" t="n">
        <v>0.19</v>
      </c>
      <c r="AO9" s="92" t="inlineStr">
        <is>
          <t>Core &lt;=0.35mi</t>
        </is>
      </c>
      <c r="AP9" s="92" t="inlineStr">
        <is>
          <t>Built-out kitchen</t>
        </is>
      </c>
      <c r="AQ9" s="92" t="inlineStr">
        <is>
          <t>Ample &gt;=15k</t>
        </is>
      </c>
      <c r="AR9" s="100" t="n"/>
      <c r="AS9" s="96">
        <f>ROUND(INDEX('Scoring Method'!$B$63:$B$70,MATCH(AE9,'Scoring Method'!$A$63:$A$70,0))*0.625+INDEX('Scoring Method'!$B$105:$B$113,MATCH(AP9,'Scoring Method'!$A$105:$A$113,0))+INDEX('Scoring Method'!$B$74:$B$78,MATCH(AQ9,'Scoring Method'!$A$74:$A$78,0))*0.6667+INDEX('Scoring Method'!$B$96:$B$101,MATCH(AO9,'Scoring Method'!$A$96:$A$101,0))+INDEX('Scoring Method'!$B$343:$B$347,MATCH(X9,'Scoring Method'!$A$343:$A$347,0))*0.3333+INDEX('Scoring Method'!$B$25:$B$27,MATCH(P9,'Scoring Method'!$A$25:$A$27,0))*0.3333,1)</f>
        <v/>
      </c>
      <c r="AT9" s="96">
        <f>AS9*U9/100</f>
        <v/>
      </c>
      <c r="AU9" s="92" t="inlineStr">
        <is>
          <t>Botany Hills / Riverfront West</t>
        </is>
      </c>
      <c r="AV9" s="92" t="n">
        <v>45</v>
      </c>
      <c r="AW9" s="101" t="inlineStr">
        <is>
          <t>ESTIMATED</t>
        </is>
      </c>
      <c r="AX9" s="92" t="inlineStr">
        <is>
          <t>Mixed 45-59</t>
        </is>
      </c>
      <c r="AY9" s="96">
        <f>ROUND(INDEX('Scoring Method'!$B$132:$B$140,MATCH(AE9,'Scoring Method'!$A$132:$A$140,0))+INDEX('Scoring Method'!$B$144:$B$152,MATCH(AP9,'Scoring Method'!$A$144:$A$152,0))+INDEX('Scoring Method'!$B$156:$B$160,MATCH(AQ9,'Scoring Method'!$A$156:$A$160,0))+INDEX('Scoring Method'!$B$164:$B$169,MATCH(AO9,'Scoring Method'!$A$164:$A$169,0))+INDEX('Scoring Method'!$B$173:$B$178,MATCH(AX9,'Scoring Method'!$A$173:$A$178,0))+INDEX('Scoring Method'!$B$349:$B$353,MATCH(X9,'Scoring Method'!$A$349:$A$353,0))+INDEX('Scoring Method'!$B$188:$B$190,MATCH(P9,'Scoring Method'!$A$188:$A$190,0)),1)</f>
        <v/>
      </c>
      <c r="AZ9" s="96">
        <f>AY9*U9/100</f>
        <v/>
      </c>
      <c r="BA9" s="103" t="inlineStr">
        <is>
          <t>Chain format + investor</t>
        </is>
      </c>
      <c r="BB9" s="94" t="n">
        <v>0.45</v>
      </c>
      <c r="BC9" s="92" t="inlineStr">
        <is>
          <t>Right-sized 0.35-0.75 AC</t>
        </is>
      </c>
      <c r="BD9" s="94" t="n">
        <v>1</v>
      </c>
      <c r="BE9" s="96">
        <f>ROUND(INDEX('Scoring Method'!$B$268:$B$276,MATCH(AE9,'Scoring Method'!$A$268:$A$276,0))+INDEX('Scoring Method'!$B$280:$B$288,MATCH(AP9,'Scoring Method'!$A$280:$A$288,0))+INDEX('Scoring Method'!$B$292:$B$296,MATCH(AQ9,'Scoring Method'!$A$292:$A$296,0))+INDEX('Scoring Method'!$B$300:$B$305,MATCH(AO9,'Scoring Method'!$A$300:$A$305,0))+INDEX('Scoring Method'!$B$309:$B$314,MATCH(AX9,'Scoring Method'!$A$309:$A$314,0))+INDEX('Scoring Method'!$B$337:$B$341,MATCH(X9,'Scoring Method'!$A$337:$A$341,0))+INDEX('Scoring Method'!$B$324:$B$326,MATCH(P9,'Scoring Method'!$A$324:$A$326,0)),1)</f>
        <v/>
      </c>
      <c r="BF9" s="96">
        <f>ROUND(INDEX('Scoring Method'!$B$268:$B$276,MATCH(AE9,'Scoring Method'!$A$268:$A$276,0))*BB9*BD9+INDEX('Scoring Method'!$B$280:$B$288,MATCH(AP9,'Scoring Method'!$A$280:$A$288,0))*BM9*BB9*BD9+INDEX('Scoring Method'!$B$292:$B$296,MATCH(AQ9,'Scoring Method'!$A$292:$A$296,0))*BD9+INDEX('Scoring Method'!$B$300:$B$305,MATCH(AO9,'Scoring Method'!$A$300:$A$305,0))*BM9*BB9+INDEX('Scoring Method'!$B$309:$B$314,MATCH(AX9,'Scoring Method'!$A$309:$A$314,0))+INDEX('Scoring Method'!$B$337:$B$341,MATCH(X9,'Scoring Method'!$A$337:$A$341,0))+INDEX('Scoring Method'!$B$324:$B$326,MATCH(P9,'Scoring Method'!$A$324:$A$326,0)),1)</f>
        <v/>
      </c>
      <c r="BG9" s="92" t="inlineStr">
        <is>
          <t>Fits (~$2,529/mo)</t>
        </is>
      </c>
      <c r="BH9" s="61" t="inlineStr">
        <is>
          <t>AUC</t>
        </is>
      </c>
      <c r="BI9" s="61" t="inlineStr">
        <is>
          <t>Auto-Urban Commercial</t>
        </is>
      </c>
      <c r="BJ9" s="61" t="inlineStr"/>
      <c r="BK9" s="61" t="inlineStr"/>
      <c r="BL9" s="61" t="inlineStr">
        <is>
          <t>Bar permitted</t>
        </is>
      </c>
      <c r="BM9" s="61">
        <f>INDEX('Scoring Method'!$B$358:$B$363,MATCH(BL9,'Scoring Method'!$A$358:$A$363,0))</f>
        <v/>
      </c>
    </row>
    <row r="10" ht="15" customHeight="1" s="62">
      <c r="A10" s="92" t="n">
        <v>9</v>
      </c>
      <c r="B10" s="92" t="inlineStr">
        <is>
          <t>055-20-00-002.00</t>
        </is>
      </c>
      <c r="C10" s="92" t="inlineStr">
        <is>
          <t>2601 BENTON RD</t>
        </is>
      </c>
      <c r="D10" s="92" t="inlineStr">
        <is>
          <t>TIBTANI HICHAM &amp;</t>
        </is>
      </c>
      <c r="E10" s="92" t="inlineStr">
        <is>
          <t>NO KNOWN ADDRESS</t>
        </is>
      </c>
      <c r="F10" s="92" t="n"/>
      <c r="G10" s="92" t="n"/>
      <c r="H10" s="92" t="inlineStr">
        <is>
          <t>CONVENIENCE STORE</t>
        </is>
      </c>
      <c r="I10" s="93" t="n">
        <v>18193</v>
      </c>
      <c r="J10" s="94">
        <f>I10/43560</f>
        <v/>
      </c>
      <c r="K10" s="93" t="n">
        <v>586</v>
      </c>
      <c r="L10" s="95">
        <f>I10/(K10^2)</f>
        <v/>
      </c>
      <c r="M10" s="92" t="inlineStr">
        <is>
          <t>Ideal 18-32k</t>
        </is>
      </c>
      <c r="N10" s="92" t="inlineStr">
        <is>
          <t>C</t>
        </is>
      </c>
      <c r="O10" s="92" t="inlineStr">
        <is>
          <t>Regular .045-.055</t>
        </is>
      </c>
      <c r="P10" s="92" t="inlineStr">
        <is>
          <t>Low</t>
        </is>
      </c>
      <c r="Q10" s="92" t="inlineStr">
        <is>
          <t>Out-of-state</t>
        </is>
      </c>
      <c r="R10" s="92" t="inlineStr">
        <is>
          <t>Individual</t>
        </is>
      </c>
      <c r="S10" s="92" t="n">
        <v>1</v>
      </c>
      <c r="T10" s="96">
        <f>INDEX('Scoring Method'!$B$6:$B$9,MATCH(M10,'Scoring Method'!$A$6:$A$9,0))+INDEX('Scoring Method'!$B$12:$B$16,MATCH(N10,'Scoring Method'!$A$12:$A$16,0))+INDEX('Scoring Method'!$B$19:$B$22,MATCH(O10,'Scoring Method'!$A$19:$A$22,0))+INDEX('Scoring Method'!$B$25:$B$27,MATCH(P10,'Scoring Method'!$A$25:$A$27,0))</f>
        <v/>
      </c>
      <c r="U10" s="96">
        <f>(INDEX('Scoring Method'!$B$30:$B$33,MATCH(Q10,'Scoring Method'!$A$30:$A$33,0))+INDEX('Scoring Method'!$B$36:$B$42,MATCH(R10,'Scoring Method'!$A$36:$A$42,0))+INDEX('Scoring Method'!$B$45:$B$47,MATCH(IF(S10=1,"1",IF(S10=2,"2","3+")),'Scoring Method'!$A$45:$A$47,0)))/90*100</f>
        <v/>
      </c>
      <c r="V10" s="96">
        <f>T10*U10/100</f>
        <v/>
      </c>
      <c r="W10" s="93" t="n">
        <v>4000</v>
      </c>
      <c r="X10" s="92" t="inlineStr">
        <is>
          <t>X (minimal hazard)</t>
        </is>
      </c>
      <c r="Y10" s="93" t="n">
        <v>11375</v>
      </c>
      <c r="Z10" s="97">
        <f>W10/I10</f>
        <v/>
      </c>
      <c r="AA10" s="98">
        <f>MAX(0,(Y10-5000)/300)</f>
        <v/>
      </c>
      <c r="AB10" s="92" t="n"/>
      <c r="AC10" s="92" t="n">
        <v>0.33</v>
      </c>
      <c r="AD10" s="92" t="inlineStr">
        <is>
          <t>ok</t>
        </is>
      </c>
      <c r="AE10" s="92" t="inlineStr">
        <is>
          <t>Above 2.5-4k</t>
        </is>
      </c>
      <c r="AF10" s="96">
        <f>INDEX('Scoring Method'!$B$63:$B$71,MATCH(AE10,'Scoring Method'!$A$63:$A$71,0))+INDEX('Scoring Method'!$B$75:$B$79,MATCH("Good 8-15k",'Scoring Method'!$A$75:$A$79,0))+INDEX('Scoring Method'!$B$343:$B$347,MATCH(X10,'Scoring Method'!$A$343:$A$347,0))+INDEX('Scoring Method'!$B$25:$B$27,MATCH(P10,'Scoring Method'!$A$25:$A$27,0))</f>
        <v/>
      </c>
      <c r="AG10" s="96">
        <f>AF10*U10/100</f>
        <v/>
      </c>
      <c r="AH10" s="92" t="inlineStr">
        <is>
          <t>LINK-GIS + LoopNet</t>
        </is>
      </c>
      <c r="AI10" s="99" t="n">
        <v>39.05758</v>
      </c>
      <c r="AJ10" s="99" t="n">
        <v>-84.51356</v>
      </c>
      <c r="AK10" s="94" t="n">
        <v>1.87</v>
      </c>
      <c r="AL10" s="94" t="n">
        <v>2.32</v>
      </c>
      <c r="AM10" s="94" t="n">
        <v>3.04</v>
      </c>
      <c r="AN10" s="94" t="n">
        <v>1.83</v>
      </c>
      <c r="AO10" s="92" t="inlineStr">
        <is>
          <t>Outer 1.25-2mi</t>
        </is>
      </c>
      <c r="AP10" s="92" t="inlineStr">
        <is>
          <t>Built-out kitchen</t>
        </is>
      </c>
      <c r="AQ10" s="92" t="inlineStr">
        <is>
          <t>Good 8-15k</t>
        </is>
      </c>
      <c r="AR10" s="100" t="n"/>
      <c r="AS10" s="96">
        <f>ROUND(INDEX('Scoring Method'!$B$63:$B$70,MATCH(AE10,'Scoring Method'!$A$63:$A$70,0))*0.625+INDEX('Scoring Method'!$B$105:$B$113,MATCH(AP10,'Scoring Method'!$A$105:$A$113,0))+INDEX('Scoring Method'!$B$74:$B$78,MATCH(AQ10,'Scoring Method'!$A$74:$A$78,0))*0.6667+INDEX('Scoring Method'!$B$96:$B$101,MATCH(AO10,'Scoring Method'!$A$96:$A$101,0))+INDEX('Scoring Method'!$B$343:$B$347,MATCH(X10,'Scoring Method'!$A$343:$A$347,0))*0.3333+INDEX('Scoring Method'!$B$25:$B$27,MATCH(P10,'Scoring Method'!$A$25:$A$27,0))*0.3333,1)</f>
        <v/>
      </c>
      <c r="AT10" s="96">
        <f>AS10*U10/100</f>
        <v/>
      </c>
      <c r="AU10" s="92" t="inlineStr">
        <is>
          <t>Latonia Rosedale</t>
        </is>
      </c>
      <c r="AV10" s="92" t="n">
        <v>68</v>
      </c>
      <c r="AW10" s="92" t="inlineStr">
        <is>
          <t>Sourced</t>
        </is>
      </c>
      <c r="AX10" s="92" t="inlineStr">
        <is>
          <t>Moderate 60-69</t>
        </is>
      </c>
      <c r="AY10" s="96">
        <f>ROUND(INDEX('Scoring Method'!$B$132:$B$140,MATCH(AE10,'Scoring Method'!$A$132:$A$140,0))+INDEX('Scoring Method'!$B$144:$B$152,MATCH(AP10,'Scoring Method'!$A$144:$A$152,0))+INDEX('Scoring Method'!$B$156:$B$160,MATCH(AQ10,'Scoring Method'!$A$156:$A$160,0))+INDEX('Scoring Method'!$B$164:$B$169,MATCH(AO10,'Scoring Method'!$A$164:$A$169,0))+INDEX('Scoring Method'!$B$173:$B$178,MATCH(AX10,'Scoring Method'!$A$173:$A$178,0))+INDEX('Scoring Method'!$B$349:$B$353,MATCH(X10,'Scoring Method'!$A$349:$A$353,0))+INDEX('Scoring Method'!$B$188:$B$190,MATCH(P10,'Scoring Method'!$A$188:$A$190,0)),1)</f>
        <v/>
      </c>
      <c r="AZ10" s="96">
        <f>AY10*U10/100</f>
        <v/>
      </c>
      <c r="BA10" s="102" t="inlineStr">
        <is>
          <t>Chain format + local owner</t>
        </is>
      </c>
      <c r="BB10" s="94" t="n">
        <v>0.7</v>
      </c>
      <c r="BC10" s="92" t="inlineStr">
        <is>
          <t>Right-sized 0.35-0.75 AC</t>
        </is>
      </c>
      <c r="BD10" s="94" t="n">
        <v>1</v>
      </c>
      <c r="BE10" s="96">
        <f>ROUND(INDEX('Scoring Method'!$B$268:$B$276,MATCH(AE10,'Scoring Method'!$A$268:$A$276,0))+INDEX('Scoring Method'!$B$280:$B$288,MATCH(AP10,'Scoring Method'!$A$280:$A$288,0))+INDEX('Scoring Method'!$B$292:$B$296,MATCH(AQ10,'Scoring Method'!$A$292:$A$296,0))+INDEX('Scoring Method'!$B$300:$B$305,MATCH(AO10,'Scoring Method'!$A$300:$A$305,0))+INDEX('Scoring Method'!$B$309:$B$314,MATCH(AX10,'Scoring Method'!$A$309:$A$314,0))+INDEX('Scoring Method'!$B$337:$B$341,MATCH(X10,'Scoring Method'!$A$337:$A$341,0))+INDEX('Scoring Method'!$B$324:$B$326,MATCH(P10,'Scoring Method'!$A$324:$A$326,0)),1)</f>
        <v/>
      </c>
      <c r="BF10" s="96">
        <f>ROUND(INDEX('Scoring Method'!$B$268:$B$276,MATCH(AE10,'Scoring Method'!$A$268:$A$276,0))*BB10*BD10+INDEX('Scoring Method'!$B$280:$B$288,MATCH(AP10,'Scoring Method'!$A$280:$A$288,0))*BM10*BB10*BD10+INDEX('Scoring Method'!$B$292:$B$296,MATCH(AQ10,'Scoring Method'!$A$292:$A$296,0))*BD10+INDEX('Scoring Method'!$B$300:$B$305,MATCH(AO10,'Scoring Method'!$A$300:$A$305,0))*BM10*BB10+INDEX('Scoring Method'!$B$309:$B$314,MATCH(AX10,'Scoring Method'!$A$309:$A$314,0))+INDEX('Scoring Method'!$B$337:$B$341,MATCH(X10,'Scoring Method'!$A$337:$A$341,0))+INDEX('Scoring Method'!$B$324:$B$326,MATCH(P10,'Scoring Method'!$A$324:$A$326,0)),1)</f>
        <v/>
      </c>
      <c r="BG10" s="92" t="inlineStr">
        <is>
          <t>Fits (~$3,667/mo)</t>
        </is>
      </c>
      <c r="BH10" s="61" t="inlineStr">
        <is>
          <t>SU</t>
        </is>
      </c>
      <c r="BI10" s="61" t="inlineStr">
        <is>
          <t>Semi-Urban Residential</t>
        </is>
      </c>
      <c r="BJ10" s="61" t="inlineStr"/>
      <c r="BK10" s="61" t="inlineStr"/>
      <c r="BL10" s="61" t="inlineStr">
        <is>
          <t>SU corner unverified</t>
        </is>
      </c>
      <c r="BM10" s="61">
        <f>INDEX('Scoring Method'!$B$358:$B$363,MATCH(BL10,'Scoring Method'!$A$358:$A$363,0))</f>
        <v/>
      </c>
    </row>
    <row r="11" ht="15" customHeight="1" s="62">
      <c r="A11" s="92" t="n">
        <v>10</v>
      </c>
      <c r="B11" s="92" t="inlineStr">
        <is>
          <t>042-30-00-039.00</t>
        </is>
      </c>
      <c r="C11" s="92" t="inlineStr">
        <is>
          <t>3296 MADISON PIKE</t>
        </is>
      </c>
      <c r="D11" s="92" t="inlineStr">
        <is>
          <t>SCHLIPF DANIEL W</t>
        </is>
      </c>
      <c r="E11" s="92" t="inlineStr">
        <is>
          <t>3197 HIGH RIDGE DR</t>
        </is>
      </c>
      <c r="F11" s="92" t="inlineStr">
        <is>
          <t>TAYLOR MILL</t>
        </is>
      </c>
      <c r="G11" s="92" t="inlineStr">
        <is>
          <t>KY</t>
        </is>
      </c>
      <c r="H11" s="92" t="inlineStr">
        <is>
          <t>AUTO SERVICE/REPAIR</t>
        </is>
      </c>
      <c r="I11" s="93" t="n">
        <v>23623</v>
      </c>
      <c r="J11" s="94">
        <f>I11/43560</f>
        <v/>
      </c>
      <c r="K11" s="93" t="n">
        <v>693.4</v>
      </c>
      <c r="L11" s="95">
        <f>I11/(K11^2)</f>
        <v/>
      </c>
      <c r="M11" s="92" t="inlineStr">
        <is>
          <t>Ideal 18-32k</t>
        </is>
      </c>
      <c r="N11" s="92" t="inlineStr">
        <is>
          <t>A</t>
        </is>
      </c>
      <c r="O11" s="92" t="inlineStr">
        <is>
          <t>Regular .045-.055</t>
        </is>
      </c>
      <c r="P11" s="92" t="inlineStr">
        <is>
          <t>Moderate</t>
        </is>
      </c>
      <c r="Q11" s="92" t="inlineStr">
        <is>
          <t>Out-of-city KY</t>
        </is>
      </c>
      <c r="R11" s="92" t="inlineStr">
        <is>
          <t>Individual</t>
        </is>
      </c>
      <c r="S11" s="92" t="n">
        <v>1</v>
      </c>
      <c r="T11" s="96">
        <f>INDEX('Scoring Method'!$B$6:$B$9,MATCH(M11,'Scoring Method'!$A$6:$A$9,0))+INDEX('Scoring Method'!$B$12:$B$16,MATCH(N11,'Scoring Method'!$A$12:$A$16,0))+INDEX('Scoring Method'!$B$19:$B$22,MATCH(O11,'Scoring Method'!$A$19:$A$22,0))+INDEX('Scoring Method'!$B$25:$B$27,MATCH(P11,'Scoring Method'!$A$25:$A$27,0))</f>
        <v/>
      </c>
      <c r="U11" s="96">
        <f>(INDEX('Scoring Method'!$B$30:$B$33,MATCH(Q11,'Scoring Method'!$A$30:$A$33,0))+INDEX('Scoring Method'!$B$36:$B$42,MATCH(R11,'Scoring Method'!$A$36:$A$42,0))+INDEX('Scoring Method'!$B$45:$B$47,MATCH(IF(S11=1,"1",IF(S11=2,"2","3+")),'Scoring Method'!$A$45:$A$47,0)))/90*100</f>
        <v/>
      </c>
      <c r="V11" s="96">
        <f>T11*U11/100</f>
        <v/>
      </c>
      <c r="W11" s="93" t="n">
        <v>4467</v>
      </c>
      <c r="X11" s="92" t="inlineStr">
        <is>
          <t>X shaded (0.2%)</t>
        </is>
      </c>
      <c r="Y11" s="93" t="n">
        <v>18825</v>
      </c>
      <c r="Z11" s="97">
        <f>W11/I11</f>
        <v/>
      </c>
      <c r="AA11" s="98">
        <f>MAX(0,(Y11-5000)/300)</f>
        <v/>
      </c>
      <c r="AB11" s="92" t="n"/>
      <c r="AC11" s="92" t="n">
        <v>0.59</v>
      </c>
      <c r="AD11" s="92" t="inlineStr">
        <is>
          <t>ok</t>
        </is>
      </c>
      <c r="AE11" s="92" t="inlineStr">
        <is>
          <t>Large 4-6k</t>
        </is>
      </c>
      <c r="AF11" s="96">
        <f>INDEX('Scoring Method'!$B$63:$B$71,MATCH(AE11,'Scoring Method'!$A$63:$A$71,0))+INDEX('Scoring Method'!$B$75:$B$79,MATCH("Ample &gt;=15k",'Scoring Method'!$A$75:$A$79,0))+INDEX('Scoring Method'!$B$343:$B$347,MATCH(X11,'Scoring Method'!$A$343:$A$347,0))+INDEX('Scoring Method'!$B$25:$B$27,MATCH(P11,'Scoring Method'!$A$25:$A$27,0))</f>
        <v/>
      </c>
      <c r="AG11" s="96">
        <f>AF11*U11/100</f>
        <v/>
      </c>
      <c r="AH11" s="92" t="inlineStr">
        <is>
          <t>LINK-GIS + LoopNet</t>
        </is>
      </c>
      <c r="AI11" s="99" t="n">
        <v>39.04224</v>
      </c>
      <c r="AJ11" s="99" t="n">
        <v>-84.52584</v>
      </c>
      <c r="AK11" s="94" t="n">
        <v>2.94</v>
      </c>
      <c r="AL11" s="94" t="n">
        <v>3.49</v>
      </c>
      <c r="AM11" s="94" t="n">
        <v>4.16</v>
      </c>
      <c r="AN11" s="94" t="n">
        <v>2.94</v>
      </c>
      <c r="AO11" s="92" t="inlineStr">
        <is>
          <t>Distant 2-3mi</t>
        </is>
      </c>
      <c r="AP11" s="92" t="inlineStr">
        <is>
          <t>Open span</t>
        </is>
      </c>
      <c r="AQ11" s="92" t="inlineStr">
        <is>
          <t>Ample &gt;=15k</t>
        </is>
      </c>
      <c r="AR11" s="100" t="n"/>
      <c r="AS11" s="96">
        <f>ROUND(INDEX('Scoring Method'!$B$63:$B$70,MATCH(AE11,'Scoring Method'!$A$63:$A$70,0))*0.625+INDEX('Scoring Method'!$B$105:$B$113,MATCH(AP11,'Scoring Method'!$A$105:$A$113,0))+INDEX('Scoring Method'!$B$74:$B$78,MATCH(AQ11,'Scoring Method'!$A$74:$A$78,0))*0.6667+INDEX('Scoring Method'!$B$96:$B$101,MATCH(AO11,'Scoring Method'!$A$96:$A$101,0))+INDEX('Scoring Method'!$B$343:$B$347,MATCH(X11,'Scoring Method'!$A$343:$A$347,0))*0.3333+INDEX('Scoring Method'!$B$25:$B$27,MATCH(P11,'Scoring Method'!$A$25:$A$27,0))*0.3333,1)</f>
        <v/>
      </c>
      <c r="AT11" s="96">
        <f>AS11*U11/100</f>
        <v/>
      </c>
      <c r="AU11" s="92" t="inlineStr">
        <is>
          <t>Rittes East / Winston Park</t>
        </is>
      </c>
      <c r="AV11" s="92" t="n">
        <v>82</v>
      </c>
      <c r="AW11" s="92" t="inlineStr">
        <is>
          <t>Sourced</t>
        </is>
      </c>
      <c r="AX11" s="92" t="inlineStr">
        <is>
          <t>Very safe 80+</t>
        </is>
      </c>
      <c r="AY11" s="96">
        <f>ROUND(INDEX('Scoring Method'!$B$132:$B$140,MATCH(AE11,'Scoring Method'!$A$132:$A$140,0))+INDEX('Scoring Method'!$B$144:$B$152,MATCH(AP11,'Scoring Method'!$A$144:$A$152,0))+INDEX('Scoring Method'!$B$156:$B$160,MATCH(AQ11,'Scoring Method'!$A$156:$A$160,0))+INDEX('Scoring Method'!$B$164:$B$169,MATCH(AO11,'Scoring Method'!$A$164:$A$169,0))+INDEX('Scoring Method'!$B$173:$B$178,MATCH(AX11,'Scoring Method'!$A$173:$A$178,0))+INDEX('Scoring Method'!$B$349:$B$353,MATCH(X11,'Scoring Method'!$A$349:$A$353,0))+INDEX('Scoring Method'!$B$188:$B$190,MATCH(P11,'Scoring Method'!$A$188:$A$190,0)),1)</f>
        <v/>
      </c>
      <c r="AZ11" s="96">
        <f>AY11*U11/100</f>
        <v/>
      </c>
      <c r="BA11" s="92" t="inlineStr">
        <is>
          <t>No chain signal</t>
        </is>
      </c>
      <c r="BB11" s="94" t="n">
        <v>1</v>
      </c>
      <c r="BC11" s="92" t="inlineStr">
        <is>
          <t>Right-sized 0.35-0.75 AC</t>
        </is>
      </c>
      <c r="BD11" s="94" t="n">
        <v>1</v>
      </c>
      <c r="BE11" s="96">
        <f>ROUND(INDEX('Scoring Method'!$B$268:$B$276,MATCH(AE11,'Scoring Method'!$A$268:$A$276,0))+INDEX('Scoring Method'!$B$280:$B$288,MATCH(AP11,'Scoring Method'!$A$280:$A$288,0))+INDEX('Scoring Method'!$B$292:$B$296,MATCH(AQ11,'Scoring Method'!$A$292:$A$296,0))+INDEX('Scoring Method'!$B$300:$B$305,MATCH(AO11,'Scoring Method'!$A$300:$A$305,0))+INDEX('Scoring Method'!$B$309:$B$314,MATCH(AX11,'Scoring Method'!$A$309:$A$314,0))+INDEX('Scoring Method'!$B$337:$B$341,MATCH(X11,'Scoring Method'!$A$337:$A$341,0))+INDEX('Scoring Method'!$B$324:$B$326,MATCH(P11,'Scoring Method'!$A$324:$A$326,0)),1)</f>
        <v/>
      </c>
      <c r="BF11" s="96">
        <f>ROUND(INDEX('Scoring Method'!$B$268:$B$276,MATCH(AE11,'Scoring Method'!$A$268:$A$276,0))*BB11*BD11+INDEX('Scoring Method'!$B$280:$B$288,MATCH(AP11,'Scoring Method'!$A$280:$A$288,0))*BM11*BB11*BD11+INDEX('Scoring Method'!$B$292:$B$296,MATCH(AQ11,'Scoring Method'!$A$292:$A$296,0))*BD11+INDEX('Scoring Method'!$B$300:$B$305,MATCH(AO11,'Scoring Method'!$A$300:$A$305,0))*BM11*BB11+INDEX('Scoring Method'!$B$309:$B$314,MATCH(AX11,'Scoring Method'!$A$309:$A$314,0))+INDEX('Scoring Method'!$B$337:$B$341,MATCH(X11,'Scoring Method'!$A$337:$A$341,0))+INDEX('Scoring Method'!$B$324:$B$326,MATCH(P11,'Scoring Method'!$A$324:$A$326,0)),1)</f>
        <v/>
      </c>
      <c r="BG11" s="92" t="inlineStr">
        <is>
          <t>Fits (~$4,095/mo)</t>
        </is>
      </c>
      <c r="BH11" s="61" t="inlineStr">
        <is>
          <t>AUC</t>
        </is>
      </c>
      <c r="BI11" s="61" t="inlineStr">
        <is>
          <t>Auto-Urban Commercial</t>
        </is>
      </c>
      <c r="BJ11" s="61" t="inlineStr"/>
      <c r="BK11" s="61" t="inlineStr"/>
      <c r="BL11" s="61" t="inlineStr">
        <is>
          <t>Bar permitted</t>
        </is>
      </c>
      <c r="BM11" s="61">
        <f>INDEX('Scoring Method'!$B$358:$B$363,MATCH(BL11,'Scoring Method'!$A$358:$A$363,0))</f>
        <v/>
      </c>
    </row>
    <row r="12" ht="15" customHeight="1" s="62">
      <c r="A12" s="92" t="n">
        <v>11</v>
      </c>
      <c r="B12" s="92" t="inlineStr">
        <is>
          <t>054-22-39-009.00</t>
        </is>
      </c>
      <c r="C12" s="92" t="inlineStr">
        <is>
          <t>1116 RUSSELL ST</t>
        </is>
      </c>
      <c r="D12" s="92" t="inlineStr">
        <is>
          <t>SKLO ACQUISITIONS LLC</t>
        </is>
      </c>
      <c r="E12" s="92" t="inlineStr">
        <is>
          <t>PO BOX 172576</t>
        </is>
      </c>
      <c r="F12" s="92" t="inlineStr">
        <is>
          <t>TAMPA</t>
        </is>
      </c>
      <c r="G12" s="92" t="inlineStr">
        <is>
          <t>FL</t>
        </is>
      </c>
      <c r="H12" s="92" t="inlineStr">
        <is>
          <t>GARAGE</t>
        </is>
      </c>
      <c r="I12" s="93" t="n">
        <v>37630</v>
      </c>
      <c r="J12" s="94">
        <f>I12/43560</f>
        <v/>
      </c>
      <c r="K12" s="93" t="n">
        <v>776</v>
      </c>
      <c r="L12" s="95">
        <f>I12/(K12^2)</f>
        <v/>
      </c>
      <c r="M12" s="92" t="inlineStr">
        <is>
          <t>Near 14-18k/32-45k</t>
        </is>
      </c>
      <c r="N12" s="92" t="inlineStr">
        <is>
          <t>A</t>
        </is>
      </c>
      <c r="O12" s="92" t="inlineStr">
        <is>
          <t>Compact &gt;=.055</t>
        </is>
      </c>
      <c r="P12" s="92" t="inlineStr">
        <is>
          <t>Moderate</t>
        </is>
      </c>
      <c r="Q12" s="92" t="inlineStr">
        <is>
          <t>Out-of-state</t>
        </is>
      </c>
      <c r="R12" s="92" t="inlineStr">
        <is>
          <t>Passive vehicle</t>
        </is>
      </c>
      <c r="S12" s="92" t="n">
        <v>1</v>
      </c>
      <c r="T12" s="96">
        <f>INDEX('Scoring Method'!$B$6:$B$9,MATCH(M12,'Scoring Method'!$A$6:$A$9,0))+INDEX('Scoring Method'!$B$12:$B$16,MATCH(N12,'Scoring Method'!$A$12:$A$16,0))+INDEX('Scoring Method'!$B$19:$B$22,MATCH(O12,'Scoring Method'!$A$19:$A$22,0))+INDEX('Scoring Method'!$B$25:$B$27,MATCH(P12,'Scoring Method'!$A$25:$A$27,0))</f>
        <v/>
      </c>
      <c r="U12" s="96">
        <f>(INDEX('Scoring Method'!$B$30:$B$33,MATCH(Q12,'Scoring Method'!$A$30:$A$33,0))+INDEX('Scoring Method'!$B$36:$B$42,MATCH(R12,'Scoring Method'!$A$36:$A$42,0))+INDEX('Scoring Method'!$B$45:$B$47,MATCH(IF(S12=1,"1",IF(S12=2,"2","3+")),'Scoring Method'!$A$45:$A$47,0)))/90*100</f>
        <v/>
      </c>
      <c r="V12" s="96">
        <f>T12*U12/100</f>
        <v/>
      </c>
      <c r="W12" s="93" t="n">
        <v>21500</v>
      </c>
      <c r="X12" s="92" t="inlineStr">
        <is>
          <t>X (minimal hazard)</t>
        </is>
      </c>
      <c r="Y12" s="93" t="n">
        <v>13525</v>
      </c>
      <c r="Z12" s="97">
        <f>W12/I12</f>
        <v/>
      </c>
      <c r="AA12" s="98">
        <f>MAX(0,(Y12-5000)/300)</f>
        <v/>
      </c>
      <c r="AB12" s="92" t="n"/>
      <c r="AC12" s="92" t="n">
        <v>0.86</v>
      </c>
      <c r="AD12" s="92" t="inlineStr">
        <is>
          <t>ok</t>
        </is>
      </c>
      <c r="AE12" s="92" t="inlineStr">
        <is>
          <t>Far oversize &gt;12k</t>
        </is>
      </c>
      <c r="AF12" s="96">
        <f>INDEX('Scoring Method'!$B$63:$B$71,MATCH(AE12,'Scoring Method'!$A$63:$A$71,0))+INDEX('Scoring Method'!$B$75:$B$79,MATCH("Good 8-15k",'Scoring Method'!$A$75:$A$79,0))+INDEX('Scoring Method'!$B$343:$B$347,MATCH(X12,'Scoring Method'!$A$343:$A$347,0))+INDEX('Scoring Method'!$B$25:$B$27,MATCH(P12,'Scoring Method'!$A$25:$A$27,0))</f>
        <v/>
      </c>
      <c r="AG12" s="96">
        <f>AF12*U12/100</f>
        <v/>
      </c>
      <c r="AH12" s="92" t="inlineStr">
        <is>
          <t>LINK-GIS + LoopNet</t>
        </is>
      </c>
      <c r="AI12" s="99" t="n">
        <v>39.07773</v>
      </c>
      <c r="AJ12" s="99" t="n">
        <v>-84.51152</v>
      </c>
      <c r="AK12" s="94" t="n">
        <v>0.57</v>
      </c>
      <c r="AL12" s="94" t="n">
        <v>0.92</v>
      </c>
      <c r="AM12" s="94" t="n">
        <v>1.64</v>
      </c>
      <c r="AN12" s="94" t="n">
        <v>0.43</v>
      </c>
      <c r="AO12" s="92" t="inlineStr">
        <is>
          <t>Near 0.35-0.75mi</t>
        </is>
      </c>
      <c r="AP12" s="92" t="inlineStr">
        <is>
          <t>Open span</t>
        </is>
      </c>
      <c r="AQ12" s="92" t="inlineStr">
        <is>
          <t>Good 8-15k</t>
        </is>
      </c>
      <c r="AR12" s="100" t="n"/>
      <c r="AS12" s="96">
        <f>ROUND(INDEX('Scoring Method'!$B$63:$B$70,MATCH(AE12,'Scoring Method'!$A$63:$A$70,0))*0.625+INDEX('Scoring Method'!$B$105:$B$113,MATCH(AP12,'Scoring Method'!$A$105:$A$113,0))+INDEX('Scoring Method'!$B$74:$B$78,MATCH(AQ12,'Scoring Method'!$A$74:$A$78,0))*0.6667+INDEX('Scoring Method'!$B$96:$B$101,MATCH(AO12,'Scoring Method'!$A$96:$A$101,0))+INDEX('Scoring Method'!$B$343:$B$347,MATCH(X12,'Scoring Method'!$A$343:$A$347,0))*0.3333+INDEX('Scoring Method'!$B$25:$B$27,MATCH(P12,'Scoring Method'!$A$25:$A$27,0))*0.3333,1)</f>
        <v/>
      </c>
      <c r="AT12" s="96">
        <f>AS12*U12/100</f>
        <v/>
      </c>
      <c r="AU12" s="92" t="inlineStr">
        <is>
          <t>Old Seminary Square</t>
        </is>
      </c>
      <c r="AV12" s="92" t="n">
        <v>35</v>
      </c>
      <c r="AW12" s="101" t="inlineStr">
        <is>
          <t>ESTIMATED</t>
        </is>
      </c>
      <c r="AX12" s="92" t="inlineStr">
        <is>
          <t>Elevated 35-44</t>
        </is>
      </c>
      <c r="AY12" s="96">
        <f>ROUND(INDEX('Scoring Method'!$B$132:$B$140,MATCH(AE12,'Scoring Method'!$A$132:$A$140,0))+INDEX('Scoring Method'!$B$144:$B$152,MATCH(AP12,'Scoring Method'!$A$144:$A$152,0))+INDEX('Scoring Method'!$B$156:$B$160,MATCH(AQ12,'Scoring Method'!$A$156:$A$160,0))+INDEX('Scoring Method'!$B$164:$B$169,MATCH(AO12,'Scoring Method'!$A$164:$A$169,0))+INDEX('Scoring Method'!$B$173:$B$178,MATCH(AX12,'Scoring Method'!$A$173:$A$178,0))+INDEX('Scoring Method'!$B$349:$B$353,MATCH(X12,'Scoring Method'!$A$349:$A$353,0))+INDEX('Scoring Method'!$B$188:$B$190,MATCH(P12,'Scoring Method'!$A$188:$A$190,0)),1)</f>
        <v/>
      </c>
      <c r="AZ12" s="96">
        <f>AY12*U12/100</f>
        <v/>
      </c>
      <c r="BA12" s="92" t="inlineStr">
        <is>
          <t>No chain signal</t>
        </is>
      </c>
      <c r="BB12" s="94" t="n">
        <v>1</v>
      </c>
      <c r="BC12" s="102" t="inlineStr">
        <is>
          <t>Large 0.75-1.25 AC</t>
        </is>
      </c>
      <c r="BD12" s="94" t="n">
        <v>0.9</v>
      </c>
      <c r="BE12" s="96">
        <f>ROUND(INDEX('Scoring Method'!$B$268:$B$276,MATCH(AE12,'Scoring Method'!$A$268:$A$276,0))+INDEX('Scoring Method'!$B$280:$B$288,MATCH(AP12,'Scoring Method'!$A$280:$A$288,0))+INDEX('Scoring Method'!$B$292:$B$296,MATCH(AQ12,'Scoring Method'!$A$292:$A$296,0))+INDEX('Scoring Method'!$B$300:$B$305,MATCH(AO12,'Scoring Method'!$A$300:$A$305,0))+INDEX('Scoring Method'!$B$309:$B$314,MATCH(AX12,'Scoring Method'!$A$309:$A$314,0))+INDEX('Scoring Method'!$B$337:$B$341,MATCH(X12,'Scoring Method'!$A$337:$A$341,0))+INDEX('Scoring Method'!$B$324:$B$326,MATCH(P12,'Scoring Method'!$A$324:$A$326,0)),1)</f>
        <v/>
      </c>
      <c r="BF12" s="96">
        <f>ROUND(INDEX('Scoring Method'!$B$268:$B$276,MATCH(AE12,'Scoring Method'!$A$268:$A$276,0))*BB12*BD12+INDEX('Scoring Method'!$B$280:$B$288,MATCH(AP12,'Scoring Method'!$A$280:$A$288,0))*BM12*BB12*BD12+INDEX('Scoring Method'!$B$292:$B$296,MATCH(AQ12,'Scoring Method'!$A$292:$A$296,0))*BD12+INDEX('Scoring Method'!$B$300:$B$305,MATCH(AO12,'Scoring Method'!$A$300:$A$305,0))*BM12*BB12+INDEX('Scoring Method'!$B$309:$B$314,MATCH(AX12,'Scoring Method'!$A$309:$A$314,0))+INDEX('Scoring Method'!$B$337:$B$341,MATCH(X12,'Scoring Method'!$A$337:$A$341,0))+INDEX('Scoring Method'!$B$324:$B$326,MATCH(P12,'Scoring Method'!$A$324:$A$326,0)),1)</f>
        <v/>
      </c>
      <c r="BG12" s="102" t="inlineStr">
        <is>
          <t>Over (~$19,708/mo)</t>
        </is>
      </c>
      <c r="BH12" s="61" t="inlineStr">
        <is>
          <t>TUMU (TS)</t>
        </is>
      </c>
      <c r="BI12" s="61" t="inlineStr">
        <is>
          <t>Traditional Urban Mixed Use</t>
        </is>
      </c>
      <c r="BJ12" s="61" t="inlineStr"/>
      <c r="BK12" s="61" t="inlineStr">
        <is>
          <t>Yes</t>
        </is>
      </c>
      <c r="BL12" s="61" t="inlineStr">
        <is>
          <t>Bar permitted</t>
        </is>
      </c>
      <c r="BM12" s="61">
        <f>INDEX('Scoring Method'!$B$358:$B$363,MATCH(BL12,'Scoring Method'!$A$358:$A$363,0))</f>
        <v/>
      </c>
    </row>
    <row r="13" ht="15" customHeight="1" s="62">
      <c r="A13" s="92" t="n">
        <v>12</v>
      </c>
      <c r="B13" s="92" t="inlineStr">
        <is>
          <t>054-23-04-012.00</t>
        </is>
      </c>
      <c r="C13" s="92" t="inlineStr">
        <is>
          <t>423 SCOTT ST</t>
        </is>
      </c>
      <c r="D13" s="92" t="inlineStr">
        <is>
          <t>DECASTRO MANAGEMENT LLC</t>
        </is>
      </c>
      <c r="E13" s="92" t="inlineStr">
        <is>
          <t>700 WALNUT ST STE 311</t>
        </is>
      </c>
      <c r="F13" s="92" t="inlineStr">
        <is>
          <t>CINCINNATI</t>
        </is>
      </c>
      <c r="G13" s="92" t="inlineStr">
        <is>
          <t>OH</t>
        </is>
      </c>
      <c r="H13" s="92" t="inlineStr">
        <is>
          <t>AUTO SERVICE/REPAIR</t>
        </is>
      </c>
      <c r="I13" s="93" t="n">
        <v>36100</v>
      </c>
      <c r="J13" s="94">
        <f>I13/43560</f>
        <v/>
      </c>
      <c r="K13" s="93" t="n">
        <v>760</v>
      </c>
      <c r="L13" s="95">
        <f>I13/(K13^2)</f>
        <v/>
      </c>
      <c r="M13" s="92" t="inlineStr">
        <is>
          <t>Near 14-18k/32-45k</t>
        </is>
      </c>
      <c r="N13" s="92" t="inlineStr">
        <is>
          <t>A</t>
        </is>
      </c>
      <c r="O13" s="92" t="inlineStr">
        <is>
          <t>Compact &gt;=.055</t>
        </is>
      </c>
      <c r="P13" s="92" t="inlineStr">
        <is>
          <t>Moderate</t>
        </is>
      </c>
      <c r="Q13" s="92" t="inlineStr">
        <is>
          <t>Out-of-state</t>
        </is>
      </c>
      <c r="R13" s="92" t="inlineStr">
        <is>
          <t>Passive vehicle</t>
        </is>
      </c>
      <c r="S13" s="92" t="n">
        <v>1</v>
      </c>
      <c r="T13" s="96">
        <f>INDEX('Scoring Method'!$B$6:$B$9,MATCH(M13,'Scoring Method'!$A$6:$A$9,0))+INDEX('Scoring Method'!$B$12:$B$16,MATCH(N13,'Scoring Method'!$A$12:$A$16,0))+INDEX('Scoring Method'!$B$19:$B$22,MATCH(O13,'Scoring Method'!$A$19:$A$22,0))+INDEX('Scoring Method'!$B$25:$B$27,MATCH(P13,'Scoring Method'!$A$25:$A$27,0))</f>
        <v/>
      </c>
      <c r="U13" s="96">
        <f>(INDEX('Scoring Method'!$B$30:$B$33,MATCH(Q13,'Scoring Method'!$A$30:$A$33,0))+INDEX('Scoring Method'!$B$36:$B$42,MATCH(R13,'Scoring Method'!$A$36:$A$42,0))+INDEX('Scoring Method'!$B$45:$B$47,MATCH(IF(S13=1,"1",IF(S13=2,"2","3+")),'Scoring Method'!$A$45:$A$47,0)))/90*100</f>
        <v/>
      </c>
      <c r="V13" s="96">
        <f>T13*U13/100</f>
        <v/>
      </c>
      <c r="W13" s="93" t="n">
        <v>17586</v>
      </c>
      <c r="X13" s="92" t="inlineStr">
        <is>
          <t>X (minimal hazard)</t>
        </is>
      </c>
      <c r="Y13" s="93" t="n">
        <v>17825</v>
      </c>
      <c r="Z13" s="97">
        <f>W13/I13</f>
        <v/>
      </c>
      <c r="AA13" s="98">
        <f>MAX(0,(Y13-5000)/300)</f>
        <v/>
      </c>
      <c r="AB13" s="92" t="n"/>
      <c r="AC13" s="92" t="n">
        <v>0.83</v>
      </c>
      <c r="AD13" s="92" t="inlineStr">
        <is>
          <t>ok</t>
        </is>
      </c>
      <c r="AE13" s="92" t="inlineStr">
        <is>
          <t>Far oversize &gt;12k</t>
        </is>
      </c>
      <c r="AF13" s="96">
        <f>INDEX('Scoring Method'!$B$63:$B$71,MATCH(AE13,'Scoring Method'!$A$63:$A$71,0))+INDEX('Scoring Method'!$B$75:$B$79,MATCH("Ample &gt;=15k",'Scoring Method'!$A$75:$A$79,0))+INDEX('Scoring Method'!$B$343:$B$347,MATCH(X13,'Scoring Method'!$A$343:$A$347,0))+INDEX('Scoring Method'!$B$25:$B$27,MATCH(P13,'Scoring Method'!$A$25:$A$27,0))</f>
        <v/>
      </c>
      <c r="AG13" s="96">
        <f>AF13*U13/100</f>
        <v/>
      </c>
      <c r="AH13" s="92" t="inlineStr">
        <is>
          <t>LINK-GIS + LoopNet</t>
        </is>
      </c>
      <c r="AI13" s="99" t="n">
        <v>39.08638</v>
      </c>
      <c r="AJ13" s="99" t="n">
        <v>-84.50972</v>
      </c>
      <c r="AK13" s="94" t="n">
        <v>0.46</v>
      </c>
      <c r="AL13" s="94" t="n">
        <v>0.32</v>
      </c>
      <c r="AM13" s="94" t="n">
        <v>1.05</v>
      </c>
      <c r="AN13" s="94" t="n">
        <v>0.18</v>
      </c>
      <c r="AO13" s="92" t="inlineStr">
        <is>
          <t>Core &lt;=0.35mi</t>
        </is>
      </c>
      <c r="AP13" s="92" t="inlineStr">
        <is>
          <t>Open span</t>
        </is>
      </c>
      <c r="AQ13" s="92" t="inlineStr">
        <is>
          <t>Ample &gt;=15k</t>
        </is>
      </c>
      <c r="AR13" s="100" t="n"/>
      <c r="AS13" s="96">
        <f>ROUND(INDEX('Scoring Method'!$B$63:$B$70,MATCH(AE13,'Scoring Method'!$A$63:$A$70,0))*0.625+INDEX('Scoring Method'!$B$105:$B$113,MATCH(AP13,'Scoring Method'!$A$105:$A$113,0))+INDEX('Scoring Method'!$B$74:$B$78,MATCH(AQ13,'Scoring Method'!$A$74:$A$78,0))*0.6667+INDEX('Scoring Method'!$B$96:$B$101,MATCH(AO13,'Scoring Method'!$A$96:$A$101,0))+INDEX('Scoring Method'!$B$343:$B$347,MATCH(X13,'Scoring Method'!$A$343:$A$347,0))*0.3333+INDEX('Scoring Method'!$B$25:$B$27,MATCH(P13,'Scoring Method'!$A$25:$A$27,0))*0.3333,1)</f>
        <v/>
      </c>
      <c r="AT13" s="96">
        <f>AS13*U13/100</f>
        <v/>
      </c>
      <c r="AU13" s="92" t="inlineStr">
        <is>
          <t>Central Business District</t>
        </is>
      </c>
      <c r="AV13" s="92" t="n">
        <v>48</v>
      </c>
      <c r="AW13" s="101" t="inlineStr">
        <is>
          <t>ESTIMATED</t>
        </is>
      </c>
      <c r="AX13" s="92" t="inlineStr">
        <is>
          <t>Mixed 45-59</t>
        </is>
      </c>
      <c r="AY13" s="96">
        <f>ROUND(INDEX('Scoring Method'!$B$132:$B$140,MATCH(AE13,'Scoring Method'!$A$132:$A$140,0))+INDEX('Scoring Method'!$B$144:$B$152,MATCH(AP13,'Scoring Method'!$A$144:$A$152,0))+INDEX('Scoring Method'!$B$156:$B$160,MATCH(AQ13,'Scoring Method'!$A$156:$A$160,0))+INDEX('Scoring Method'!$B$164:$B$169,MATCH(AO13,'Scoring Method'!$A$164:$A$169,0))+INDEX('Scoring Method'!$B$173:$B$178,MATCH(AX13,'Scoring Method'!$A$173:$A$178,0))+INDEX('Scoring Method'!$B$349:$B$353,MATCH(X13,'Scoring Method'!$A$349:$A$353,0))+INDEX('Scoring Method'!$B$188:$B$190,MATCH(P13,'Scoring Method'!$A$188:$A$190,0)),1)</f>
        <v/>
      </c>
      <c r="AZ13" s="96">
        <f>AY13*U13/100</f>
        <v/>
      </c>
      <c r="BA13" s="92" t="inlineStr">
        <is>
          <t>No chain signal</t>
        </is>
      </c>
      <c r="BB13" s="94" t="n">
        <v>1</v>
      </c>
      <c r="BC13" s="102" t="inlineStr">
        <is>
          <t>Large 0.75-1.25 AC</t>
        </is>
      </c>
      <c r="BD13" s="94" t="n">
        <v>0.9</v>
      </c>
      <c r="BE13" s="96">
        <f>ROUND(INDEX('Scoring Method'!$B$268:$B$276,MATCH(AE13,'Scoring Method'!$A$268:$A$276,0))+INDEX('Scoring Method'!$B$280:$B$288,MATCH(AP13,'Scoring Method'!$A$280:$A$288,0))+INDEX('Scoring Method'!$B$292:$B$296,MATCH(AQ13,'Scoring Method'!$A$292:$A$296,0))+INDEX('Scoring Method'!$B$300:$B$305,MATCH(AO13,'Scoring Method'!$A$300:$A$305,0))+INDEX('Scoring Method'!$B$309:$B$314,MATCH(AX13,'Scoring Method'!$A$309:$A$314,0))+INDEX('Scoring Method'!$B$337:$B$341,MATCH(X13,'Scoring Method'!$A$337:$A$341,0))+INDEX('Scoring Method'!$B$324:$B$326,MATCH(P13,'Scoring Method'!$A$324:$A$326,0)),1)</f>
        <v/>
      </c>
      <c r="BF13" s="96">
        <f>ROUND(INDEX('Scoring Method'!$B$268:$B$276,MATCH(AE13,'Scoring Method'!$A$268:$A$276,0))*BB13*BD13+INDEX('Scoring Method'!$B$280:$B$288,MATCH(AP13,'Scoring Method'!$A$280:$A$288,0))*BM13*BB13*BD13+INDEX('Scoring Method'!$B$292:$B$296,MATCH(AQ13,'Scoring Method'!$A$292:$A$296,0))*BD13+INDEX('Scoring Method'!$B$300:$B$305,MATCH(AO13,'Scoring Method'!$A$300:$A$305,0))*BM13*BB13+INDEX('Scoring Method'!$B$309:$B$314,MATCH(AX13,'Scoring Method'!$A$309:$A$314,0))+INDEX('Scoring Method'!$B$337:$B$341,MATCH(X13,'Scoring Method'!$A$337:$A$341,0))+INDEX('Scoring Method'!$B$324:$B$326,MATCH(P13,'Scoring Method'!$A$324:$A$326,0)),1)</f>
        <v/>
      </c>
      <c r="BG13" s="102" t="inlineStr">
        <is>
          <t>Over (~$16,120/mo)</t>
        </is>
      </c>
      <c r="BH13" s="61" t="inlineStr">
        <is>
          <t>DTC (HP)</t>
        </is>
      </c>
      <c r="BI13" s="61" t="inlineStr">
        <is>
          <t>Downtown Core</t>
        </is>
      </c>
      <c r="BJ13" s="61" t="inlineStr">
        <is>
          <t>HP</t>
        </is>
      </c>
      <c r="BK13" s="61" t="inlineStr"/>
      <c r="BL13" s="61" t="inlineStr">
        <is>
          <t>Bar permitted</t>
        </is>
      </c>
      <c r="BM13" s="61">
        <f>INDEX('Scoring Method'!$B$358:$B$363,MATCH(BL13,'Scoring Method'!$A$358:$A$363,0))</f>
        <v/>
      </c>
    </row>
    <row r="14" ht="15" customHeight="1" s="62">
      <c r="A14" s="92" t="n">
        <v>13</v>
      </c>
      <c r="B14" s="92" t="inlineStr">
        <is>
          <t>056-20-00-059.02</t>
        </is>
      </c>
      <c r="C14" s="92" t="inlineStr">
        <is>
          <t>4387 WINSTON AVE</t>
        </is>
      </c>
      <c r="D14" s="92" t="inlineStr">
        <is>
          <t>J &amp; S LATONIA CENTRE KY LLC</t>
        </is>
      </c>
      <c r="E14" s="92" t="inlineStr">
        <is>
          <t>PO BOX 24550</t>
        </is>
      </c>
      <c r="F14" s="92" t="inlineStr">
        <is>
          <t>COLUMBUS</t>
        </is>
      </c>
      <c r="G14" s="92" t="inlineStr">
        <is>
          <t>OH</t>
        </is>
      </c>
      <c r="H14" s="92" t="inlineStr">
        <is>
          <t>FAST FOOD-DRIVE THRU REST</t>
        </is>
      </c>
      <c r="I14" s="93" t="n">
        <v>26797</v>
      </c>
      <c r="J14" s="94">
        <f>I14/43560</f>
        <v/>
      </c>
      <c r="K14" s="93" t="n">
        <v>661</v>
      </c>
      <c r="L14" s="95">
        <f>I14/(K14^2)</f>
        <v/>
      </c>
      <c r="M14" s="92" t="inlineStr">
        <is>
          <t>Ideal 18-32k</t>
        </is>
      </c>
      <c r="N14" s="92" t="inlineStr">
        <is>
          <t>C</t>
        </is>
      </c>
      <c r="O14" s="92" t="inlineStr">
        <is>
          <t>Compact &gt;=.055</t>
        </is>
      </c>
      <c r="P14" s="92" t="inlineStr">
        <is>
          <t>Low</t>
        </is>
      </c>
      <c r="Q14" s="92" t="inlineStr">
        <is>
          <t>Out-of-state</t>
        </is>
      </c>
      <c r="R14" s="92" t="inlineStr">
        <is>
          <t>Operating entity</t>
        </is>
      </c>
      <c r="S14" s="92" t="n">
        <v>4</v>
      </c>
      <c r="T14" s="96">
        <f>INDEX('Scoring Method'!$B$6:$B$9,MATCH(M14,'Scoring Method'!$A$6:$A$9,0))+INDEX('Scoring Method'!$B$12:$B$16,MATCH(N14,'Scoring Method'!$A$12:$A$16,0))+INDEX('Scoring Method'!$B$19:$B$22,MATCH(O14,'Scoring Method'!$A$19:$A$22,0))+INDEX('Scoring Method'!$B$25:$B$27,MATCH(P14,'Scoring Method'!$A$25:$A$27,0))</f>
        <v/>
      </c>
      <c r="U14" s="96">
        <f>(INDEX('Scoring Method'!$B$30:$B$33,MATCH(Q14,'Scoring Method'!$A$30:$A$33,0))+INDEX('Scoring Method'!$B$36:$B$42,MATCH(R14,'Scoring Method'!$A$36:$A$42,0))+INDEX('Scoring Method'!$B$45:$B$47,MATCH(IF(S14=1,"1",IF(S14=2,"2","3+")),'Scoring Method'!$A$45:$A$47,0)))/90*100</f>
        <v/>
      </c>
      <c r="V14" s="96">
        <f>T14*U14/100</f>
        <v/>
      </c>
      <c r="W14" s="93" t="n">
        <v>2768</v>
      </c>
      <c r="X14" s="92" t="inlineStr">
        <is>
          <t>X (minimal hazard)</t>
        </is>
      </c>
      <c r="Y14" s="93" t="n">
        <v>23875</v>
      </c>
      <c r="Z14" s="97">
        <f>W14/I14</f>
        <v/>
      </c>
      <c r="AA14" s="98">
        <f>MAX(0,(Y14-5000)/300)</f>
        <v/>
      </c>
      <c r="AB14" s="92" t="n"/>
      <c r="AC14" s="92" t="n">
        <v>38.19</v>
      </c>
      <c r="AD14" s="102" t="inlineStr">
        <is>
          <t>CHECK</t>
        </is>
      </c>
      <c r="AE14" s="92" t="inlineStr">
        <is>
          <t>Above 2.5-4k</t>
        </is>
      </c>
      <c r="AF14" s="96">
        <f>INDEX('Scoring Method'!$B$63:$B$71,MATCH(AE14,'Scoring Method'!$A$63:$A$71,0))+INDEX('Scoring Method'!$B$75:$B$79,MATCH("Ample &gt;=15k",'Scoring Method'!$A$75:$A$79,0))+INDEX('Scoring Method'!$B$343:$B$347,MATCH(X14,'Scoring Method'!$A$343:$A$347,0))+INDEX('Scoring Method'!$B$25:$B$27,MATCH(P14,'Scoring Method'!$A$25:$A$27,0))</f>
        <v/>
      </c>
      <c r="AG14" s="96">
        <f>AF14*U14/100</f>
        <v/>
      </c>
      <c r="AH14" s="92" t="inlineStr">
        <is>
          <t>LINK-GIS + LoopNet</t>
        </is>
      </c>
      <c r="AI14" s="99" t="n">
        <v>39.0392</v>
      </c>
      <c r="AJ14" s="99" t="n">
        <v>-84.50830999999999</v>
      </c>
      <c r="AK14" s="94" t="n">
        <v>3.16</v>
      </c>
      <c r="AL14" s="94" t="n">
        <v>3.57</v>
      </c>
      <c r="AM14" s="94" t="n">
        <v>4.31</v>
      </c>
      <c r="AN14" s="94" t="n">
        <v>3.1</v>
      </c>
      <c r="AO14" s="92" t="inlineStr">
        <is>
          <t>Remote &gt;3mi</t>
        </is>
      </c>
      <c r="AP14" s="92" t="inlineStr">
        <is>
          <t>Built-out kitchen</t>
        </is>
      </c>
      <c r="AQ14" s="92" t="inlineStr">
        <is>
          <t>Ample &gt;=15k</t>
        </is>
      </c>
      <c r="AR14" s="100" t="n"/>
      <c r="AS14" s="96">
        <f>ROUND(INDEX('Scoring Method'!$B$63:$B$70,MATCH(AE14,'Scoring Method'!$A$63:$A$70,0))*0.625+INDEX('Scoring Method'!$B$105:$B$113,MATCH(AP14,'Scoring Method'!$A$105:$A$113,0))+INDEX('Scoring Method'!$B$74:$B$78,MATCH(AQ14,'Scoring Method'!$A$74:$A$78,0))*0.6667+INDEX('Scoring Method'!$B$96:$B$101,MATCH(AO14,'Scoring Method'!$A$96:$A$101,0))+INDEX('Scoring Method'!$B$343:$B$347,MATCH(X14,'Scoring Method'!$A$343:$A$347,0))*0.3333+INDEX('Scoring Method'!$B$25:$B$27,MATCH(P14,'Scoring Method'!$A$25:$A$27,0))*0.3333,1)</f>
        <v/>
      </c>
      <c r="AT14" s="96">
        <f>AS14*U14/100</f>
        <v/>
      </c>
      <c r="AU14" s="92" t="inlineStr">
        <is>
          <t>Rittes East / Winston Park</t>
        </is>
      </c>
      <c r="AV14" s="92" t="n">
        <v>82</v>
      </c>
      <c r="AW14" s="92" t="inlineStr">
        <is>
          <t>Sourced</t>
        </is>
      </c>
      <c r="AX14" s="92" t="inlineStr">
        <is>
          <t>Very safe 80+</t>
        </is>
      </c>
      <c r="AY14" s="96">
        <f>ROUND(INDEX('Scoring Method'!$B$132:$B$140,MATCH(AE14,'Scoring Method'!$A$132:$A$140,0))+INDEX('Scoring Method'!$B$144:$B$152,MATCH(AP14,'Scoring Method'!$A$144:$A$152,0))+INDEX('Scoring Method'!$B$156:$B$160,MATCH(AQ14,'Scoring Method'!$A$156:$A$160,0))+INDEX('Scoring Method'!$B$164:$B$169,MATCH(AO14,'Scoring Method'!$A$164:$A$169,0))+INDEX('Scoring Method'!$B$173:$B$178,MATCH(AX14,'Scoring Method'!$A$173:$A$178,0))+INDEX('Scoring Method'!$B$349:$B$353,MATCH(X14,'Scoring Method'!$A$349:$A$353,0))+INDEX('Scoring Method'!$B$188:$B$190,MATCH(P14,'Scoring Method'!$A$188:$A$190,0)),1)</f>
        <v/>
      </c>
      <c r="AZ14" s="96">
        <f>AY14*U14/100</f>
        <v/>
      </c>
      <c r="BA14" s="103" t="inlineStr">
        <is>
          <t>Chain format + investor</t>
        </is>
      </c>
      <c r="BB14" s="94" t="n">
        <v>0.45</v>
      </c>
      <c r="BC14" s="92" t="inlineStr">
        <is>
          <t>Right-sized 0.35-0.75 AC</t>
        </is>
      </c>
      <c r="BD14" s="94" t="n">
        <v>1</v>
      </c>
      <c r="BE14" s="96">
        <f>ROUND(INDEX('Scoring Method'!$B$268:$B$276,MATCH(AE14,'Scoring Method'!$A$268:$A$276,0))+INDEX('Scoring Method'!$B$280:$B$288,MATCH(AP14,'Scoring Method'!$A$280:$A$288,0))+INDEX('Scoring Method'!$B$292:$B$296,MATCH(AQ14,'Scoring Method'!$A$292:$A$296,0))+INDEX('Scoring Method'!$B$300:$B$305,MATCH(AO14,'Scoring Method'!$A$300:$A$305,0))+INDEX('Scoring Method'!$B$309:$B$314,MATCH(AX14,'Scoring Method'!$A$309:$A$314,0))+INDEX('Scoring Method'!$B$337:$B$341,MATCH(X14,'Scoring Method'!$A$337:$A$341,0))+INDEX('Scoring Method'!$B$324:$B$326,MATCH(P14,'Scoring Method'!$A$324:$A$326,0)),1)</f>
        <v/>
      </c>
      <c r="BF14" s="96">
        <f>ROUND(INDEX('Scoring Method'!$B$268:$B$276,MATCH(AE14,'Scoring Method'!$A$268:$A$276,0))*BB14*BD14+INDEX('Scoring Method'!$B$280:$B$288,MATCH(AP14,'Scoring Method'!$A$280:$A$288,0))*BM14*BB14*BD14+INDEX('Scoring Method'!$B$292:$B$296,MATCH(AQ14,'Scoring Method'!$A$292:$A$296,0))*BD14+INDEX('Scoring Method'!$B$300:$B$305,MATCH(AO14,'Scoring Method'!$A$300:$A$305,0))*BM14*BB14+INDEX('Scoring Method'!$B$309:$B$314,MATCH(AX14,'Scoring Method'!$A$309:$A$314,0))+INDEX('Scoring Method'!$B$337:$B$341,MATCH(X14,'Scoring Method'!$A$337:$A$341,0))+INDEX('Scoring Method'!$B$324:$B$326,MATCH(P14,'Scoring Method'!$A$324:$A$326,0)),1)</f>
        <v/>
      </c>
      <c r="BG14" s="92" t="inlineStr">
        <is>
          <t>Fits (~$2,537/mo)</t>
        </is>
      </c>
      <c r="BH14" s="61" t="inlineStr">
        <is>
          <t>AUC</t>
        </is>
      </c>
      <c r="BI14" s="61" t="inlineStr">
        <is>
          <t>Auto-Urban Commercial</t>
        </is>
      </c>
      <c r="BJ14" s="61" t="inlineStr"/>
      <c r="BK14" s="61" t="inlineStr"/>
      <c r="BL14" s="61" t="inlineStr">
        <is>
          <t>Bar permitted</t>
        </is>
      </c>
      <c r="BM14" s="61">
        <f>INDEX('Scoring Method'!$B$358:$B$363,MATCH(BL14,'Scoring Method'!$A$358:$A$363,0))</f>
        <v/>
      </c>
    </row>
    <row r="15" ht="15" customHeight="1" s="62">
      <c r="A15" s="92" t="n">
        <v>14</v>
      </c>
      <c r="B15" s="92" t="inlineStr">
        <is>
          <t>056-20-00-059.03</t>
        </is>
      </c>
      <c r="C15" s="92" t="inlineStr">
        <is>
          <t>4307 WINSTON AVE</t>
        </is>
      </c>
      <c r="D15" s="92" t="inlineStr">
        <is>
          <t>J &amp; S LATONIA CENTRE KY LLC</t>
        </is>
      </c>
      <c r="E15" s="92" t="inlineStr">
        <is>
          <t>PO BOX 24550</t>
        </is>
      </c>
      <c r="F15" s="92" t="inlineStr">
        <is>
          <t>COLUMBUS</t>
        </is>
      </c>
      <c r="G15" s="92" t="inlineStr">
        <is>
          <t>OH</t>
        </is>
      </c>
      <c r="H15" s="92" t="inlineStr">
        <is>
          <t>FAST FOOD-DRIVE THRU REST</t>
        </is>
      </c>
      <c r="I15" s="93" t="n">
        <v>23740</v>
      </c>
      <c r="J15" s="94">
        <f>I15/43560</f>
        <v/>
      </c>
      <c r="K15" s="93" t="n">
        <v>635</v>
      </c>
      <c r="L15" s="95">
        <f>I15/(K15^2)</f>
        <v/>
      </c>
      <c r="M15" s="92" t="inlineStr">
        <is>
          <t>Ideal 18-32k</t>
        </is>
      </c>
      <c r="N15" s="92" t="inlineStr">
        <is>
          <t>C</t>
        </is>
      </c>
      <c r="O15" s="92" t="inlineStr">
        <is>
          <t>Compact &gt;=.055</t>
        </is>
      </c>
      <c r="P15" s="92" t="inlineStr">
        <is>
          <t>Low</t>
        </is>
      </c>
      <c r="Q15" s="92" t="inlineStr">
        <is>
          <t>Out-of-state</t>
        </is>
      </c>
      <c r="R15" s="92" t="inlineStr">
        <is>
          <t>Operating entity</t>
        </is>
      </c>
      <c r="S15" s="92" t="n">
        <v>4</v>
      </c>
      <c r="T15" s="96">
        <f>INDEX('Scoring Method'!$B$6:$B$9,MATCH(M15,'Scoring Method'!$A$6:$A$9,0))+INDEX('Scoring Method'!$B$12:$B$16,MATCH(N15,'Scoring Method'!$A$12:$A$16,0))+INDEX('Scoring Method'!$B$19:$B$22,MATCH(O15,'Scoring Method'!$A$19:$A$22,0))+INDEX('Scoring Method'!$B$25:$B$27,MATCH(P15,'Scoring Method'!$A$25:$A$27,0))</f>
        <v/>
      </c>
      <c r="U15" s="96">
        <f>(INDEX('Scoring Method'!$B$30:$B$33,MATCH(Q15,'Scoring Method'!$A$30:$A$33,0))+INDEX('Scoring Method'!$B$36:$B$42,MATCH(R15,'Scoring Method'!$A$36:$A$42,0))+INDEX('Scoring Method'!$B$45:$B$47,MATCH(IF(S15=1,"1",IF(S15=2,"2","3+")),'Scoring Method'!$A$45:$A$47,0)))/90*100</f>
        <v/>
      </c>
      <c r="V15" s="96">
        <f>T15*U15/100</f>
        <v/>
      </c>
      <c r="W15" s="93" t="n">
        <v>2160</v>
      </c>
      <c r="X15" s="92" t="inlineStr">
        <is>
          <t>X (minimal hazard)</t>
        </is>
      </c>
      <c r="Y15" s="93" t="n">
        <v>20825</v>
      </c>
      <c r="Z15" s="97">
        <f>W15/I15</f>
        <v/>
      </c>
      <c r="AA15" s="98">
        <f>MAX(0,(Y15-5000)/300)</f>
        <v/>
      </c>
      <c r="AB15" s="92" t="n"/>
      <c r="AC15" s="92" t="n">
        <v>39.19</v>
      </c>
      <c r="AD15" s="102" t="inlineStr">
        <is>
          <t>CHECK</t>
        </is>
      </c>
      <c r="AE15" s="92" t="inlineStr">
        <is>
          <t>Target 1.5-2.5k</t>
        </is>
      </c>
      <c r="AF15" s="96">
        <f>INDEX('Scoring Method'!$B$63:$B$71,MATCH(AE15,'Scoring Method'!$A$63:$A$71,0))+INDEX('Scoring Method'!$B$75:$B$79,MATCH("Ample &gt;=15k",'Scoring Method'!$A$75:$A$79,0))+INDEX('Scoring Method'!$B$343:$B$347,MATCH(X15,'Scoring Method'!$A$343:$A$347,0))+INDEX('Scoring Method'!$B$25:$B$27,MATCH(P15,'Scoring Method'!$A$25:$A$27,0))</f>
        <v/>
      </c>
      <c r="AG15" s="96">
        <f>AF15*U15/100</f>
        <v/>
      </c>
      <c r="AH15" s="92" t="inlineStr">
        <is>
          <t>LINK-GIS + LoopNet</t>
        </is>
      </c>
      <c r="AI15" s="99" t="n">
        <v>39.03863</v>
      </c>
      <c r="AJ15" s="99" t="n">
        <v>-84.50864</v>
      </c>
      <c r="AK15" s="94" t="n">
        <v>3.2</v>
      </c>
      <c r="AL15" s="94" t="n">
        <v>3.61</v>
      </c>
      <c r="AM15" s="94" t="n">
        <v>4.35</v>
      </c>
      <c r="AN15" s="94" t="n">
        <v>3.14</v>
      </c>
      <c r="AO15" s="92" t="inlineStr">
        <is>
          <t>Remote &gt;3mi</t>
        </is>
      </c>
      <c r="AP15" s="92" t="inlineStr">
        <is>
          <t>Built-out kitchen</t>
        </is>
      </c>
      <c r="AQ15" s="92" t="inlineStr">
        <is>
          <t>Ample &gt;=15k</t>
        </is>
      </c>
      <c r="AR15" s="100" t="n"/>
      <c r="AS15" s="96">
        <f>ROUND(INDEX('Scoring Method'!$B$63:$B$70,MATCH(AE15,'Scoring Method'!$A$63:$A$70,0))*0.625+INDEX('Scoring Method'!$B$105:$B$113,MATCH(AP15,'Scoring Method'!$A$105:$A$113,0))+INDEX('Scoring Method'!$B$74:$B$78,MATCH(AQ15,'Scoring Method'!$A$74:$A$78,0))*0.6667+INDEX('Scoring Method'!$B$96:$B$101,MATCH(AO15,'Scoring Method'!$A$96:$A$101,0))+INDEX('Scoring Method'!$B$343:$B$347,MATCH(X15,'Scoring Method'!$A$343:$A$347,0))*0.3333+INDEX('Scoring Method'!$B$25:$B$27,MATCH(P15,'Scoring Method'!$A$25:$A$27,0))*0.3333,1)</f>
        <v/>
      </c>
      <c r="AT15" s="96">
        <f>AS15*U15/100</f>
        <v/>
      </c>
      <c r="AU15" s="92" t="inlineStr">
        <is>
          <t>Rittes East / Winston Park</t>
        </is>
      </c>
      <c r="AV15" s="92" t="n">
        <v>82</v>
      </c>
      <c r="AW15" s="92" t="inlineStr">
        <is>
          <t>Sourced</t>
        </is>
      </c>
      <c r="AX15" s="92" t="inlineStr">
        <is>
          <t>Very safe 80+</t>
        </is>
      </c>
      <c r="AY15" s="96">
        <f>ROUND(INDEX('Scoring Method'!$B$132:$B$140,MATCH(AE15,'Scoring Method'!$A$132:$A$140,0))+INDEX('Scoring Method'!$B$144:$B$152,MATCH(AP15,'Scoring Method'!$A$144:$A$152,0))+INDEX('Scoring Method'!$B$156:$B$160,MATCH(AQ15,'Scoring Method'!$A$156:$A$160,0))+INDEX('Scoring Method'!$B$164:$B$169,MATCH(AO15,'Scoring Method'!$A$164:$A$169,0))+INDEX('Scoring Method'!$B$173:$B$178,MATCH(AX15,'Scoring Method'!$A$173:$A$178,0))+INDEX('Scoring Method'!$B$349:$B$353,MATCH(X15,'Scoring Method'!$A$349:$A$353,0))+INDEX('Scoring Method'!$B$188:$B$190,MATCH(P15,'Scoring Method'!$A$188:$A$190,0)),1)</f>
        <v/>
      </c>
      <c r="AZ15" s="96">
        <f>AY15*U15/100</f>
        <v/>
      </c>
      <c r="BA15" s="103" t="inlineStr">
        <is>
          <t>Chain format + investor</t>
        </is>
      </c>
      <c r="BB15" s="94" t="n">
        <v>0.45</v>
      </c>
      <c r="BC15" s="92" t="inlineStr">
        <is>
          <t>Right-sized 0.35-0.75 AC</t>
        </is>
      </c>
      <c r="BD15" s="94" t="n">
        <v>1</v>
      </c>
      <c r="BE15" s="96">
        <f>ROUND(INDEX('Scoring Method'!$B$268:$B$276,MATCH(AE15,'Scoring Method'!$A$268:$A$276,0))+INDEX('Scoring Method'!$B$280:$B$288,MATCH(AP15,'Scoring Method'!$A$280:$A$288,0))+INDEX('Scoring Method'!$B$292:$B$296,MATCH(AQ15,'Scoring Method'!$A$292:$A$296,0))+INDEX('Scoring Method'!$B$300:$B$305,MATCH(AO15,'Scoring Method'!$A$300:$A$305,0))+INDEX('Scoring Method'!$B$309:$B$314,MATCH(AX15,'Scoring Method'!$A$309:$A$314,0))+INDEX('Scoring Method'!$B$337:$B$341,MATCH(X15,'Scoring Method'!$A$337:$A$341,0))+INDEX('Scoring Method'!$B$324:$B$326,MATCH(P15,'Scoring Method'!$A$324:$A$326,0)),1)</f>
        <v/>
      </c>
      <c r="BF15" s="96">
        <f>ROUND(INDEX('Scoring Method'!$B$268:$B$276,MATCH(AE15,'Scoring Method'!$A$268:$A$276,0))*BB15*BD15+INDEX('Scoring Method'!$B$280:$B$288,MATCH(AP15,'Scoring Method'!$A$280:$A$288,0))*BM15*BB15*BD15+INDEX('Scoring Method'!$B$292:$B$296,MATCH(AQ15,'Scoring Method'!$A$292:$A$296,0))*BD15+INDEX('Scoring Method'!$B$300:$B$305,MATCH(AO15,'Scoring Method'!$A$300:$A$305,0))*BM15*BB15+INDEX('Scoring Method'!$B$309:$B$314,MATCH(AX15,'Scoring Method'!$A$309:$A$314,0))+INDEX('Scoring Method'!$B$337:$B$341,MATCH(X15,'Scoring Method'!$A$337:$A$341,0))+INDEX('Scoring Method'!$B$324:$B$326,MATCH(P15,'Scoring Method'!$A$324:$A$326,0)),1)</f>
        <v/>
      </c>
      <c r="BG15" s="92" t="inlineStr">
        <is>
          <t>Fits (~$1,980/mo)</t>
        </is>
      </c>
      <c r="BH15" s="61" t="inlineStr">
        <is>
          <t>AUC</t>
        </is>
      </c>
      <c r="BI15" s="61" t="inlineStr">
        <is>
          <t>Auto-Urban Commercial</t>
        </is>
      </c>
      <c r="BJ15" s="61" t="inlineStr"/>
      <c r="BK15" s="61" t="inlineStr"/>
      <c r="BL15" s="61" t="inlineStr">
        <is>
          <t>Bar permitted</t>
        </is>
      </c>
      <c r="BM15" s="61">
        <f>INDEX('Scoring Method'!$B$358:$B$363,MATCH(BL15,'Scoring Method'!$A$358:$A$363,0))</f>
        <v/>
      </c>
    </row>
    <row r="16" ht="15" customHeight="1" s="62">
      <c r="A16" s="92" t="n">
        <v>15</v>
      </c>
      <c r="B16" s="92" t="inlineStr">
        <is>
          <t>056-31-03-001.00</t>
        </is>
      </c>
      <c r="C16" s="92" t="inlineStr">
        <is>
          <t>609 UNION ST</t>
        </is>
      </c>
      <c r="D16" s="92" t="inlineStr">
        <is>
          <t>MW &amp; MW PROPERTIES INC</t>
        </is>
      </c>
      <c r="E16" s="92" t="inlineStr">
        <is>
          <t>PO BOX 15609</t>
        </is>
      </c>
      <c r="F16" s="92" t="inlineStr">
        <is>
          <t>COVINGTON</t>
        </is>
      </c>
      <c r="G16" s="92" t="inlineStr">
        <is>
          <t>KY</t>
        </is>
      </c>
      <c r="H16" s="92" t="inlineStr">
        <is>
          <t>OTHER RETAIL</t>
        </is>
      </c>
      <c r="I16" s="93" t="n">
        <v>31879</v>
      </c>
      <c r="J16" s="94">
        <f>I16/43560</f>
        <v/>
      </c>
      <c r="K16" s="93" t="n">
        <v>748.9</v>
      </c>
      <c r="L16" s="95">
        <f>I16/(K16^2)</f>
        <v/>
      </c>
      <c r="M16" s="92" t="inlineStr">
        <is>
          <t>Ideal 18-32k</t>
        </is>
      </c>
      <c r="N16" s="92" t="inlineStr">
        <is>
          <t>C</t>
        </is>
      </c>
      <c r="O16" s="92" t="inlineStr">
        <is>
          <t>Compact &gt;=.055</t>
        </is>
      </c>
      <c r="P16" s="92" t="inlineStr">
        <is>
          <t>Low</t>
        </is>
      </c>
      <c r="Q16" s="92" t="inlineStr">
        <is>
          <t>Local absentee</t>
        </is>
      </c>
      <c r="R16" s="92" t="inlineStr">
        <is>
          <t>Passive vehicle</t>
        </is>
      </c>
      <c r="S16" s="92" t="n">
        <v>3</v>
      </c>
      <c r="T16" s="96">
        <f>INDEX('Scoring Method'!$B$6:$B$9,MATCH(M16,'Scoring Method'!$A$6:$A$9,0))+INDEX('Scoring Method'!$B$12:$B$16,MATCH(N16,'Scoring Method'!$A$12:$A$16,0))+INDEX('Scoring Method'!$B$19:$B$22,MATCH(O16,'Scoring Method'!$A$19:$A$22,0))+INDEX('Scoring Method'!$B$25:$B$27,MATCH(P16,'Scoring Method'!$A$25:$A$27,0))</f>
        <v/>
      </c>
      <c r="U16" s="96">
        <f>(INDEX('Scoring Method'!$B$30:$B$33,MATCH(Q16,'Scoring Method'!$A$30:$A$33,0))+INDEX('Scoring Method'!$B$36:$B$42,MATCH(R16,'Scoring Method'!$A$36:$A$42,0))+INDEX('Scoring Method'!$B$45:$B$47,MATCH(IF(S16=1,"1",IF(S16=2,"2","3+")),'Scoring Method'!$A$45:$A$47,0)))/90*100</f>
        <v/>
      </c>
      <c r="V16" s="96">
        <f>T16*U16/100</f>
        <v/>
      </c>
      <c r="W16" s="93" t="n">
        <v>960</v>
      </c>
      <c r="X16" s="92" t="inlineStr">
        <is>
          <t>X (minimal hazard)</t>
        </is>
      </c>
      <c r="Y16" s="93" t="n">
        <v>30425</v>
      </c>
      <c r="Z16" s="97">
        <f>W16/I16</f>
        <v/>
      </c>
      <c r="AA16" s="98">
        <f>MAX(0,(Y16-5000)/300)</f>
        <v/>
      </c>
      <c r="AB16" s="92" t="n"/>
      <c r="AC16" s="92" t="n">
        <v>0.73</v>
      </c>
      <c r="AD16" s="92" t="inlineStr">
        <is>
          <t>ok</t>
        </is>
      </c>
      <c r="AE16" s="92" t="inlineStr">
        <is>
          <t>Too small &lt;1.2k</t>
        </is>
      </c>
      <c r="AF16" s="96">
        <f>INDEX('Scoring Method'!$B$63:$B$71,MATCH(AE16,'Scoring Method'!$A$63:$A$71,0))+INDEX('Scoring Method'!$B$75:$B$79,MATCH("Ample &gt;=15k",'Scoring Method'!$A$75:$A$79,0))+INDEX('Scoring Method'!$B$343:$B$347,MATCH(X16,'Scoring Method'!$A$343:$A$347,0))+INDEX('Scoring Method'!$B$25:$B$27,MATCH(P16,'Scoring Method'!$A$25:$A$27,0))</f>
        <v/>
      </c>
      <c r="AG16" s="96">
        <f>AF16*U16/100</f>
        <v/>
      </c>
      <c r="AH16" s="92" t="inlineStr">
        <is>
          <t>LINK-GIS + LoopNet</t>
        </is>
      </c>
      <c r="AI16" s="99" t="n">
        <v>39.05232</v>
      </c>
      <c r="AJ16" s="99" t="n">
        <v>-84.50216</v>
      </c>
      <c r="AK16" s="94" t="n">
        <v>2.37</v>
      </c>
      <c r="AL16" s="94" t="n">
        <v>2.68</v>
      </c>
      <c r="AM16" s="94" t="n">
        <v>3.44</v>
      </c>
      <c r="AN16" s="94" t="n">
        <v>2.24</v>
      </c>
      <c r="AO16" s="92" t="inlineStr">
        <is>
          <t>Distant 2-3mi</t>
        </is>
      </c>
      <c r="AP16" s="92" t="inlineStr">
        <is>
          <t>Retail shell</t>
        </is>
      </c>
      <c r="AQ16" s="92" t="inlineStr">
        <is>
          <t>Ample &gt;=15k</t>
        </is>
      </c>
      <c r="AR16" s="100" t="n"/>
      <c r="AS16" s="96">
        <f>ROUND(INDEX('Scoring Method'!$B$63:$B$70,MATCH(AE16,'Scoring Method'!$A$63:$A$70,0))*0.625+INDEX('Scoring Method'!$B$105:$B$113,MATCH(AP16,'Scoring Method'!$A$105:$A$113,0))+INDEX('Scoring Method'!$B$74:$B$78,MATCH(AQ16,'Scoring Method'!$A$74:$A$78,0))*0.6667+INDEX('Scoring Method'!$B$96:$B$101,MATCH(AO16,'Scoring Method'!$A$96:$A$101,0))+INDEX('Scoring Method'!$B$343:$B$347,MATCH(X16,'Scoring Method'!$A$343:$A$347,0))*0.3333+INDEX('Scoring Method'!$B$25:$B$27,MATCH(P16,'Scoring Method'!$A$25:$A$27,0))*0.3333,1)</f>
        <v/>
      </c>
      <c r="AT16" s="96">
        <f>AS16*U16/100</f>
        <v/>
      </c>
      <c r="AU16" s="92" t="inlineStr">
        <is>
          <t>Latonia</t>
        </is>
      </c>
      <c r="AV16" s="92" t="n">
        <v>78</v>
      </c>
      <c r="AW16" s="92" t="inlineStr">
        <is>
          <t>Sourced</t>
        </is>
      </c>
      <c r="AX16" s="92" t="inlineStr">
        <is>
          <t>Safe 70-79</t>
        </is>
      </c>
      <c r="AY16" s="96">
        <f>ROUND(INDEX('Scoring Method'!$B$132:$B$140,MATCH(AE16,'Scoring Method'!$A$132:$A$140,0))+INDEX('Scoring Method'!$B$144:$B$152,MATCH(AP16,'Scoring Method'!$A$144:$A$152,0))+INDEX('Scoring Method'!$B$156:$B$160,MATCH(AQ16,'Scoring Method'!$A$156:$A$160,0))+INDEX('Scoring Method'!$B$164:$B$169,MATCH(AO16,'Scoring Method'!$A$164:$A$169,0))+INDEX('Scoring Method'!$B$173:$B$178,MATCH(AX16,'Scoring Method'!$A$173:$A$178,0))+INDEX('Scoring Method'!$B$349:$B$353,MATCH(X16,'Scoring Method'!$A$349:$A$353,0))+INDEX('Scoring Method'!$B$188:$B$190,MATCH(P16,'Scoring Method'!$A$188:$A$190,0)),1)</f>
        <v/>
      </c>
      <c r="AZ16" s="96">
        <f>AY16*U16/100</f>
        <v/>
      </c>
      <c r="BA16" s="92" t="inlineStr">
        <is>
          <t>No chain signal</t>
        </is>
      </c>
      <c r="BB16" s="94" t="n">
        <v>1</v>
      </c>
      <c r="BC16" s="92" t="inlineStr">
        <is>
          <t>Right-sized 0.35-0.75 AC</t>
        </is>
      </c>
      <c r="BD16" s="94" t="n">
        <v>1</v>
      </c>
      <c r="BE16" s="96">
        <f>ROUND(INDEX('Scoring Method'!$B$268:$B$276,MATCH(AE16,'Scoring Method'!$A$268:$A$276,0))+INDEX('Scoring Method'!$B$280:$B$288,MATCH(AP16,'Scoring Method'!$A$280:$A$288,0))+INDEX('Scoring Method'!$B$292:$B$296,MATCH(AQ16,'Scoring Method'!$A$292:$A$296,0))+INDEX('Scoring Method'!$B$300:$B$305,MATCH(AO16,'Scoring Method'!$A$300:$A$305,0))+INDEX('Scoring Method'!$B$309:$B$314,MATCH(AX16,'Scoring Method'!$A$309:$A$314,0))+INDEX('Scoring Method'!$B$337:$B$341,MATCH(X16,'Scoring Method'!$A$337:$A$341,0))+INDEX('Scoring Method'!$B$324:$B$326,MATCH(P16,'Scoring Method'!$A$324:$A$326,0)),1)</f>
        <v/>
      </c>
      <c r="BF16" s="96">
        <f>ROUND(INDEX('Scoring Method'!$B$268:$B$276,MATCH(AE16,'Scoring Method'!$A$268:$A$276,0))*BB16*BD16+INDEX('Scoring Method'!$B$280:$B$288,MATCH(AP16,'Scoring Method'!$A$280:$A$288,0))*BM16*BB16*BD16+INDEX('Scoring Method'!$B$292:$B$296,MATCH(AQ16,'Scoring Method'!$A$292:$A$296,0))*BD16+INDEX('Scoring Method'!$B$300:$B$305,MATCH(AO16,'Scoring Method'!$A$300:$A$305,0))*BM16*BB16+INDEX('Scoring Method'!$B$309:$B$314,MATCH(AX16,'Scoring Method'!$A$309:$A$314,0))+INDEX('Scoring Method'!$B$337:$B$341,MATCH(X16,'Scoring Method'!$A$337:$A$341,0))+INDEX('Scoring Method'!$B$324:$B$326,MATCH(P16,'Scoring Method'!$A$324:$A$326,0)),1)</f>
        <v/>
      </c>
      <c r="BG16" s="92" t="inlineStr">
        <is>
          <t>Fits (~$880/mo)</t>
        </is>
      </c>
      <c r="BH16" s="61" t="inlineStr">
        <is>
          <t>AUC</t>
        </is>
      </c>
      <c r="BI16" s="61" t="inlineStr">
        <is>
          <t>Auto-Urban Commercial</t>
        </is>
      </c>
      <c r="BJ16" s="61" t="inlineStr"/>
      <c r="BK16" s="61" t="inlineStr"/>
      <c r="BL16" s="61" t="inlineStr">
        <is>
          <t>Bar permitted</t>
        </is>
      </c>
      <c r="BM16" s="61">
        <f>INDEX('Scoring Method'!$B$358:$B$363,MATCH(BL16,'Scoring Method'!$A$358:$A$363,0))</f>
        <v/>
      </c>
    </row>
    <row r="17" ht="15" customHeight="1" s="62">
      <c r="A17" s="92" t="n">
        <v>16</v>
      </c>
      <c r="B17" s="92" t="inlineStr">
        <is>
          <t>054-23-12-002.00</t>
        </is>
      </c>
      <c r="C17" s="92" t="inlineStr">
        <is>
          <t>501 GREENUP ST</t>
        </is>
      </c>
      <c r="D17" s="92" t="inlineStr">
        <is>
          <t>PFLP LLC</t>
        </is>
      </c>
      <c r="E17" s="92" t="inlineStr">
        <is>
          <t>7450 INDUSTRIAL RD</t>
        </is>
      </c>
      <c r="F17" s="92" t="inlineStr">
        <is>
          <t>FLORENCE</t>
        </is>
      </c>
      <c r="G17" s="92" t="inlineStr">
        <is>
          <t>KY</t>
        </is>
      </c>
      <c r="H17" s="92" t="inlineStr">
        <is>
          <t>ORGANIZATIONAL MEETING HALL</t>
        </is>
      </c>
      <c r="I17" s="93" t="n">
        <v>22420</v>
      </c>
      <c r="J17" s="94">
        <f>I17/43560</f>
        <v/>
      </c>
      <c r="K17" s="93" t="n">
        <v>616</v>
      </c>
      <c r="L17" s="95">
        <f>I17/(K17^2)</f>
        <v/>
      </c>
      <c r="M17" s="92" t="inlineStr">
        <is>
          <t>Ideal 18-32k</t>
        </is>
      </c>
      <c r="N17" s="92" t="inlineStr">
        <is>
          <t>B</t>
        </is>
      </c>
      <c r="O17" s="92" t="inlineStr">
        <is>
          <t>Compact &gt;=.055</t>
        </is>
      </c>
      <c r="P17" s="92" t="inlineStr">
        <is>
          <t>Low</t>
        </is>
      </c>
      <c r="Q17" s="92" t="inlineStr">
        <is>
          <t>Out-of-city KY</t>
        </is>
      </c>
      <c r="R17" s="92" t="inlineStr">
        <is>
          <t>Operating entity</t>
        </is>
      </c>
      <c r="S17" s="92" t="n">
        <v>3</v>
      </c>
      <c r="T17" s="96">
        <f>INDEX('Scoring Method'!$B$6:$B$9,MATCH(M17,'Scoring Method'!$A$6:$A$9,0))+INDEX('Scoring Method'!$B$12:$B$16,MATCH(N17,'Scoring Method'!$A$12:$A$16,0))+INDEX('Scoring Method'!$B$19:$B$22,MATCH(O17,'Scoring Method'!$A$19:$A$22,0))+INDEX('Scoring Method'!$B$25:$B$27,MATCH(P17,'Scoring Method'!$A$25:$A$27,0))</f>
        <v/>
      </c>
      <c r="U17" s="96">
        <f>(INDEX('Scoring Method'!$B$30:$B$33,MATCH(Q17,'Scoring Method'!$A$30:$A$33,0))+INDEX('Scoring Method'!$B$36:$B$42,MATCH(R17,'Scoring Method'!$A$36:$A$42,0))+INDEX('Scoring Method'!$B$45:$B$47,MATCH(IF(S17=1,"1",IF(S17=2,"2","3+")),'Scoring Method'!$A$45:$A$47,0)))/90*100</f>
        <v/>
      </c>
      <c r="V17" s="96">
        <f>T17*U17/100</f>
        <v/>
      </c>
      <c r="W17" s="93" t="n"/>
      <c r="X17" s="92" t="inlineStr">
        <is>
          <t>X (minimal hazard)</t>
        </is>
      </c>
      <c r="Y17" s="93" t="n">
        <v>6300</v>
      </c>
      <c r="Z17" s="97" t="n"/>
      <c r="AA17" s="98" t="n"/>
      <c r="AB17" s="92" t="n"/>
      <c r="AC17" s="92" t="n">
        <v>0.52</v>
      </c>
      <c r="AD17" s="92" t="inlineStr">
        <is>
          <t>ok</t>
        </is>
      </c>
      <c r="AE17" s="92" t="inlineStr">
        <is>
          <t>No building</t>
        </is>
      </c>
      <c r="AF17" s="96">
        <f>INDEX('Scoring Method'!$B$63:$B$71,MATCH(AE17,'Scoring Method'!$A$63:$A$71,0))+INDEX('Scoring Method'!$B$75:$B$79,MATCH("Adequate 5-8k",'Scoring Method'!$A$75:$A$79,0))+INDEX('Scoring Method'!$B$343:$B$347,MATCH(X17,'Scoring Method'!$A$343:$A$347,0))+INDEX('Scoring Method'!$B$25:$B$27,MATCH(P17,'Scoring Method'!$A$25:$A$27,0))</f>
        <v/>
      </c>
      <c r="AG17" s="96">
        <f>AF17*U17/100</f>
        <v/>
      </c>
      <c r="AH17" s="92" t="inlineStr">
        <is>
          <t>LINK-GIS + LoopNet</t>
        </is>
      </c>
      <c r="AI17" s="99" t="n">
        <v>39.08606</v>
      </c>
      <c r="AJ17" s="99" t="n">
        <v>-84.50798</v>
      </c>
      <c r="AK17" s="94" t="n">
        <v>0.54</v>
      </c>
      <c r="AL17" s="94" t="n">
        <v>0.33</v>
      </c>
      <c r="AM17" s="94" t="n">
        <v>1.09</v>
      </c>
      <c r="AN17" s="94" t="n">
        <v>0.22</v>
      </c>
      <c r="AO17" s="92" t="inlineStr">
        <is>
          <t>Core &lt;=0.35mi</t>
        </is>
      </c>
      <c r="AP17" s="92" t="inlineStr">
        <is>
          <t>Assembly hall</t>
        </is>
      </c>
      <c r="AQ17" s="92" t="inlineStr">
        <is>
          <t>Adequate 5-8k</t>
        </is>
      </c>
      <c r="AR17" s="100" t="n"/>
      <c r="AS17" s="96">
        <f>ROUND(INDEX('Scoring Method'!$B$63:$B$70,MATCH(AE17,'Scoring Method'!$A$63:$A$70,0))*0.625+INDEX('Scoring Method'!$B$105:$B$113,MATCH(AP17,'Scoring Method'!$A$105:$A$113,0))+INDEX('Scoring Method'!$B$74:$B$78,MATCH(AQ17,'Scoring Method'!$A$74:$A$78,0))*0.6667+INDEX('Scoring Method'!$B$96:$B$101,MATCH(AO17,'Scoring Method'!$A$96:$A$101,0))+INDEX('Scoring Method'!$B$343:$B$347,MATCH(X17,'Scoring Method'!$A$343:$A$347,0))*0.3333+INDEX('Scoring Method'!$B$25:$B$27,MATCH(P17,'Scoring Method'!$A$25:$A$27,0))*0.3333,1)</f>
        <v/>
      </c>
      <c r="AT17" s="96">
        <f>AS17*U17/100</f>
        <v/>
      </c>
      <c r="AU17" s="92" t="inlineStr">
        <is>
          <t>Central Business District</t>
        </is>
      </c>
      <c r="AV17" s="92" t="n">
        <v>48</v>
      </c>
      <c r="AW17" s="101" t="inlineStr">
        <is>
          <t>ESTIMATED</t>
        </is>
      </c>
      <c r="AX17" s="92" t="inlineStr">
        <is>
          <t>Mixed 45-59</t>
        </is>
      </c>
      <c r="AY17" s="96">
        <f>ROUND(INDEX('Scoring Method'!$B$132:$B$140,MATCH(AE17,'Scoring Method'!$A$132:$A$140,0))+INDEX('Scoring Method'!$B$144:$B$152,MATCH(AP17,'Scoring Method'!$A$144:$A$152,0))+INDEX('Scoring Method'!$B$156:$B$160,MATCH(AQ17,'Scoring Method'!$A$156:$A$160,0))+INDEX('Scoring Method'!$B$164:$B$169,MATCH(AO17,'Scoring Method'!$A$164:$A$169,0))+INDEX('Scoring Method'!$B$173:$B$178,MATCH(AX17,'Scoring Method'!$A$173:$A$178,0))+INDEX('Scoring Method'!$B$349:$B$353,MATCH(X17,'Scoring Method'!$A$349:$A$353,0))+INDEX('Scoring Method'!$B$188:$B$190,MATCH(P17,'Scoring Method'!$A$188:$A$190,0)),1)</f>
        <v/>
      </c>
      <c r="AZ17" s="96">
        <f>AY17*U17/100</f>
        <v/>
      </c>
      <c r="BA17" s="92" t="inlineStr">
        <is>
          <t>No chain signal</t>
        </is>
      </c>
      <c r="BB17" s="94" t="n">
        <v>1</v>
      </c>
      <c r="BC17" s="92" t="inlineStr">
        <is>
          <t>Right-sized 0.35-0.75 AC</t>
        </is>
      </c>
      <c r="BD17" s="94" t="n">
        <v>1</v>
      </c>
      <c r="BE17" s="96">
        <f>ROUND(INDEX('Scoring Method'!$B$268:$B$276,MATCH(AE17,'Scoring Method'!$A$268:$A$276,0))+INDEX('Scoring Method'!$B$280:$B$288,MATCH(AP17,'Scoring Method'!$A$280:$A$288,0))+INDEX('Scoring Method'!$B$292:$B$296,MATCH(AQ17,'Scoring Method'!$A$292:$A$296,0))+INDEX('Scoring Method'!$B$300:$B$305,MATCH(AO17,'Scoring Method'!$A$300:$A$305,0))+INDEX('Scoring Method'!$B$309:$B$314,MATCH(AX17,'Scoring Method'!$A$309:$A$314,0))+INDEX('Scoring Method'!$B$337:$B$341,MATCH(X17,'Scoring Method'!$A$337:$A$341,0))+INDEX('Scoring Method'!$B$324:$B$326,MATCH(P17,'Scoring Method'!$A$324:$A$326,0)),1)</f>
        <v/>
      </c>
      <c r="BF17" s="96">
        <f>ROUND(INDEX('Scoring Method'!$B$268:$B$276,MATCH(AE17,'Scoring Method'!$A$268:$A$276,0))*BB17*BD17+INDEX('Scoring Method'!$B$280:$B$288,MATCH(AP17,'Scoring Method'!$A$280:$A$288,0))*BM17*BB17*BD17+INDEX('Scoring Method'!$B$292:$B$296,MATCH(AQ17,'Scoring Method'!$A$292:$A$296,0))*BD17+INDEX('Scoring Method'!$B$300:$B$305,MATCH(AO17,'Scoring Method'!$A$300:$A$305,0))*BM17*BB17+INDEX('Scoring Method'!$B$309:$B$314,MATCH(AX17,'Scoring Method'!$A$309:$A$314,0))+INDEX('Scoring Method'!$B$337:$B$341,MATCH(X17,'Scoring Method'!$A$337:$A$341,0))+INDEX('Scoring Method'!$B$324:$B$326,MATCH(P17,'Scoring Method'!$A$324:$A$326,0)),1)</f>
        <v/>
      </c>
      <c r="BG17" s="92" t="n"/>
      <c r="BH17" s="61" t="inlineStr">
        <is>
          <t>TUR (HP)</t>
        </is>
      </c>
      <c r="BI17" s="61" t="inlineStr">
        <is>
          <t>Traditional Urban Residential</t>
        </is>
      </c>
      <c r="BJ17" s="61" t="inlineStr">
        <is>
          <t>HP</t>
        </is>
      </c>
      <c r="BK17" s="61" t="inlineStr"/>
      <c r="BL17" s="61" t="inlineStr">
        <is>
          <t>Bar prohibited, alt-path</t>
        </is>
      </c>
      <c r="BM17" s="61">
        <f>INDEX('Scoring Method'!$B$358:$B$363,MATCH(BL17,'Scoring Method'!$A$358:$A$363,0))</f>
        <v/>
      </c>
    </row>
    <row r="18" ht="15" customHeight="1" s="62">
      <c r="A18" s="92" t="n">
        <v>17</v>
      </c>
      <c r="B18" s="92" t="inlineStr">
        <is>
          <t>055-23-13-013.00</t>
        </is>
      </c>
      <c r="C18" s="92" t="inlineStr">
        <is>
          <t>2547 MADISON AVE</t>
        </is>
      </c>
      <c r="D18" s="92" t="inlineStr">
        <is>
          <t>WALKER AMY &amp; JAMES</t>
        </is>
      </c>
      <c r="E18" s="92" t="inlineStr">
        <is>
          <t>13504 MADISON PK</t>
        </is>
      </c>
      <c r="F18" s="92" t="inlineStr">
        <is>
          <t>MORNING VIEW</t>
        </is>
      </c>
      <c r="G18" s="92" t="inlineStr">
        <is>
          <t>KY</t>
        </is>
      </c>
      <c r="H18" s="92" t="inlineStr">
        <is>
          <t>DAY CARE CENTER</t>
        </is>
      </c>
      <c r="I18" s="93" t="n">
        <v>18634</v>
      </c>
      <c r="J18" s="94">
        <f>I18/43560</f>
        <v/>
      </c>
      <c r="K18" s="93" t="n">
        <v>542.9</v>
      </c>
      <c r="L18" s="95">
        <f>I18/(K18^2)</f>
        <v/>
      </c>
      <c r="M18" s="92" t="inlineStr">
        <is>
          <t>Ideal 18-32k</t>
        </is>
      </c>
      <c r="N18" s="92" t="inlineStr">
        <is>
          <t>C</t>
        </is>
      </c>
      <c r="O18" s="92" t="inlineStr">
        <is>
          <t>Compact &gt;=.055</t>
        </is>
      </c>
      <c r="P18" s="92" t="inlineStr">
        <is>
          <t>Low</t>
        </is>
      </c>
      <c r="Q18" s="92" t="inlineStr">
        <is>
          <t>Out-of-city KY</t>
        </is>
      </c>
      <c r="R18" s="92" t="inlineStr">
        <is>
          <t>Individual</t>
        </is>
      </c>
      <c r="S18" s="92" t="n">
        <v>1</v>
      </c>
      <c r="T18" s="96">
        <f>INDEX('Scoring Method'!$B$6:$B$9,MATCH(M18,'Scoring Method'!$A$6:$A$9,0))+INDEX('Scoring Method'!$B$12:$B$16,MATCH(N18,'Scoring Method'!$A$12:$A$16,0))+INDEX('Scoring Method'!$B$19:$B$22,MATCH(O18,'Scoring Method'!$A$19:$A$22,0))+INDEX('Scoring Method'!$B$25:$B$27,MATCH(P18,'Scoring Method'!$A$25:$A$27,0))</f>
        <v/>
      </c>
      <c r="U18" s="96">
        <f>(INDEX('Scoring Method'!$B$30:$B$33,MATCH(Q18,'Scoring Method'!$A$30:$A$33,0))+INDEX('Scoring Method'!$B$36:$B$42,MATCH(R18,'Scoring Method'!$A$36:$A$42,0))+INDEX('Scoring Method'!$B$45:$B$47,MATCH(IF(S18=1,"1",IF(S18=2,"2","3+")),'Scoring Method'!$A$45:$A$47,0)))/90*100</f>
        <v/>
      </c>
      <c r="V18" s="96">
        <f>T18*U18/100</f>
        <v/>
      </c>
      <c r="W18" s="93" t="n">
        <v>3665</v>
      </c>
      <c r="X18" s="92" t="inlineStr">
        <is>
          <t>X (minimal hazard)</t>
        </is>
      </c>
      <c r="Y18" s="93" t="n">
        <v>12725</v>
      </c>
      <c r="Z18" s="97">
        <f>W18/I18</f>
        <v/>
      </c>
      <c r="AA18" s="98">
        <f>MAX(0,(Y18-5000)/300)</f>
        <v/>
      </c>
      <c r="AB18" s="92" t="n"/>
      <c r="AC18" s="92" t="n">
        <v>0.44</v>
      </c>
      <c r="AD18" s="92" t="inlineStr">
        <is>
          <t>ok</t>
        </is>
      </c>
      <c r="AE18" s="92" t="inlineStr">
        <is>
          <t>Above 2.5-4k</t>
        </is>
      </c>
      <c r="AF18" s="96">
        <f>INDEX('Scoring Method'!$B$63:$B$71,MATCH(AE18,'Scoring Method'!$A$63:$A$71,0))+INDEX('Scoring Method'!$B$75:$B$79,MATCH("Good 8-15k",'Scoring Method'!$A$75:$A$79,0))+INDEX('Scoring Method'!$B$343:$B$347,MATCH(X18,'Scoring Method'!$A$343:$A$347,0))+INDEX('Scoring Method'!$B$25:$B$27,MATCH(P18,'Scoring Method'!$A$25:$A$27,0))</f>
        <v/>
      </c>
      <c r="AG18" s="96">
        <f>AF18*U18/100</f>
        <v/>
      </c>
      <c r="AH18" s="92" t="inlineStr">
        <is>
          <t>LINK-GIS + LoopNet</t>
        </is>
      </c>
      <c r="AI18" s="99" t="n">
        <v>39.05939</v>
      </c>
      <c r="AJ18" s="99" t="n">
        <v>-84.50286</v>
      </c>
      <c r="AK18" s="94" t="n">
        <v>1.91</v>
      </c>
      <c r="AL18" s="94" t="n">
        <v>2.19</v>
      </c>
      <c r="AM18" s="94" t="n">
        <v>2.95</v>
      </c>
      <c r="AN18" s="94" t="n">
        <v>1.75</v>
      </c>
      <c r="AO18" s="92" t="inlineStr">
        <is>
          <t>Outer 1.25-2mi</t>
        </is>
      </c>
      <c r="AP18" s="92" t="inlineStr">
        <is>
          <t>Cellular</t>
        </is>
      </c>
      <c r="AQ18" s="92" t="inlineStr">
        <is>
          <t>Good 8-15k</t>
        </is>
      </c>
      <c r="AR18" s="100" t="n"/>
      <c r="AS18" s="96">
        <f>ROUND(INDEX('Scoring Method'!$B$63:$B$70,MATCH(AE18,'Scoring Method'!$A$63:$A$70,0))*0.625+INDEX('Scoring Method'!$B$105:$B$113,MATCH(AP18,'Scoring Method'!$A$105:$A$113,0))+INDEX('Scoring Method'!$B$74:$B$78,MATCH(AQ18,'Scoring Method'!$A$74:$A$78,0))*0.6667+INDEX('Scoring Method'!$B$96:$B$101,MATCH(AO18,'Scoring Method'!$A$96:$A$101,0))+INDEX('Scoring Method'!$B$343:$B$347,MATCH(X18,'Scoring Method'!$A$343:$A$347,0))*0.3333+INDEX('Scoring Method'!$B$25:$B$27,MATCH(P18,'Scoring Method'!$A$25:$A$27,0))*0.3333,1)</f>
        <v/>
      </c>
      <c r="AT18" s="96">
        <f>AS18*U18/100</f>
        <v/>
      </c>
      <c r="AU18" s="92" t="inlineStr">
        <is>
          <t>Levassor Park</t>
        </is>
      </c>
      <c r="AV18" s="92" t="n">
        <v>42</v>
      </c>
      <c r="AW18" s="101" t="inlineStr">
        <is>
          <t>ESTIMATED</t>
        </is>
      </c>
      <c r="AX18" s="92" t="inlineStr">
        <is>
          <t>Elevated 35-44</t>
        </is>
      </c>
      <c r="AY18" s="96">
        <f>ROUND(INDEX('Scoring Method'!$B$132:$B$140,MATCH(AE18,'Scoring Method'!$A$132:$A$140,0))+INDEX('Scoring Method'!$B$144:$B$152,MATCH(AP18,'Scoring Method'!$A$144:$A$152,0))+INDEX('Scoring Method'!$B$156:$B$160,MATCH(AQ18,'Scoring Method'!$A$156:$A$160,0))+INDEX('Scoring Method'!$B$164:$B$169,MATCH(AO18,'Scoring Method'!$A$164:$A$169,0))+INDEX('Scoring Method'!$B$173:$B$178,MATCH(AX18,'Scoring Method'!$A$173:$A$178,0))+INDEX('Scoring Method'!$B$349:$B$353,MATCH(X18,'Scoring Method'!$A$349:$A$353,0))+INDEX('Scoring Method'!$B$188:$B$190,MATCH(P18,'Scoring Method'!$A$188:$A$190,0)),1)</f>
        <v/>
      </c>
      <c r="AZ18" s="96">
        <f>AY18*U18/100</f>
        <v/>
      </c>
      <c r="BA18" s="92" t="inlineStr">
        <is>
          <t>No chain signal</t>
        </is>
      </c>
      <c r="BB18" s="94" t="n">
        <v>1</v>
      </c>
      <c r="BC18" s="92" t="inlineStr">
        <is>
          <t>Right-sized 0.35-0.75 AC</t>
        </is>
      </c>
      <c r="BD18" s="94" t="n">
        <v>1</v>
      </c>
      <c r="BE18" s="96">
        <f>ROUND(INDEX('Scoring Method'!$B$268:$B$276,MATCH(AE18,'Scoring Method'!$A$268:$A$276,0))+INDEX('Scoring Method'!$B$280:$B$288,MATCH(AP18,'Scoring Method'!$A$280:$A$288,0))+INDEX('Scoring Method'!$B$292:$B$296,MATCH(AQ18,'Scoring Method'!$A$292:$A$296,0))+INDEX('Scoring Method'!$B$300:$B$305,MATCH(AO18,'Scoring Method'!$A$300:$A$305,0))+INDEX('Scoring Method'!$B$309:$B$314,MATCH(AX18,'Scoring Method'!$A$309:$A$314,0))+INDEX('Scoring Method'!$B$337:$B$341,MATCH(X18,'Scoring Method'!$A$337:$A$341,0))+INDEX('Scoring Method'!$B$324:$B$326,MATCH(P18,'Scoring Method'!$A$324:$A$326,0)),1)</f>
        <v/>
      </c>
      <c r="BF18" s="96">
        <f>ROUND(INDEX('Scoring Method'!$B$268:$B$276,MATCH(AE18,'Scoring Method'!$A$268:$A$276,0))*BB18*BD18+INDEX('Scoring Method'!$B$280:$B$288,MATCH(AP18,'Scoring Method'!$A$280:$A$288,0))*BM18*BB18*BD18+INDEX('Scoring Method'!$B$292:$B$296,MATCH(AQ18,'Scoring Method'!$A$292:$A$296,0))*BD18+INDEX('Scoring Method'!$B$300:$B$305,MATCH(AO18,'Scoring Method'!$A$300:$A$305,0))*BM18*BB18+INDEX('Scoring Method'!$B$309:$B$314,MATCH(AX18,'Scoring Method'!$A$309:$A$314,0))+INDEX('Scoring Method'!$B$337:$B$341,MATCH(X18,'Scoring Method'!$A$337:$A$341,0))+INDEX('Scoring Method'!$B$324:$B$326,MATCH(P18,'Scoring Method'!$A$324:$A$326,0)),1)</f>
        <v/>
      </c>
      <c r="BG18" s="92" t="inlineStr">
        <is>
          <t>Fits (~$3,360/mo)</t>
        </is>
      </c>
      <c r="BH18" s="61" t="inlineStr">
        <is>
          <t>AUC</t>
        </is>
      </c>
      <c r="BI18" s="61" t="inlineStr">
        <is>
          <t>Auto-Urban Commercial</t>
        </is>
      </c>
      <c r="BJ18" s="61" t="inlineStr"/>
      <c r="BK18" s="61" t="inlineStr"/>
      <c r="BL18" s="61" t="inlineStr">
        <is>
          <t>Bar permitted</t>
        </is>
      </c>
      <c r="BM18" s="61">
        <f>INDEX('Scoring Method'!$B$358:$B$363,MATCH(BL18,'Scoring Method'!$A$358:$A$363,0))</f>
        <v/>
      </c>
    </row>
    <row r="19" ht="15" customHeight="1" s="62">
      <c r="A19" s="92" t="n">
        <v>18</v>
      </c>
      <c r="B19" s="92" t="inlineStr">
        <is>
          <t>055-14-09-001.01</t>
        </is>
      </c>
      <c r="C19" s="92" t="inlineStr">
        <is>
          <t>1701 MADISON AVE</t>
        </is>
      </c>
      <c r="D19" s="92" t="inlineStr">
        <is>
          <t>ARDESHNA SATISHKUMAR M &amp;</t>
        </is>
      </c>
      <c r="E19" s="92" t="inlineStr">
        <is>
          <t>8708 MACKENZIE DR</t>
        </is>
      </c>
      <c r="F19" s="92" t="inlineStr">
        <is>
          <t>MCKINNEY</t>
        </is>
      </c>
      <c r="G19" s="92" t="inlineStr">
        <is>
          <t>TX</t>
        </is>
      </c>
      <c r="H19" s="92" t="inlineStr">
        <is>
          <t>OTHER RETAIL</t>
        </is>
      </c>
      <c r="I19" s="93" t="n">
        <v>14511</v>
      </c>
      <c r="J19" s="94">
        <f>I19/43560</f>
        <v/>
      </c>
      <c r="K19" s="93" t="n">
        <v>490.3</v>
      </c>
      <c r="L19" s="95">
        <f>I19/(K19^2)</f>
        <v/>
      </c>
      <c r="M19" s="92" t="inlineStr">
        <is>
          <t>Near 14-18k/32-45k</t>
        </is>
      </c>
      <c r="N19" s="92" t="inlineStr">
        <is>
          <t>C</t>
        </is>
      </c>
      <c r="O19" s="92" t="inlineStr">
        <is>
          <t>Compact &gt;=.055</t>
        </is>
      </c>
      <c r="P19" s="92" t="inlineStr">
        <is>
          <t>Low</t>
        </is>
      </c>
      <c r="Q19" s="92" t="inlineStr">
        <is>
          <t>Out-of-state</t>
        </is>
      </c>
      <c r="R19" s="92" t="inlineStr">
        <is>
          <t>Individual</t>
        </is>
      </c>
      <c r="S19" s="92" t="n">
        <v>1</v>
      </c>
      <c r="T19" s="96">
        <f>INDEX('Scoring Method'!$B$6:$B$9,MATCH(M19,'Scoring Method'!$A$6:$A$9,0))+INDEX('Scoring Method'!$B$12:$B$16,MATCH(N19,'Scoring Method'!$A$12:$A$16,0))+INDEX('Scoring Method'!$B$19:$B$22,MATCH(O19,'Scoring Method'!$A$19:$A$22,0))+INDEX('Scoring Method'!$B$25:$B$27,MATCH(P19,'Scoring Method'!$A$25:$A$27,0))</f>
        <v/>
      </c>
      <c r="U19" s="96">
        <f>(INDEX('Scoring Method'!$B$30:$B$33,MATCH(Q19,'Scoring Method'!$A$30:$A$33,0))+INDEX('Scoring Method'!$B$36:$B$42,MATCH(R19,'Scoring Method'!$A$36:$A$42,0))+INDEX('Scoring Method'!$B$45:$B$47,MATCH(IF(S19=1,"1",IF(S19=2,"2","3+")),'Scoring Method'!$A$45:$A$47,0)))/90*100</f>
        <v/>
      </c>
      <c r="V19" s="96">
        <f>T19*U19/100</f>
        <v/>
      </c>
      <c r="W19" s="93" t="n">
        <v>4590</v>
      </c>
      <c r="X19" s="92" t="inlineStr">
        <is>
          <t>X (minimal hazard)</t>
        </is>
      </c>
      <c r="Y19" s="93" t="n">
        <v>8125</v>
      </c>
      <c r="Z19" s="97">
        <f>W19/I19</f>
        <v/>
      </c>
      <c r="AA19" s="98">
        <f>MAX(0,(Y19-5000)/300)</f>
        <v/>
      </c>
      <c r="AB19" s="92" t="n"/>
      <c r="AC19" s="92" t="n">
        <v>0.37</v>
      </c>
      <c r="AD19" s="92" t="inlineStr">
        <is>
          <t>ok</t>
        </is>
      </c>
      <c r="AE19" s="92" t="inlineStr">
        <is>
          <t>Large 4-6k</t>
        </is>
      </c>
      <c r="AF19" s="96">
        <f>INDEX('Scoring Method'!$B$63:$B$71,MATCH(AE19,'Scoring Method'!$A$63:$A$71,0))+INDEX('Scoring Method'!$B$75:$B$79,MATCH("Good 8-15k",'Scoring Method'!$A$75:$A$79,0))+INDEX('Scoring Method'!$B$343:$B$347,MATCH(X19,'Scoring Method'!$A$343:$A$347,0))+INDEX('Scoring Method'!$B$25:$B$27,MATCH(P19,'Scoring Method'!$A$25:$A$27,0))</f>
        <v/>
      </c>
      <c r="AG19" s="96">
        <f>AF19*U19/100</f>
        <v/>
      </c>
      <c r="AH19" s="92" t="inlineStr">
        <is>
          <t>LINK-GIS + LoopNet</t>
        </is>
      </c>
      <c r="AI19" s="99" t="n">
        <v>39.07033</v>
      </c>
      <c r="AJ19" s="99" t="n">
        <v>-84.50700999999999</v>
      </c>
      <c r="AK19" s="94" t="n">
        <v>1.13</v>
      </c>
      <c r="AL19" s="94" t="n">
        <v>1.42</v>
      </c>
      <c r="AM19" s="94" t="n">
        <v>2.17</v>
      </c>
      <c r="AN19" s="94" t="n">
        <v>0.97</v>
      </c>
      <c r="AO19" s="92" t="inlineStr">
        <is>
          <t>Fringe 0.75-1.25mi</t>
        </is>
      </c>
      <c r="AP19" s="92" t="inlineStr">
        <is>
          <t>Retail shell</t>
        </is>
      </c>
      <c r="AQ19" s="92" t="inlineStr">
        <is>
          <t>Good 8-15k</t>
        </is>
      </c>
      <c r="AR19" s="100" t="n"/>
      <c r="AS19" s="96">
        <f>ROUND(INDEX('Scoring Method'!$B$63:$B$70,MATCH(AE19,'Scoring Method'!$A$63:$A$70,0))*0.625+INDEX('Scoring Method'!$B$105:$B$113,MATCH(AP19,'Scoring Method'!$A$105:$A$113,0))+INDEX('Scoring Method'!$B$74:$B$78,MATCH(AQ19,'Scoring Method'!$A$74:$A$78,0))*0.6667+INDEX('Scoring Method'!$B$96:$B$101,MATCH(AO19,'Scoring Method'!$A$96:$A$101,0))+INDEX('Scoring Method'!$B$343:$B$347,MATCH(X19,'Scoring Method'!$A$343:$A$347,0))*0.3333+INDEX('Scoring Method'!$B$25:$B$27,MATCH(P19,'Scoring Method'!$A$25:$A$27,0))*0.3333,1)</f>
        <v/>
      </c>
      <c r="AT19" s="96">
        <f>AS19*U19/100</f>
        <v/>
      </c>
      <c r="AU19" s="92" t="inlineStr">
        <is>
          <t>Eastside</t>
        </is>
      </c>
      <c r="AV19" s="92" t="n">
        <v>28</v>
      </c>
      <c r="AW19" s="101" t="inlineStr">
        <is>
          <t>ESTIMATED</t>
        </is>
      </c>
      <c r="AX19" s="92" t="inlineStr">
        <is>
          <t>High &lt;35</t>
        </is>
      </c>
      <c r="AY19" s="96">
        <f>ROUND(INDEX('Scoring Method'!$B$132:$B$140,MATCH(AE19,'Scoring Method'!$A$132:$A$140,0))+INDEX('Scoring Method'!$B$144:$B$152,MATCH(AP19,'Scoring Method'!$A$144:$A$152,0))+INDEX('Scoring Method'!$B$156:$B$160,MATCH(AQ19,'Scoring Method'!$A$156:$A$160,0))+INDEX('Scoring Method'!$B$164:$B$169,MATCH(AO19,'Scoring Method'!$A$164:$A$169,0))+INDEX('Scoring Method'!$B$173:$B$178,MATCH(AX19,'Scoring Method'!$A$173:$A$178,0))+INDEX('Scoring Method'!$B$349:$B$353,MATCH(X19,'Scoring Method'!$A$349:$A$353,0))+INDEX('Scoring Method'!$B$188:$B$190,MATCH(P19,'Scoring Method'!$A$188:$A$190,0)),1)</f>
        <v/>
      </c>
      <c r="AZ19" s="96">
        <f>AY19*U19/100</f>
        <v/>
      </c>
      <c r="BA19" s="92" t="inlineStr">
        <is>
          <t>No chain signal</t>
        </is>
      </c>
      <c r="BB19" s="94" t="n">
        <v>1</v>
      </c>
      <c r="BC19" s="102" t="inlineStr">
        <is>
          <t>Small 0.25-0.35 AC</t>
        </is>
      </c>
      <c r="BD19" s="94" t="n">
        <v>0.9</v>
      </c>
      <c r="BE19" s="96">
        <f>ROUND(INDEX('Scoring Method'!$B$268:$B$276,MATCH(AE19,'Scoring Method'!$A$268:$A$276,0))+INDEX('Scoring Method'!$B$280:$B$288,MATCH(AP19,'Scoring Method'!$A$280:$A$288,0))+INDEX('Scoring Method'!$B$292:$B$296,MATCH(AQ19,'Scoring Method'!$A$292:$A$296,0))+INDEX('Scoring Method'!$B$300:$B$305,MATCH(AO19,'Scoring Method'!$A$300:$A$305,0))+INDEX('Scoring Method'!$B$309:$B$314,MATCH(AX19,'Scoring Method'!$A$309:$A$314,0))+INDEX('Scoring Method'!$B$337:$B$341,MATCH(X19,'Scoring Method'!$A$337:$A$341,0))+INDEX('Scoring Method'!$B$324:$B$326,MATCH(P19,'Scoring Method'!$A$324:$A$326,0)),1)</f>
        <v/>
      </c>
      <c r="BF19" s="96">
        <f>ROUND(INDEX('Scoring Method'!$B$268:$B$276,MATCH(AE19,'Scoring Method'!$A$268:$A$276,0))*BB19*BD19+INDEX('Scoring Method'!$B$280:$B$288,MATCH(AP19,'Scoring Method'!$A$280:$A$288,0))*BM19*BB19*BD19+INDEX('Scoring Method'!$B$292:$B$296,MATCH(AQ19,'Scoring Method'!$A$292:$A$296,0))*BD19+INDEX('Scoring Method'!$B$300:$B$305,MATCH(AO19,'Scoring Method'!$A$300:$A$305,0))*BM19*BB19+INDEX('Scoring Method'!$B$309:$B$314,MATCH(AX19,'Scoring Method'!$A$309:$A$314,0))+INDEX('Scoring Method'!$B$337:$B$341,MATCH(X19,'Scoring Method'!$A$337:$A$341,0))+INDEX('Scoring Method'!$B$324:$B$326,MATCH(P19,'Scoring Method'!$A$324:$A$326,0)),1)</f>
        <v/>
      </c>
      <c r="BG19" s="92" t="inlineStr">
        <is>
          <t>Fits (~$4,208/mo)</t>
        </is>
      </c>
      <c r="BH19" s="61" t="inlineStr">
        <is>
          <t>AUC</t>
        </is>
      </c>
      <c r="BI19" s="61" t="inlineStr">
        <is>
          <t>Auto-Urban Commercial</t>
        </is>
      </c>
      <c r="BJ19" s="61" t="inlineStr"/>
      <c r="BK19" s="61" t="inlineStr"/>
      <c r="BL19" s="61" t="inlineStr">
        <is>
          <t>Bar permitted</t>
        </is>
      </c>
      <c r="BM19" s="61">
        <f>INDEX('Scoring Method'!$B$358:$B$363,MATCH(BL19,'Scoring Method'!$A$358:$A$363,0))</f>
        <v/>
      </c>
    </row>
    <row r="20" ht="15" customHeight="1" s="62">
      <c r="A20" s="92" t="n">
        <v>19</v>
      </c>
      <c r="B20" s="92" t="inlineStr">
        <is>
          <t>055-14-15-026.00</t>
        </is>
      </c>
      <c r="C20" s="92" t="inlineStr">
        <is>
          <t>1722 MADISON AVE</t>
        </is>
      </c>
      <c r="D20" s="92" t="inlineStr">
        <is>
          <t>SHELL MGM COVINGTON LLC</t>
        </is>
      </c>
      <c r="E20" s="92" t="inlineStr">
        <is>
          <t>2582 GRANDIN RD</t>
        </is>
      </c>
      <c r="F20" s="92" t="inlineStr">
        <is>
          <t>CINCINNATI</t>
        </is>
      </c>
      <c r="G20" s="92" t="inlineStr">
        <is>
          <t>OH</t>
        </is>
      </c>
      <c r="H20" s="92" t="inlineStr">
        <is>
          <t>OTHER RETAIL</t>
        </is>
      </c>
      <c r="I20" s="93" t="n">
        <v>24820</v>
      </c>
      <c r="J20" s="94">
        <f>I20/43560</f>
        <v/>
      </c>
      <c r="K20" s="93" t="n">
        <v>648.3</v>
      </c>
      <c r="L20" s="95">
        <f>I20/(K20^2)</f>
        <v/>
      </c>
      <c r="M20" s="92" t="inlineStr">
        <is>
          <t>Ideal 18-32k</t>
        </is>
      </c>
      <c r="N20" s="92" t="inlineStr">
        <is>
          <t>C</t>
        </is>
      </c>
      <c r="O20" s="92" t="inlineStr">
        <is>
          <t>Compact &gt;=.055</t>
        </is>
      </c>
      <c r="P20" s="92" t="inlineStr">
        <is>
          <t>Low</t>
        </is>
      </c>
      <c r="Q20" s="92" t="inlineStr">
        <is>
          <t>Out-of-state</t>
        </is>
      </c>
      <c r="R20" s="92" t="inlineStr">
        <is>
          <t>Operating entity</t>
        </is>
      </c>
      <c r="S20" s="92" t="n">
        <v>2</v>
      </c>
      <c r="T20" s="96">
        <f>INDEX('Scoring Method'!$B$6:$B$9,MATCH(M20,'Scoring Method'!$A$6:$A$9,0))+INDEX('Scoring Method'!$B$12:$B$16,MATCH(N20,'Scoring Method'!$A$12:$A$16,0))+INDEX('Scoring Method'!$B$19:$B$22,MATCH(O20,'Scoring Method'!$A$19:$A$22,0))+INDEX('Scoring Method'!$B$25:$B$27,MATCH(P20,'Scoring Method'!$A$25:$A$27,0))</f>
        <v/>
      </c>
      <c r="U20" s="96">
        <f>(INDEX('Scoring Method'!$B$30:$B$33,MATCH(Q20,'Scoring Method'!$A$30:$A$33,0))+INDEX('Scoring Method'!$B$36:$B$42,MATCH(R20,'Scoring Method'!$A$36:$A$42,0))+INDEX('Scoring Method'!$B$45:$B$47,MATCH(IF(S20=1,"1",IF(S20=2,"2","3+")),'Scoring Method'!$A$45:$A$47,0)))/90*100</f>
        <v/>
      </c>
      <c r="V20" s="96">
        <f>T20*U20/100</f>
        <v/>
      </c>
      <c r="W20" s="93" t="n">
        <v>15000</v>
      </c>
      <c r="X20" s="92" t="inlineStr">
        <is>
          <t>X (minimal hazard)</t>
        </is>
      </c>
      <c r="Y20" s="93" t="n">
        <v>8875</v>
      </c>
      <c r="Z20" s="97">
        <f>W20/I20</f>
        <v/>
      </c>
      <c r="AA20" s="98">
        <f>MAX(0,(Y20-5000)/300)</f>
        <v/>
      </c>
      <c r="AB20" s="92" t="n"/>
      <c r="AC20" s="92" t="n">
        <v>0.57</v>
      </c>
      <c r="AD20" s="92" t="inlineStr">
        <is>
          <t>ok</t>
        </is>
      </c>
      <c r="AE20" s="92" t="inlineStr">
        <is>
          <t>Far oversize &gt;12k</t>
        </is>
      </c>
      <c r="AF20" s="96">
        <f>INDEX('Scoring Method'!$B$63:$B$71,MATCH(AE20,'Scoring Method'!$A$63:$A$71,0))+INDEX('Scoring Method'!$B$75:$B$79,MATCH("Good 8-15k",'Scoring Method'!$A$75:$A$79,0))+INDEX('Scoring Method'!$B$343:$B$347,MATCH(X20,'Scoring Method'!$A$343:$A$347,0))+INDEX('Scoring Method'!$B$25:$B$27,MATCH(P20,'Scoring Method'!$A$25:$A$27,0))</f>
        <v/>
      </c>
      <c r="AG20" s="96">
        <f>AF20*U20/100</f>
        <v/>
      </c>
      <c r="AH20" s="92" t="inlineStr">
        <is>
          <t>LINK-GIS + LoopNet</t>
        </is>
      </c>
      <c r="AI20" s="99" t="n">
        <v>39.06995</v>
      </c>
      <c r="AJ20" s="99" t="n">
        <v>-84.50623</v>
      </c>
      <c r="AK20" s="94" t="n">
        <v>1.18</v>
      </c>
      <c r="AL20" s="94" t="n">
        <v>1.45</v>
      </c>
      <c r="AM20" s="94" t="n">
        <v>2.2</v>
      </c>
      <c r="AN20" s="94" t="n">
        <v>1</v>
      </c>
      <c r="AO20" s="92" t="inlineStr">
        <is>
          <t>Fringe 0.75-1.25mi</t>
        </is>
      </c>
      <c r="AP20" s="92" t="inlineStr">
        <is>
          <t>Retail shell</t>
        </is>
      </c>
      <c r="AQ20" s="92" t="inlineStr">
        <is>
          <t>Good 8-15k</t>
        </is>
      </c>
      <c r="AR20" s="100" t="n"/>
      <c r="AS20" s="96">
        <f>ROUND(INDEX('Scoring Method'!$B$63:$B$70,MATCH(AE20,'Scoring Method'!$A$63:$A$70,0))*0.625+INDEX('Scoring Method'!$B$105:$B$113,MATCH(AP20,'Scoring Method'!$A$105:$A$113,0))+INDEX('Scoring Method'!$B$74:$B$78,MATCH(AQ20,'Scoring Method'!$A$74:$A$78,0))*0.6667+INDEX('Scoring Method'!$B$96:$B$101,MATCH(AO20,'Scoring Method'!$A$96:$A$101,0))+INDEX('Scoring Method'!$B$343:$B$347,MATCH(X20,'Scoring Method'!$A$343:$A$347,0))*0.3333+INDEX('Scoring Method'!$B$25:$B$27,MATCH(P20,'Scoring Method'!$A$25:$A$27,0))*0.3333,1)</f>
        <v/>
      </c>
      <c r="AT20" s="96">
        <f>AS20*U20/100</f>
        <v/>
      </c>
      <c r="AU20" s="92" t="inlineStr">
        <is>
          <t>Levassor Park</t>
        </is>
      </c>
      <c r="AV20" s="92" t="n">
        <v>42</v>
      </c>
      <c r="AW20" s="101" t="inlineStr">
        <is>
          <t>ESTIMATED</t>
        </is>
      </c>
      <c r="AX20" s="92" t="inlineStr">
        <is>
          <t>Elevated 35-44</t>
        </is>
      </c>
      <c r="AY20" s="96">
        <f>ROUND(INDEX('Scoring Method'!$B$132:$B$140,MATCH(AE20,'Scoring Method'!$A$132:$A$140,0))+INDEX('Scoring Method'!$B$144:$B$152,MATCH(AP20,'Scoring Method'!$A$144:$A$152,0))+INDEX('Scoring Method'!$B$156:$B$160,MATCH(AQ20,'Scoring Method'!$A$156:$A$160,0))+INDEX('Scoring Method'!$B$164:$B$169,MATCH(AO20,'Scoring Method'!$A$164:$A$169,0))+INDEX('Scoring Method'!$B$173:$B$178,MATCH(AX20,'Scoring Method'!$A$173:$A$178,0))+INDEX('Scoring Method'!$B$349:$B$353,MATCH(X20,'Scoring Method'!$A$349:$A$353,0))+INDEX('Scoring Method'!$B$188:$B$190,MATCH(P20,'Scoring Method'!$A$188:$A$190,0)),1)</f>
        <v/>
      </c>
      <c r="AZ20" s="96">
        <f>AY20*U20/100</f>
        <v/>
      </c>
      <c r="BA20" s="92" t="inlineStr">
        <is>
          <t>No chain signal</t>
        </is>
      </c>
      <c r="BB20" s="94" t="n">
        <v>1</v>
      </c>
      <c r="BC20" s="92" t="inlineStr">
        <is>
          <t>Right-sized 0.35-0.75 AC</t>
        </is>
      </c>
      <c r="BD20" s="94" t="n">
        <v>1</v>
      </c>
      <c r="BE20" s="96">
        <f>ROUND(INDEX('Scoring Method'!$B$268:$B$276,MATCH(AE20,'Scoring Method'!$A$268:$A$276,0))+INDEX('Scoring Method'!$B$280:$B$288,MATCH(AP20,'Scoring Method'!$A$280:$A$288,0))+INDEX('Scoring Method'!$B$292:$B$296,MATCH(AQ20,'Scoring Method'!$A$292:$A$296,0))+INDEX('Scoring Method'!$B$300:$B$305,MATCH(AO20,'Scoring Method'!$A$300:$A$305,0))+INDEX('Scoring Method'!$B$309:$B$314,MATCH(AX20,'Scoring Method'!$A$309:$A$314,0))+INDEX('Scoring Method'!$B$337:$B$341,MATCH(X20,'Scoring Method'!$A$337:$A$341,0))+INDEX('Scoring Method'!$B$324:$B$326,MATCH(P20,'Scoring Method'!$A$324:$A$326,0)),1)</f>
        <v/>
      </c>
      <c r="BF20" s="96">
        <f>ROUND(INDEX('Scoring Method'!$B$268:$B$276,MATCH(AE20,'Scoring Method'!$A$268:$A$276,0))*BB20*BD20+INDEX('Scoring Method'!$B$280:$B$288,MATCH(AP20,'Scoring Method'!$A$280:$A$288,0))*BM20*BB20*BD20+INDEX('Scoring Method'!$B$292:$B$296,MATCH(AQ20,'Scoring Method'!$A$292:$A$296,0))*BD20+INDEX('Scoring Method'!$B$300:$B$305,MATCH(AO20,'Scoring Method'!$A$300:$A$305,0))*BM20*BB20+INDEX('Scoring Method'!$B$309:$B$314,MATCH(AX20,'Scoring Method'!$A$309:$A$314,0))+INDEX('Scoring Method'!$B$337:$B$341,MATCH(X20,'Scoring Method'!$A$337:$A$341,0))+INDEX('Scoring Method'!$B$324:$B$326,MATCH(P20,'Scoring Method'!$A$324:$A$326,0)),1)</f>
        <v/>
      </c>
      <c r="BG20" s="102" t="inlineStr">
        <is>
          <t>Over (~$13,750/mo)</t>
        </is>
      </c>
      <c r="BH20" s="61" t="inlineStr">
        <is>
          <t>SU</t>
        </is>
      </c>
      <c r="BI20" s="61" t="inlineStr">
        <is>
          <t>Semi-Urban Residential</t>
        </is>
      </c>
      <c r="BJ20" s="61" t="inlineStr"/>
      <c r="BK20" s="61" t="inlineStr"/>
      <c r="BL20" s="61" t="inlineStr">
        <is>
          <t>SU corner unverified</t>
        </is>
      </c>
      <c r="BM20" s="61">
        <f>INDEX('Scoring Method'!$B$358:$B$363,MATCH(BL20,'Scoring Method'!$A$358:$A$363,0))</f>
        <v/>
      </c>
    </row>
    <row r="21" ht="15" customHeight="1" s="62">
      <c r="A21" s="92" t="n">
        <v>20</v>
      </c>
      <c r="B21" s="92" t="inlineStr">
        <is>
          <t>056-13-18-001.00</t>
        </is>
      </c>
      <c r="C21" s="92" t="inlineStr">
        <is>
          <t>3503 DECOURSEY AVE</t>
        </is>
      </c>
      <c r="D21" s="92" t="inlineStr">
        <is>
          <t>FIRST FEDERAL SVGS &amp; LOAN ASSN</t>
        </is>
      </c>
      <c r="E21" s="92" t="inlineStr">
        <is>
          <t>PO BOX 182390</t>
        </is>
      </c>
      <c r="F21" s="92" t="inlineStr">
        <is>
          <t>COLUMBUS</t>
        </is>
      </c>
      <c r="G21" s="92" t="inlineStr">
        <is>
          <t>OH</t>
        </is>
      </c>
      <c r="H21" s="92" t="inlineStr">
        <is>
          <t>FULL SERVICE BANK</t>
        </is>
      </c>
      <c r="I21" s="93" t="n">
        <v>26433</v>
      </c>
      <c r="J21" s="94">
        <f>I21/43560</f>
        <v/>
      </c>
      <c r="K21" s="93" t="n">
        <v>686</v>
      </c>
      <c r="L21" s="95">
        <f>I21/(K21^2)</f>
        <v/>
      </c>
      <c r="M21" s="92" t="inlineStr">
        <is>
          <t>Ideal 18-32k</t>
        </is>
      </c>
      <c r="N21" s="92" t="inlineStr">
        <is>
          <t>E</t>
        </is>
      </c>
      <c r="O21" s="92" t="inlineStr">
        <is>
          <t>Compact &gt;=.055</t>
        </is>
      </c>
      <c r="P21" s="92" t="inlineStr">
        <is>
          <t>Low</t>
        </is>
      </c>
      <c r="Q21" s="92" t="inlineStr">
        <is>
          <t>Out-of-state</t>
        </is>
      </c>
      <c r="R21" s="92" t="inlineStr">
        <is>
          <t>Individual</t>
        </is>
      </c>
      <c r="S21" s="92" t="n">
        <v>1</v>
      </c>
      <c r="T21" s="96">
        <f>INDEX('Scoring Method'!$B$6:$B$9,MATCH(M21,'Scoring Method'!$A$6:$A$9,0))+INDEX('Scoring Method'!$B$12:$B$16,MATCH(N21,'Scoring Method'!$A$12:$A$16,0))+INDEX('Scoring Method'!$B$19:$B$22,MATCH(O21,'Scoring Method'!$A$19:$A$22,0))+INDEX('Scoring Method'!$B$25:$B$27,MATCH(P21,'Scoring Method'!$A$25:$A$27,0))</f>
        <v/>
      </c>
      <c r="U21" s="96">
        <f>(INDEX('Scoring Method'!$B$30:$B$33,MATCH(Q21,'Scoring Method'!$A$30:$A$33,0))+INDEX('Scoring Method'!$B$36:$B$42,MATCH(R21,'Scoring Method'!$A$36:$A$42,0))+INDEX('Scoring Method'!$B$45:$B$47,MATCH(IF(S21=1,"1",IF(S21=2,"2","3+")),'Scoring Method'!$A$45:$A$47,0)))/90*100</f>
        <v/>
      </c>
      <c r="V21" s="96">
        <f>T21*U21/100</f>
        <v/>
      </c>
      <c r="W21" s="93" t="n">
        <v>4358</v>
      </c>
      <c r="X21" s="92" t="inlineStr">
        <is>
          <t>X (minimal hazard)</t>
        </is>
      </c>
      <c r="Y21" s="93" t="n">
        <v>21250</v>
      </c>
      <c r="Z21" s="97" t="n"/>
      <c r="AA21" s="98">
        <f>MAX(0,(Y21-5000)/300)</f>
        <v/>
      </c>
      <c r="AB21" s="92" t="n"/>
      <c r="AC21" s="92" t="n"/>
      <c r="AD21" s="92" t="n"/>
      <c r="AE21" s="92" t="inlineStr">
        <is>
          <t>Large 4-6k</t>
        </is>
      </c>
      <c r="AF21" s="96">
        <f>INDEX('Scoring Method'!$B$63:$B$71,MATCH(AE21,'Scoring Method'!$A$63:$A$71,0))+INDEX('Scoring Method'!$B$75:$B$79,MATCH("Ample &gt;=15k",'Scoring Method'!$A$75:$A$79,0))+INDEX('Scoring Method'!$B$343:$B$347,MATCH(X21,'Scoring Method'!$A$343:$A$347,0))+INDEX('Scoring Method'!$B$25:$B$27,MATCH(P21,'Scoring Method'!$A$25:$A$27,0))</f>
        <v/>
      </c>
      <c r="AG21" s="96">
        <f>AF21*U21/100</f>
        <v/>
      </c>
      <c r="AH21" s="92" t="inlineStr">
        <is>
          <t>LINK-GIS only</t>
        </is>
      </c>
      <c r="AI21" s="99" t="n">
        <v>39.04912</v>
      </c>
      <c r="AJ21" s="99" t="n">
        <v>-84.50354</v>
      </c>
      <c r="AK21" s="94" t="n">
        <v>2.56</v>
      </c>
      <c r="AL21" s="94" t="n">
        <v>2.89</v>
      </c>
      <c r="AM21" s="94" t="n">
        <v>3.65</v>
      </c>
      <c r="AN21" s="94" t="n">
        <v>2.44</v>
      </c>
      <c r="AO21" s="92" t="inlineStr">
        <is>
          <t>Distant 2-3mi</t>
        </is>
      </c>
      <c r="AP21" s="92" t="inlineStr">
        <is>
          <t>Office/institutional</t>
        </is>
      </c>
      <c r="AQ21" s="92" t="inlineStr">
        <is>
          <t>Ample &gt;=15k</t>
        </is>
      </c>
      <c r="AR21" s="100" t="n"/>
      <c r="AS21" s="96">
        <f>ROUND(INDEX('Scoring Method'!$B$63:$B$70,MATCH(AE21,'Scoring Method'!$A$63:$A$70,0))*0.625+INDEX('Scoring Method'!$B$105:$B$113,MATCH(AP21,'Scoring Method'!$A$105:$A$113,0))+INDEX('Scoring Method'!$B$74:$B$78,MATCH(AQ21,'Scoring Method'!$A$74:$A$78,0))*0.6667+INDEX('Scoring Method'!$B$96:$B$101,MATCH(AO21,'Scoring Method'!$A$96:$A$101,0))+INDEX('Scoring Method'!$B$343:$B$347,MATCH(X21,'Scoring Method'!$A$343:$A$347,0))*0.3333+INDEX('Scoring Method'!$B$25:$B$27,MATCH(P21,'Scoring Method'!$A$25:$A$27,0))*0.3333,1)</f>
        <v/>
      </c>
      <c r="AT21" s="96">
        <f>AS21*U21/100</f>
        <v/>
      </c>
      <c r="AU21" s="92" t="inlineStr">
        <is>
          <t>Latonia</t>
        </is>
      </c>
      <c r="AV21" s="92" t="n">
        <v>78</v>
      </c>
      <c r="AW21" s="92" t="inlineStr">
        <is>
          <t>Sourced</t>
        </is>
      </c>
      <c r="AX21" s="92" t="inlineStr">
        <is>
          <t>Safe 70-79</t>
        </is>
      </c>
      <c r="AY21" s="96">
        <f>ROUND(INDEX('Scoring Method'!$B$132:$B$140,MATCH(AE21,'Scoring Method'!$A$132:$A$140,0))+INDEX('Scoring Method'!$B$144:$B$152,MATCH(AP21,'Scoring Method'!$A$144:$A$152,0))+INDEX('Scoring Method'!$B$156:$B$160,MATCH(AQ21,'Scoring Method'!$A$156:$A$160,0))+INDEX('Scoring Method'!$B$164:$B$169,MATCH(AO21,'Scoring Method'!$A$164:$A$169,0))+INDEX('Scoring Method'!$B$173:$B$178,MATCH(AX21,'Scoring Method'!$A$173:$A$178,0))+INDEX('Scoring Method'!$B$349:$B$353,MATCH(X21,'Scoring Method'!$A$349:$A$353,0))+INDEX('Scoring Method'!$B$188:$B$190,MATCH(P21,'Scoring Method'!$A$188:$A$190,0)),1)</f>
        <v/>
      </c>
      <c r="AZ21" s="96">
        <f>AY21*U21/100</f>
        <v/>
      </c>
      <c r="BA21" s="103" t="inlineStr">
        <is>
          <t>Brand-owned / net lease</t>
        </is>
      </c>
      <c r="BB21" s="94" t="n">
        <v>0.3</v>
      </c>
      <c r="BC21" s="92" t="inlineStr">
        <is>
          <t>Right-sized 0.35-0.75 AC</t>
        </is>
      </c>
      <c r="BD21" s="94" t="n">
        <v>1</v>
      </c>
      <c r="BE21" s="96">
        <f>ROUND(INDEX('Scoring Method'!$B$268:$B$276,MATCH(AE21,'Scoring Method'!$A$268:$A$276,0))+INDEX('Scoring Method'!$B$280:$B$288,MATCH(AP21,'Scoring Method'!$A$280:$A$288,0))+INDEX('Scoring Method'!$B$292:$B$296,MATCH(AQ21,'Scoring Method'!$A$292:$A$296,0))+INDEX('Scoring Method'!$B$300:$B$305,MATCH(AO21,'Scoring Method'!$A$300:$A$305,0))+INDEX('Scoring Method'!$B$309:$B$314,MATCH(AX21,'Scoring Method'!$A$309:$A$314,0))+INDEX('Scoring Method'!$B$337:$B$341,MATCH(X21,'Scoring Method'!$A$337:$A$341,0))+INDEX('Scoring Method'!$B$324:$B$326,MATCH(P21,'Scoring Method'!$A$324:$A$326,0)),1)</f>
        <v/>
      </c>
      <c r="BF21" s="96">
        <f>ROUND(INDEX('Scoring Method'!$B$268:$B$276,MATCH(AE21,'Scoring Method'!$A$268:$A$276,0))*BB21*BD21+INDEX('Scoring Method'!$B$280:$B$288,MATCH(AP21,'Scoring Method'!$A$280:$A$288,0))*BM21*BB21*BD21+INDEX('Scoring Method'!$B$292:$B$296,MATCH(AQ21,'Scoring Method'!$A$292:$A$296,0))*BD21+INDEX('Scoring Method'!$B$300:$B$305,MATCH(AO21,'Scoring Method'!$A$300:$A$305,0))*BM21*BB21+INDEX('Scoring Method'!$B$309:$B$314,MATCH(AX21,'Scoring Method'!$A$309:$A$314,0))+INDEX('Scoring Method'!$B$337:$B$341,MATCH(X21,'Scoring Method'!$A$337:$A$341,0))+INDEX('Scoring Method'!$B$324:$B$326,MATCH(P21,'Scoring Method'!$A$324:$A$326,0)),1)</f>
        <v/>
      </c>
      <c r="BG21" s="92" t="inlineStr">
        <is>
          <t>Fits (~$3,995/mo)</t>
        </is>
      </c>
      <c r="BH21" s="61" t="inlineStr">
        <is>
          <t>TUMU</t>
        </is>
      </c>
      <c r="BI21" s="61" t="inlineStr">
        <is>
          <t>Traditional Urban Mixed Use</t>
        </is>
      </c>
      <c r="BJ21" s="61" t="inlineStr"/>
      <c r="BK21" s="61" t="inlineStr"/>
      <c r="BL21" s="61" t="inlineStr">
        <is>
          <t>Bar permitted</t>
        </is>
      </c>
      <c r="BM21" s="61">
        <f>INDEX('Scoring Method'!$B$358:$B$363,MATCH(BL21,'Scoring Method'!$A$358:$A$363,0))</f>
        <v/>
      </c>
    </row>
    <row r="22" ht="15" customHeight="1" s="62">
      <c r="A22" s="92" t="n">
        <v>21</v>
      </c>
      <c r="B22" s="92" t="inlineStr">
        <is>
          <t>040-34-06-001.03</t>
        </is>
      </c>
      <c r="C22" s="92" t="inlineStr">
        <is>
          <t>504 W 4TH ST</t>
        </is>
      </c>
      <c r="D22" s="92" t="inlineStr">
        <is>
          <t>FAR DEVELOPMENT LLC</t>
        </is>
      </c>
      <c r="E22" s="92" t="inlineStr">
        <is>
          <t>1074 BAYSWATER DR</t>
        </is>
      </c>
      <c r="F22" s="92" t="inlineStr">
        <is>
          <t>UNION</t>
        </is>
      </c>
      <c r="G22" s="92" t="inlineStr">
        <is>
          <t>KY</t>
        </is>
      </c>
      <c r="H22" s="92" t="inlineStr">
        <is>
          <t>FAST FOOD-DRIVE THRU REST</t>
        </is>
      </c>
      <c r="I22" s="93" t="n">
        <v>19989</v>
      </c>
      <c r="J22" s="94">
        <f>I22/43560</f>
        <v/>
      </c>
      <c r="K22" s="93" t="n">
        <v>573</v>
      </c>
      <c r="L22" s="95">
        <f>I22/(K22^2)</f>
        <v/>
      </c>
      <c r="M22" s="92" t="inlineStr">
        <is>
          <t>Ideal 18-32k</t>
        </is>
      </c>
      <c r="N22" s="92" t="inlineStr">
        <is>
          <t>C</t>
        </is>
      </c>
      <c r="O22" s="92" t="inlineStr">
        <is>
          <t>Compact &gt;=.055</t>
        </is>
      </c>
      <c r="P22" s="92" t="inlineStr">
        <is>
          <t>Low</t>
        </is>
      </c>
      <c r="Q22" s="92" t="inlineStr">
        <is>
          <t>Out-of-city KY</t>
        </is>
      </c>
      <c r="R22" s="92" t="inlineStr">
        <is>
          <t>Passive vehicle</t>
        </is>
      </c>
      <c r="S22" s="92" t="n">
        <v>1</v>
      </c>
      <c r="T22" s="96">
        <f>INDEX('Scoring Method'!$B$6:$B$9,MATCH(M22,'Scoring Method'!$A$6:$A$9,0))+INDEX('Scoring Method'!$B$12:$B$16,MATCH(N22,'Scoring Method'!$A$12:$A$16,0))+INDEX('Scoring Method'!$B$19:$B$22,MATCH(O22,'Scoring Method'!$A$19:$A$22,0))+INDEX('Scoring Method'!$B$25:$B$27,MATCH(P22,'Scoring Method'!$A$25:$A$27,0))</f>
        <v/>
      </c>
      <c r="U22" s="96">
        <f>(INDEX('Scoring Method'!$B$30:$B$33,MATCH(Q22,'Scoring Method'!$A$30:$A$33,0))+INDEX('Scoring Method'!$B$36:$B$42,MATCH(R22,'Scoring Method'!$A$36:$A$42,0))+INDEX('Scoring Method'!$B$45:$B$47,MATCH(IF(S22=1,"1",IF(S22=2,"2","3+")),'Scoring Method'!$A$45:$A$47,0)))/90*100</f>
        <v/>
      </c>
      <c r="V22" s="96">
        <f>T22*U22/100</f>
        <v/>
      </c>
      <c r="W22" s="93" t="n">
        <v>2275</v>
      </c>
      <c r="X22" s="92" t="inlineStr">
        <is>
          <t>X (minimal hazard)</t>
        </is>
      </c>
      <c r="Y22" s="93" t="n">
        <v>16625</v>
      </c>
      <c r="Z22" s="97">
        <f>W22/I22</f>
        <v/>
      </c>
      <c r="AA22" s="98">
        <f>MAX(0,(Y22-5000)/300)</f>
        <v/>
      </c>
      <c r="AB22" s="92" t="n"/>
      <c r="AC22" s="92" t="n">
        <v>0.46</v>
      </c>
      <c r="AD22" s="92" t="inlineStr">
        <is>
          <t>ok</t>
        </is>
      </c>
      <c r="AE22" s="92" t="inlineStr">
        <is>
          <t>Target 1.5-2.5k</t>
        </is>
      </c>
      <c r="AF22" s="96">
        <f>INDEX('Scoring Method'!$B$63:$B$71,MATCH(AE22,'Scoring Method'!$A$63:$A$71,0))+INDEX('Scoring Method'!$B$75:$B$79,MATCH("Ample &gt;=15k",'Scoring Method'!$A$75:$A$79,0))+INDEX('Scoring Method'!$B$343:$B$347,MATCH(X22,'Scoring Method'!$A$343:$A$347,0))+INDEX('Scoring Method'!$B$25:$B$27,MATCH(P22,'Scoring Method'!$A$25:$A$27,0))</f>
        <v/>
      </c>
      <c r="AG22" s="96">
        <f>AF22*U22/100</f>
        <v/>
      </c>
      <c r="AH22" s="92" t="inlineStr">
        <is>
          <t>LINK-GIS + LoopNet</t>
        </is>
      </c>
      <c r="AI22" s="99" t="n">
        <v>39.08678</v>
      </c>
      <c r="AJ22" s="99" t="n">
        <v>-84.51911</v>
      </c>
      <c r="AK22" s="94" t="n">
        <v>0.18</v>
      </c>
      <c r="AL22" s="94" t="n">
        <v>0.64</v>
      </c>
      <c r="AM22" s="94" t="n">
        <v>1.08</v>
      </c>
      <c r="AN22" s="94" t="n">
        <v>0.18</v>
      </c>
      <c r="AO22" s="92" t="inlineStr">
        <is>
          <t>Core &lt;=0.35mi</t>
        </is>
      </c>
      <c r="AP22" s="92" t="inlineStr">
        <is>
          <t>Built-out kitchen</t>
        </is>
      </c>
      <c r="AQ22" s="92" t="inlineStr">
        <is>
          <t>Ample &gt;=15k</t>
        </is>
      </c>
      <c r="AR22" s="100" t="n"/>
      <c r="AS22" s="96">
        <f>ROUND(INDEX('Scoring Method'!$B$63:$B$70,MATCH(AE22,'Scoring Method'!$A$63:$A$70,0))*0.625+INDEX('Scoring Method'!$B$105:$B$113,MATCH(AP22,'Scoring Method'!$A$105:$A$113,0))+INDEX('Scoring Method'!$B$74:$B$78,MATCH(AQ22,'Scoring Method'!$A$74:$A$78,0))*0.6667+INDEX('Scoring Method'!$B$96:$B$101,MATCH(AO22,'Scoring Method'!$A$96:$A$101,0))+INDEX('Scoring Method'!$B$343:$B$347,MATCH(X22,'Scoring Method'!$A$343:$A$347,0))*0.3333+INDEX('Scoring Method'!$B$25:$B$27,MATCH(P22,'Scoring Method'!$A$25:$A$27,0))*0.3333,1)</f>
        <v/>
      </c>
      <c r="AT22" s="96">
        <f>AS22*U22/100</f>
        <v/>
      </c>
      <c r="AU22" s="92" t="inlineStr">
        <is>
          <t>Botany Hills / Riverfront West</t>
        </is>
      </c>
      <c r="AV22" s="92" t="n">
        <v>45</v>
      </c>
      <c r="AW22" s="101" t="inlineStr">
        <is>
          <t>ESTIMATED</t>
        </is>
      </c>
      <c r="AX22" s="92" t="inlineStr">
        <is>
          <t>Mixed 45-59</t>
        </is>
      </c>
      <c r="AY22" s="96">
        <f>ROUND(INDEX('Scoring Method'!$B$132:$B$140,MATCH(AE22,'Scoring Method'!$A$132:$A$140,0))+INDEX('Scoring Method'!$B$144:$B$152,MATCH(AP22,'Scoring Method'!$A$144:$A$152,0))+INDEX('Scoring Method'!$B$156:$B$160,MATCH(AQ22,'Scoring Method'!$A$156:$A$160,0))+INDEX('Scoring Method'!$B$164:$B$169,MATCH(AO22,'Scoring Method'!$A$164:$A$169,0))+INDEX('Scoring Method'!$B$173:$B$178,MATCH(AX22,'Scoring Method'!$A$173:$A$178,0))+INDEX('Scoring Method'!$B$349:$B$353,MATCH(X22,'Scoring Method'!$A$349:$A$353,0))+INDEX('Scoring Method'!$B$188:$B$190,MATCH(P22,'Scoring Method'!$A$188:$A$190,0)),1)</f>
        <v/>
      </c>
      <c r="AZ22" s="96">
        <f>AY22*U22/100</f>
        <v/>
      </c>
      <c r="BA22" s="103" t="inlineStr">
        <is>
          <t>Chain format + investor</t>
        </is>
      </c>
      <c r="BB22" s="94" t="n">
        <v>0.45</v>
      </c>
      <c r="BC22" s="92" t="inlineStr">
        <is>
          <t>Right-sized 0.35-0.75 AC</t>
        </is>
      </c>
      <c r="BD22" s="94" t="n">
        <v>1</v>
      </c>
      <c r="BE22" s="96">
        <f>ROUND(INDEX('Scoring Method'!$B$268:$B$276,MATCH(AE22,'Scoring Method'!$A$268:$A$276,0))+INDEX('Scoring Method'!$B$280:$B$288,MATCH(AP22,'Scoring Method'!$A$280:$A$288,0))+INDEX('Scoring Method'!$B$292:$B$296,MATCH(AQ22,'Scoring Method'!$A$292:$A$296,0))+INDEX('Scoring Method'!$B$300:$B$305,MATCH(AO22,'Scoring Method'!$A$300:$A$305,0))+INDEX('Scoring Method'!$B$309:$B$314,MATCH(AX22,'Scoring Method'!$A$309:$A$314,0))+INDEX('Scoring Method'!$B$337:$B$341,MATCH(X22,'Scoring Method'!$A$337:$A$341,0))+INDEX('Scoring Method'!$B$324:$B$326,MATCH(P22,'Scoring Method'!$A$324:$A$326,0)),1)</f>
        <v/>
      </c>
      <c r="BF22" s="96">
        <f>ROUND(INDEX('Scoring Method'!$B$268:$B$276,MATCH(AE22,'Scoring Method'!$A$268:$A$276,0))*BB22*BD22+INDEX('Scoring Method'!$B$280:$B$288,MATCH(AP22,'Scoring Method'!$A$280:$A$288,0))*BM22*BB22*BD22+INDEX('Scoring Method'!$B$292:$B$296,MATCH(AQ22,'Scoring Method'!$A$292:$A$296,0))*BD22+INDEX('Scoring Method'!$B$300:$B$305,MATCH(AO22,'Scoring Method'!$A$300:$A$305,0))*BM22*BB22+INDEX('Scoring Method'!$B$309:$B$314,MATCH(AX22,'Scoring Method'!$A$309:$A$314,0))+INDEX('Scoring Method'!$B$337:$B$341,MATCH(X22,'Scoring Method'!$A$337:$A$341,0))+INDEX('Scoring Method'!$B$324:$B$326,MATCH(P22,'Scoring Method'!$A$324:$A$326,0)),1)</f>
        <v/>
      </c>
      <c r="BG22" s="92" t="inlineStr">
        <is>
          <t>Fits (~$2,085/mo)</t>
        </is>
      </c>
      <c r="BH22" s="61" t="inlineStr">
        <is>
          <t>AUC</t>
        </is>
      </c>
      <c r="BI22" s="61" t="inlineStr">
        <is>
          <t>Auto-Urban Commercial</t>
        </is>
      </c>
      <c r="BJ22" s="61" t="inlineStr"/>
      <c r="BK22" s="61" t="inlineStr"/>
      <c r="BL22" s="61" t="inlineStr">
        <is>
          <t>Bar permitted</t>
        </is>
      </c>
      <c r="BM22" s="61">
        <f>INDEX('Scoring Method'!$B$358:$B$363,MATCH(BL22,'Scoring Method'!$A$358:$A$363,0))</f>
        <v/>
      </c>
    </row>
    <row r="23" ht="15" customHeight="1" s="62">
      <c r="A23" s="92" t="n">
        <v>22</v>
      </c>
      <c r="B23" s="92" t="inlineStr">
        <is>
          <t>054-22-18-029.00</t>
        </is>
      </c>
      <c r="C23" s="92" t="inlineStr">
        <is>
          <t>320 W MARTIN LUTHER KING JR BLVD REAR</t>
        </is>
      </c>
      <c r="D23" s="92" t="inlineStr">
        <is>
          <t>BROWN JAMES A</t>
        </is>
      </c>
      <c r="E23" s="92" t="inlineStr">
        <is>
          <t>7774 SPICEWOOD</t>
        </is>
      </c>
      <c r="F23" s="92" t="inlineStr">
        <is>
          <t>CINCINNATI</t>
        </is>
      </c>
      <c r="G23" s="92" t="inlineStr">
        <is>
          <t>OH</t>
        </is>
      </c>
      <c r="H23" s="92" t="inlineStr">
        <is>
          <t>SMALL SHOP</t>
        </is>
      </c>
      <c r="I23" s="93" t="n">
        <v>8795</v>
      </c>
      <c r="J23" s="94">
        <f>I23/43560</f>
        <v/>
      </c>
      <c r="K23" s="93" t="n">
        <v>375.6</v>
      </c>
      <c r="L23" s="95">
        <f>I23/(K23^2)</f>
        <v/>
      </c>
      <c r="M23" s="92" t="inlineStr">
        <is>
          <t>Poor &lt;10k/&gt;60k</t>
        </is>
      </c>
      <c r="N23" s="92" t="inlineStr">
        <is>
          <t>A</t>
        </is>
      </c>
      <c r="O23" s="92" t="inlineStr">
        <is>
          <t>Compact &gt;=.055</t>
        </is>
      </c>
      <c r="P23" s="92" t="inlineStr">
        <is>
          <t>Low</t>
        </is>
      </c>
      <c r="Q23" s="92" t="inlineStr">
        <is>
          <t>Out-of-state</t>
        </is>
      </c>
      <c r="R23" s="92" t="inlineStr">
        <is>
          <t>Individual</t>
        </is>
      </c>
      <c r="S23" s="92" t="n">
        <v>1</v>
      </c>
      <c r="T23" s="96">
        <f>INDEX('Scoring Method'!$B$6:$B$9,MATCH(M23,'Scoring Method'!$A$6:$A$9,0))+INDEX('Scoring Method'!$B$12:$B$16,MATCH(N23,'Scoring Method'!$A$12:$A$16,0))+INDEX('Scoring Method'!$B$19:$B$22,MATCH(O23,'Scoring Method'!$A$19:$A$22,0))+INDEX('Scoring Method'!$B$25:$B$27,MATCH(P23,'Scoring Method'!$A$25:$A$27,0))</f>
        <v/>
      </c>
      <c r="U23" s="96">
        <f>(INDEX('Scoring Method'!$B$30:$B$33,MATCH(Q23,'Scoring Method'!$A$30:$A$33,0))+INDEX('Scoring Method'!$B$36:$B$42,MATCH(R23,'Scoring Method'!$A$36:$A$42,0))+INDEX('Scoring Method'!$B$45:$B$47,MATCH(IF(S23=1,"1",IF(S23=2,"2","3+")),'Scoring Method'!$A$45:$A$47,0)))/90*100</f>
        <v/>
      </c>
      <c r="V23" s="96">
        <f>T23*U23/100</f>
        <v/>
      </c>
      <c r="W23" s="93" t="n"/>
      <c r="X23" s="92" t="inlineStr">
        <is>
          <t>X (minimal hazard)</t>
        </is>
      </c>
      <c r="Y23" s="93" t="n">
        <v>5075</v>
      </c>
      <c r="Z23" s="97" t="n"/>
      <c r="AA23" s="98" t="n"/>
      <c r="AB23" s="92" t="n"/>
      <c r="AC23" s="92" t="n">
        <v>0.2</v>
      </c>
      <c r="AD23" s="92" t="inlineStr">
        <is>
          <t>ok</t>
        </is>
      </c>
      <c r="AE23" s="92" t="inlineStr">
        <is>
          <t>No building</t>
        </is>
      </c>
      <c r="AF23" s="96">
        <f>INDEX('Scoring Method'!$B$63:$B$71,MATCH(AE23,'Scoring Method'!$A$63:$A$71,0))+INDEX('Scoring Method'!$B$75:$B$79,MATCH("Adequate 5-8k",'Scoring Method'!$A$75:$A$79,0))+INDEX('Scoring Method'!$B$343:$B$347,MATCH(X23,'Scoring Method'!$A$343:$A$347,0))+INDEX('Scoring Method'!$B$25:$B$27,MATCH(P23,'Scoring Method'!$A$25:$A$27,0))</f>
        <v/>
      </c>
      <c r="AG23" s="96">
        <f>AF23*U23/100</f>
        <v/>
      </c>
      <c r="AH23" s="92" t="inlineStr">
        <is>
          <t>LINK-GIS + LoopNet</t>
        </is>
      </c>
      <c r="AI23" s="99" t="n">
        <v>39.07714</v>
      </c>
      <c r="AJ23" s="99" t="n">
        <v>-84.51472</v>
      </c>
      <c r="AK23" s="94" t="n">
        <v>0.53</v>
      </c>
      <c r="AL23" s="94" t="n">
        <v>1.01</v>
      </c>
      <c r="AM23" s="94" t="n">
        <v>1.69</v>
      </c>
      <c r="AN23" s="94" t="n">
        <v>0.51</v>
      </c>
      <c r="AO23" s="92" t="inlineStr">
        <is>
          <t>Near 0.35-0.75mi</t>
        </is>
      </c>
      <c r="AP23" s="92" t="inlineStr">
        <is>
          <t>Open span</t>
        </is>
      </c>
      <c r="AQ23" s="92" t="inlineStr">
        <is>
          <t>Adequate 5-8k</t>
        </is>
      </c>
      <c r="AR23" s="100" t="n"/>
      <c r="AS23" s="96">
        <f>ROUND(INDEX('Scoring Method'!$B$63:$B$70,MATCH(AE23,'Scoring Method'!$A$63:$A$70,0))*0.625+INDEX('Scoring Method'!$B$105:$B$113,MATCH(AP23,'Scoring Method'!$A$105:$A$113,0))+INDEX('Scoring Method'!$B$74:$B$78,MATCH(AQ23,'Scoring Method'!$A$74:$A$78,0))*0.6667+INDEX('Scoring Method'!$B$96:$B$101,MATCH(AO23,'Scoring Method'!$A$96:$A$101,0))+INDEX('Scoring Method'!$B$343:$B$347,MATCH(X23,'Scoring Method'!$A$343:$A$347,0))*0.3333+INDEX('Scoring Method'!$B$25:$B$27,MATCH(P23,'Scoring Method'!$A$25:$A$27,0))*0.3333,1)</f>
        <v/>
      </c>
      <c r="AT23" s="96">
        <f>AS23*U23/100</f>
        <v/>
      </c>
      <c r="AU23" s="92" t="inlineStr">
        <is>
          <t>Old Seminary Square</t>
        </is>
      </c>
      <c r="AV23" s="92" t="n">
        <v>35</v>
      </c>
      <c r="AW23" s="101" t="inlineStr">
        <is>
          <t>ESTIMATED</t>
        </is>
      </c>
      <c r="AX23" s="92" t="inlineStr">
        <is>
          <t>Elevated 35-44</t>
        </is>
      </c>
      <c r="AY23" s="96">
        <f>ROUND(INDEX('Scoring Method'!$B$132:$B$140,MATCH(AE23,'Scoring Method'!$A$132:$A$140,0))+INDEX('Scoring Method'!$B$144:$B$152,MATCH(AP23,'Scoring Method'!$A$144:$A$152,0))+INDEX('Scoring Method'!$B$156:$B$160,MATCH(AQ23,'Scoring Method'!$A$156:$A$160,0))+INDEX('Scoring Method'!$B$164:$B$169,MATCH(AO23,'Scoring Method'!$A$164:$A$169,0))+INDEX('Scoring Method'!$B$173:$B$178,MATCH(AX23,'Scoring Method'!$A$173:$A$178,0))+INDEX('Scoring Method'!$B$349:$B$353,MATCH(X23,'Scoring Method'!$A$349:$A$353,0))+INDEX('Scoring Method'!$B$188:$B$190,MATCH(P23,'Scoring Method'!$A$188:$A$190,0)),1)</f>
        <v/>
      </c>
      <c r="AZ23" s="96">
        <f>AY23*U23/100</f>
        <v/>
      </c>
      <c r="BA23" s="92" t="inlineStr">
        <is>
          <t>No chain signal</t>
        </is>
      </c>
      <c r="BB23" s="94" t="n">
        <v>1</v>
      </c>
      <c r="BC23" s="103" t="inlineStr">
        <is>
          <t>Extra small 0.15-0.25 AC</t>
        </is>
      </c>
      <c r="BD23" s="94" t="n">
        <v>0.8</v>
      </c>
      <c r="BE23" s="96">
        <f>ROUND(INDEX('Scoring Method'!$B$268:$B$276,MATCH(AE23,'Scoring Method'!$A$268:$A$276,0))+INDEX('Scoring Method'!$B$280:$B$288,MATCH(AP23,'Scoring Method'!$A$280:$A$288,0))+INDEX('Scoring Method'!$B$292:$B$296,MATCH(AQ23,'Scoring Method'!$A$292:$A$296,0))+INDEX('Scoring Method'!$B$300:$B$305,MATCH(AO23,'Scoring Method'!$A$300:$A$305,0))+INDEX('Scoring Method'!$B$309:$B$314,MATCH(AX23,'Scoring Method'!$A$309:$A$314,0))+INDEX('Scoring Method'!$B$337:$B$341,MATCH(X23,'Scoring Method'!$A$337:$A$341,0))+INDEX('Scoring Method'!$B$324:$B$326,MATCH(P23,'Scoring Method'!$A$324:$A$326,0)),1)</f>
        <v/>
      </c>
      <c r="BF23" s="96">
        <f>ROUND(INDEX('Scoring Method'!$B$268:$B$276,MATCH(AE23,'Scoring Method'!$A$268:$A$276,0))*BB23*BD23+INDEX('Scoring Method'!$B$280:$B$288,MATCH(AP23,'Scoring Method'!$A$280:$A$288,0))*BM23*BB23*BD23+INDEX('Scoring Method'!$B$292:$B$296,MATCH(AQ23,'Scoring Method'!$A$292:$A$296,0))*BD23+INDEX('Scoring Method'!$B$300:$B$305,MATCH(AO23,'Scoring Method'!$A$300:$A$305,0))*BM23*BB23+INDEX('Scoring Method'!$B$309:$B$314,MATCH(AX23,'Scoring Method'!$A$309:$A$314,0))+INDEX('Scoring Method'!$B$337:$B$341,MATCH(X23,'Scoring Method'!$A$337:$A$341,0))+INDEX('Scoring Method'!$B$324:$B$326,MATCH(P23,'Scoring Method'!$A$324:$A$326,0)),1)</f>
        <v/>
      </c>
      <c r="BG23" s="92" t="n"/>
      <c r="BH23" s="61" t="inlineStr">
        <is>
          <t>TUR (TS)</t>
        </is>
      </c>
      <c r="BI23" s="61" t="inlineStr">
        <is>
          <t>Traditional Urban Residential</t>
        </is>
      </c>
      <c r="BJ23" s="61" t="inlineStr"/>
      <c r="BK23" s="61" t="inlineStr">
        <is>
          <t>Yes</t>
        </is>
      </c>
      <c r="BL23" s="61" t="inlineStr">
        <is>
          <t>Bar prohibited, alt-path</t>
        </is>
      </c>
      <c r="BM23" s="61">
        <f>INDEX('Scoring Method'!$B$358:$B$363,MATCH(BL23,'Scoring Method'!$A$358:$A$363,0))</f>
        <v/>
      </c>
    </row>
    <row r="24" ht="15" customHeight="1" s="62">
      <c r="A24" s="92" t="n">
        <v>23</v>
      </c>
      <c r="B24" s="92" t="inlineStr">
        <is>
          <t>055-13-06-001.00</t>
        </is>
      </c>
      <c r="C24" s="92" t="inlineStr">
        <is>
          <t>1601 MADISON AVE</t>
        </is>
      </c>
      <c r="D24" s="92" t="inlineStr">
        <is>
          <t>TAPPAN PROPERTIES LTD PTN INC</t>
        </is>
      </c>
      <c r="E24" s="92" t="inlineStr">
        <is>
          <t>1150 W 8TH ST STE 255</t>
        </is>
      </c>
      <c r="F24" s="92" t="inlineStr">
        <is>
          <t>CINCINNATI</t>
        </is>
      </c>
      <c r="G24" s="92" t="inlineStr">
        <is>
          <t>OH</t>
        </is>
      </c>
      <c r="H24" s="92" t="inlineStr">
        <is>
          <t>NEIGHBORHOOD SHOPPING CENTER</t>
        </is>
      </c>
      <c r="I24" s="93" t="n">
        <v>41545</v>
      </c>
      <c r="J24" s="94">
        <f>I24/43560</f>
        <v/>
      </c>
      <c r="K24" s="93" t="n">
        <v>824</v>
      </c>
      <c r="L24" s="95">
        <f>I24/(K24^2)</f>
        <v/>
      </c>
      <c r="M24" s="92" t="inlineStr">
        <is>
          <t>Near 14-18k/32-45k</t>
        </is>
      </c>
      <c r="N24" s="92" t="inlineStr">
        <is>
          <t>C</t>
        </is>
      </c>
      <c r="O24" s="92" t="inlineStr">
        <is>
          <t>Compact &gt;=.055</t>
        </is>
      </c>
      <c r="P24" s="92" t="inlineStr">
        <is>
          <t>Low</t>
        </is>
      </c>
      <c r="Q24" s="92" t="inlineStr">
        <is>
          <t>Out-of-state</t>
        </is>
      </c>
      <c r="R24" s="92" t="inlineStr">
        <is>
          <t>Passive vehicle</t>
        </is>
      </c>
      <c r="S24" s="92" t="n">
        <v>1</v>
      </c>
      <c r="T24" s="96">
        <f>INDEX('Scoring Method'!$B$6:$B$9,MATCH(M24,'Scoring Method'!$A$6:$A$9,0))+INDEX('Scoring Method'!$B$12:$B$16,MATCH(N24,'Scoring Method'!$A$12:$A$16,0))+INDEX('Scoring Method'!$B$19:$B$22,MATCH(O24,'Scoring Method'!$A$19:$A$22,0))+INDEX('Scoring Method'!$B$25:$B$27,MATCH(P24,'Scoring Method'!$A$25:$A$27,0))</f>
        <v/>
      </c>
      <c r="U24" s="96">
        <f>(INDEX('Scoring Method'!$B$30:$B$33,MATCH(Q24,'Scoring Method'!$A$30:$A$33,0))+INDEX('Scoring Method'!$B$36:$B$42,MATCH(R24,'Scoring Method'!$A$36:$A$42,0))+INDEX('Scoring Method'!$B$45:$B$47,MATCH(IF(S24=1,"1",IF(S24=2,"2","3+")),'Scoring Method'!$A$45:$A$47,0)))/90*100</f>
        <v/>
      </c>
      <c r="V24" s="96">
        <f>T24*U24/100</f>
        <v/>
      </c>
      <c r="W24" s="93" t="n">
        <v>16830</v>
      </c>
      <c r="X24" s="92" t="inlineStr">
        <is>
          <t>X (minimal hazard)</t>
        </is>
      </c>
      <c r="Y24" s="93" t="n">
        <v>22525</v>
      </c>
      <c r="Z24" s="97">
        <f>W24/I24</f>
        <v/>
      </c>
      <c r="AA24" s="98">
        <f>MAX(0,(Y24-5000)/300)</f>
        <v/>
      </c>
      <c r="AB24" s="92" t="n"/>
      <c r="AC24" s="92" t="n">
        <v>0.95</v>
      </c>
      <c r="AD24" s="92" t="inlineStr">
        <is>
          <t>ok</t>
        </is>
      </c>
      <c r="AE24" s="92" t="inlineStr">
        <is>
          <t>Far oversize &gt;12k</t>
        </is>
      </c>
      <c r="AF24" s="96">
        <f>INDEX('Scoring Method'!$B$63:$B$71,MATCH(AE24,'Scoring Method'!$A$63:$A$71,0))+INDEX('Scoring Method'!$B$75:$B$79,MATCH("Ample &gt;=15k",'Scoring Method'!$A$75:$A$79,0))+INDEX('Scoring Method'!$B$343:$B$347,MATCH(X24,'Scoring Method'!$A$343:$A$347,0))+INDEX('Scoring Method'!$B$25:$B$27,MATCH(P24,'Scoring Method'!$A$25:$A$27,0))</f>
        <v/>
      </c>
      <c r="AG24" s="96">
        <f>AF24*U24/100</f>
        <v/>
      </c>
      <c r="AH24" s="92" t="inlineStr">
        <is>
          <t>LINK-GIS + LoopNet</t>
        </is>
      </c>
      <c r="AI24" s="99" t="n">
        <v>39.07129</v>
      </c>
      <c r="AJ24" s="99" t="n">
        <v>-84.50747</v>
      </c>
      <c r="AK24" s="94" t="n">
        <v>1.06</v>
      </c>
      <c r="AL24" s="94" t="n">
        <v>1.35</v>
      </c>
      <c r="AM24" s="94" t="n">
        <v>2.1</v>
      </c>
      <c r="AN24" s="94" t="n">
        <v>0.9</v>
      </c>
      <c r="AO24" s="92" t="inlineStr">
        <is>
          <t>Fringe 0.75-1.25mi</t>
        </is>
      </c>
      <c r="AP24" s="92" t="inlineStr">
        <is>
          <t>Retail shell</t>
        </is>
      </c>
      <c r="AQ24" s="92" t="inlineStr">
        <is>
          <t>Ample &gt;=15k</t>
        </is>
      </c>
      <c r="AR24" s="100" t="n"/>
      <c r="AS24" s="96">
        <f>ROUND(INDEX('Scoring Method'!$B$63:$B$70,MATCH(AE24,'Scoring Method'!$A$63:$A$70,0))*0.625+INDEX('Scoring Method'!$B$105:$B$113,MATCH(AP24,'Scoring Method'!$A$105:$A$113,0))+INDEX('Scoring Method'!$B$74:$B$78,MATCH(AQ24,'Scoring Method'!$A$74:$A$78,0))*0.6667+INDEX('Scoring Method'!$B$96:$B$101,MATCH(AO24,'Scoring Method'!$A$96:$A$101,0))+INDEX('Scoring Method'!$B$343:$B$347,MATCH(X24,'Scoring Method'!$A$343:$A$347,0))*0.3333+INDEX('Scoring Method'!$B$25:$B$27,MATCH(P24,'Scoring Method'!$A$25:$A$27,0))*0.3333,1)</f>
        <v/>
      </c>
      <c r="AT24" s="96">
        <f>AS24*U24/100</f>
        <v/>
      </c>
      <c r="AU24" s="92" t="inlineStr">
        <is>
          <t>Eastside</t>
        </is>
      </c>
      <c r="AV24" s="92" t="n">
        <v>28</v>
      </c>
      <c r="AW24" s="101" t="inlineStr">
        <is>
          <t>ESTIMATED</t>
        </is>
      </c>
      <c r="AX24" s="92" t="inlineStr">
        <is>
          <t>High &lt;35</t>
        </is>
      </c>
      <c r="AY24" s="96">
        <f>ROUND(INDEX('Scoring Method'!$B$132:$B$140,MATCH(AE24,'Scoring Method'!$A$132:$A$140,0))+INDEX('Scoring Method'!$B$144:$B$152,MATCH(AP24,'Scoring Method'!$A$144:$A$152,0))+INDEX('Scoring Method'!$B$156:$B$160,MATCH(AQ24,'Scoring Method'!$A$156:$A$160,0))+INDEX('Scoring Method'!$B$164:$B$169,MATCH(AO24,'Scoring Method'!$A$164:$A$169,0))+INDEX('Scoring Method'!$B$173:$B$178,MATCH(AX24,'Scoring Method'!$A$173:$A$178,0))+INDEX('Scoring Method'!$B$349:$B$353,MATCH(X24,'Scoring Method'!$A$349:$A$353,0))+INDEX('Scoring Method'!$B$188:$B$190,MATCH(P24,'Scoring Method'!$A$188:$A$190,0)),1)</f>
        <v/>
      </c>
      <c r="AZ24" s="96">
        <f>AY24*U24/100</f>
        <v/>
      </c>
      <c r="BA24" s="103" t="inlineStr">
        <is>
          <t>Chain format + investor</t>
        </is>
      </c>
      <c r="BB24" s="94" t="n">
        <v>0.45</v>
      </c>
      <c r="BC24" s="102" t="inlineStr">
        <is>
          <t>Large 0.75-1.25 AC</t>
        </is>
      </c>
      <c r="BD24" s="94" t="n">
        <v>0.9</v>
      </c>
      <c r="BE24" s="96">
        <f>ROUND(INDEX('Scoring Method'!$B$268:$B$276,MATCH(AE24,'Scoring Method'!$A$268:$A$276,0))+INDEX('Scoring Method'!$B$280:$B$288,MATCH(AP24,'Scoring Method'!$A$280:$A$288,0))+INDEX('Scoring Method'!$B$292:$B$296,MATCH(AQ24,'Scoring Method'!$A$292:$A$296,0))+INDEX('Scoring Method'!$B$300:$B$305,MATCH(AO24,'Scoring Method'!$A$300:$A$305,0))+INDEX('Scoring Method'!$B$309:$B$314,MATCH(AX24,'Scoring Method'!$A$309:$A$314,0))+INDEX('Scoring Method'!$B$337:$B$341,MATCH(X24,'Scoring Method'!$A$337:$A$341,0))+INDEX('Scoring Method'!$B$324:$B$326,MATCH(P24,'Scoring Method'!$A$324:$A$326,0)),1)</f>
        <v/>
      </c>
      <c r="BF24" s="96">
        <f>ROUND(INDEX('Scoring Method'!$B$268:$B$276,MATCH(AE24,'Scoring Method'!$A$268:$A$276,0))*BB24*BD24+INDEX('Scoring Method'!$B$280:$B$288,MATCH(AP24,'Scoring Method'!$A$280:$A$288,0))*BM24*BB24*BD24+INDEX('Scoring Method'!$B$292:$B$296,MATCH(AQ24,'Scoring Method'!$A$292:$A$296,0))*BD24+INDEX('Scoring Method'!$B$300:$B$305,MATCH(AO24,'Scoring Method'!$A$300:$A$305,0))*BM24*BB24+INDEX('Scoring Method'!$B$309:$B$314,MATCH(AX24,'Scoring Method'!$A$309:$A$314,0))+INDEX('Scoring Method'!$B$337:$B$341,MATCH(X24,'Scoring Method'!$A$337:$A$341,0))+INDEX('Scoring Method'!$B$324:$B$326,MATCH(P24,'Scoring Method'!$A$324:$A$326,0)),1)</f>
        <v/>
      </c>
      <c r="BG24" s="102" t="inlineStr">
        <is>
          <t>Over (~$15,428/mo)</t>
        </is>
      </c>
      <c r="BH24" s="61" t="inlineStr">
        <is>
          <t>AUC</t>
        </is>
      </c>
      <c r="BI24" s="61" t="inlineStr">
        <is>
          <t>Auto-Urban Commercial</t>
        </is>
      </c>
      <c r="BJ24" s="61" t="inlineStr"/>
      <c r="BK24" s="61" t="inlineStr"/>
      <c r="BL24" s="61" t="inlineStr">
        <is>
          <t>Bar permitted</t>
        </is>
      </c>
      <c r="BM24" s="61">
        <f>INDEX('Scoring Method'!$B$358:$B$363,MATCH(BL24,'Scoring Method'!$A$358:$A$363,0))</f>
        <v/>
      </c>
    </row>
    <row r="25" ht="15" customHeight="1" s="62">
      <c r="A25" s="92" t="n">
        <v>24</v>
      </c>
      <c r="B25" s="92" t="inlineStr">
        <is>
          <t>056-20-00-059.01</t>
        </is>
      </c>
      <c r="C25" s="92" t="inlineStr">
        <is>
          <t>4385 WINSTON AVE</t>
        </is>
      </c>
      <c r="D25" s="92" t="inlineStr">
        <is>
          <t>J &amp; S LATONIA CENTRE KY LLC</t>
        </is>
      </c>
      <c r="E25" s="92" t="inlineStr">
        <is>
          <t>PO BOX 24550</t>
        </is>
      </c>
      <c r="F25" s="92" t="inlineStr">
        <is>
          <t>COLUMBUS</t>
        </is>
      </c>
      <c r="G25" s="92" t="inlineStr">
        <is>
          <t>OH</t>
        </is>
      </c>
      <c r="H25" s="92" t="inlineStr">
        <is>
          <t>FAST FOOD-DRIVE THRU REST</t>
        </is>
      </c>
      <c r="I25" s="93" t="n">
        <v>40531</v>
      </c>
      <c r="J25" s="94">
        <f>I25/43560</f>
        <v/>
      </c>
      <c r="K25" s="93" t="n">
        <v>810</v>
      </c>
      <c r="L25" s="95">
        <f>I25/(K25^2)</f>
        <v/>
      </c>
      <c r="M25" s="92" t="inlineStr">
        <is>
          <t>Near 14-18k/32-45k</t>
        </is>
      </c>
      <c r="N25" s="92" t="inlineStr">
        <is>
          <t>C</t>
        </is>
      </c>
      <c r="O25" s="92" t="inlineStr">
        <is>
          <t>Compact &gt;=.055</t>
        </is>
      </c>
      <c r="P25" s="92" t="inlineStr">
        <is>
          <t>Low</t>
        </is>
      </c>
      <c r="Q25" s="92" t="inlineStr">
        <is>
          <t>Out-of-state</t>
        </is>
      </c>
      <c r="R25" s="92" t="inlineStr">
        <is>
          <t>Operating entity</t>
        </is>
      </c>
      <c r="S25" s="92" t="n">
        <v>4</v>
      </c>
      <c r="T25" s="96">
        <f>INDEX('Scoring Method'!$B$6:$B$9,MATCH(M25,'Scoring Method'!$A$6:$A$9,0))+INDEX('Scoring Method'!$B$12:$B$16,MATCH(N25,'Scoring Method'!$A$12:$A$16,0))+INDEX('Scoring Method'!$B$19:$B$22,MATCH(O25,'Scoring Method'!$A$19:$A$22,0))+INDEX('Scoring Method'!$B$25:$B$27,MATCH(P25,'Scoring Method'!$A$25:$A$27,0))</f>
        <v/>
      </c>
      <c r="U25" s="96">
        <f>(INDEX('Scoring Method'!$B$30:$B$33,MATCH(Q25,'Scoring Method'!$A$30:$A$33,0))+INDEX('Scoring Method'!$B$36:$B$42,MATCH(R25,'Scoring Method'!$A$36:$A$42,0))+INDEX('Scoring Method'!$B$45:$B$47,MATCH(IF(S25=1,"1",IF(S25=2,"2","3+")),'Scoring Method'!$A$45:$A$47,0)))/90*100</f>
        <v/>
      </c>
      <c r="V25" s="96">
        <f>T25*U25/100</f>
        <v/>
      </c>
      <c r="W25" s="93" t="n">
        <v>3595</v>
      </c>
      <c r="X25" s="92" t="inlineStr">
        <is>
          <t>X (minimal hazard)</t>
        </is>
      </c>
      <c r="Y25" s="93" t="n">
        <v>36500</v>
      </c>
      <c r="Z25" s="97">
        <f>W25/I25</f>
        <v/>
      </c>
      <c r="AA25" s="98">
        <f>MAX(0,(Y25-5000)/300)</f>
        <v/>
      </c>
      <c r="AB25" s="92" t="n"/>
      <c r="AC25" s="92" t="n">
        <v>38.19</v>
      </c>
      <c r="AD25" s="102" t="inlineStr">
        <is>
          <t>CHECK</t>
        </is>
      </c>
      <c r="AE25" s="92" t="inlineStr">
        <is>
          <t>Above 2.5-4k</t>
        </is>
      </c>
      <c r="AF25" s="96">
        <f>INDEX('Scoring Method'!$B$63:$B$71,MATCH(AE25,'Scoring Method'!$A$63:$A$71,0))+INDEX('Scoring Method'!$B$75:$B$79,MATCH("Ample &gt;=15k",'Scoring Method'!$A$75:$A$79,0))+INDEX('Scoring Method'!$B$343:$B$347,MATCH(X25,'Scoring Method'!$A$343:$A$347,0))+INDEX('Scoring Method'!$B$25:$B$27,MATCH(P25,'Scoring Method'!$A$25:$A$27,0))</f>
        <v/>
      </c>
      <c r="AG25" s="96">
        <f>AF25*U25/100</f>
        <v/>
      </c>
      <c r="AH25" s="92" t="inlineStr">
        <is>
          <t>LINK-GIS + LoopNet</t>
        </is>
      </c>
      <c r="AI25" s="99" t="n">
        <v>39.03987</v>
      </c>
      <c r="AJ25" s="99" t="n">
        <v>-84.50796</v>
      </c>
      <c r="AK25" s="94" t="n">
        <v>3.12</v>
      </c>
      <c r="AL25" s="94" t="n">
        <v>3.52</v>
      </c>
      <c r="AM25" s="94" t="n">
        <v>4.26</v>
      </c>
      <c r="AN25" s="94" t="n">
        <v>3.05</v>
      </c>
      <c r="AO25" s="92" t="inlineStr">
        <is>
          <t>Remote &gt;3mi</t>
        </is>
      </c>
      <c r="AP25" s="92" t="inlineStr">
        <is>
          <t>Built-out kitchen</t>
        </is>
      </c>
      <c r="AQ25" s="92" t="inlineStr">
        <is>
          <t>Ample &gt;=15k</t>
        </is>
      </c>
      <c r="AR25" s="100" t="n"/>
      <c r="AS25" s="96">
        <f>ROUND(INDEX('Scoring Method'!$B$63:$B$70,MATCH(AE25,'Scoring Method'!$A$63:$A$70,0))*0.625+INDEX('Scoring Method'!$B$105:$B$113,MATCH(AP25,'Scoring Method'!$A$105:$A$113,0))+INDEX('Scoring Method'!$B$74:$B$78,MATCH(AQ25,'Scoring Method'!$A$74:$A$78,0))*0.6667+INDEX('Scoring Method'!$B$96:$B$101,MATCH(AO25,'Scoring Method'!$A$96:$A$101,0))+INDEX('Scoring Method'!$B$343:$B$347,MATCH(X25,'Scoring Method'!$A$343:$A$347,0))*0.3333+INDEX('Scoring Method'!$B$25:$B$27,MATCH(P25,'Scoring Method'!$A$25:$A$27,0))*0.3333,1)</f>
        <v/>
      </c>
      <c r="AT25" s="96">
        <f>AS25*U25/100</f>
        <v/>
      </c>
      <c r="AU25" s="92" t="inlineStr">
        <is>
          <t>Rittes East / Winston Park</t>
        </is>
      </c>
      <c r="AV25" s="92" t="n">
        <v>82</v>
      </c>
      <c r="AW25" s="92" t="inlineStr">
        <is>
          <t>Sourced</t>
        </is>
      </c>
      <c r="AX25" s="92" t="inlineStr">
        <is>
          <t>Very safe 80+</t>
        </is>
      </c>
      <c r="AY25" s="96">
        <f>ROUND(INDEX('Scoring Method'!$B$132:$B$140,MATCH(AE25,'Scoring Method'!$A$132:$A$140,0))+INDEX('Scoring Method'!$B$144:$B$152,MATCH(AP25,'Scoring Method'!$A$144:$A$152,0))+INDEX('Scoring Method'!$B$156:$B$160,MATCH(AQ25,'Scoring Method'!$A$156:$A$160,0))+INDEX('Scoring Method'!$B$164:$B$169,MATCH(AO25,'Scoring Method'!$A$164:$A$169,0))+INDEX('Scoring Method'!$B$173:$B$178,MATCH(AX25,'Scoring Method'!$A$173:$A$178,0))+INDEX('Scoring Method'!$B$349:$B$353,MATCH(X25,'Scoring Method'!$A$349:$A$353,0))+INDEX('Scoring Method'!$B$188:$B$190,MATCH(P25,'Scoring Method'!$A$188:$A$190,0)),1)</f>
        <v/>
      </c>
      <c r="AZ25" s="96">
        <f>AY25*U25/100</f>
        <v/>
      </c>
      <c r="BA25" s="103" t="inlineStr">
        <is>
          <t>Chain format + investor</t>
        </is>
      </c>
      <c r="BB25" s="94" t="n">
        <v>0.45</v>
      </c>
      <c r="BC25" s="102" t="inlineStr">
        <is>
          <t>Large 0.75-1.25 AC</t>
        </is>
      </c>
      <c r="BD25" s="94" t="n">
        <v>0.9</v>
      </c>
      <c r="BE25" s="96">
        <f>ROUND(INDEX('Scoring Method'!$B$268:$B$276,MATCH(AE25,'Scoring Method'!$A$268:$A$276,0))+INDEX('Scoring Method'!$B$280:$B$288,MATCH(AP25,'Scoring Method'!$A$280:$A$288,0))+INDEX('Scoring Method'!$B$292:$B$296,MATCH(AQ25,'Scoring Method'!$A$292:$A$296,0))+INDEX('Scoring Method'!$B$300:$B$305,MATCH(AO25,'Scoring Method'!$A$300:$A$305,0))+INDEX('Scoring Method'!$B$309:$B$314,MATCH(AX25,'Scoring Method'!$A$309:$A$314,0))+INDEX('Scoring Method'!$B$337:$B$341,MATCH(X25,'Scoring Method'!$A$337:$A$341,0))+INDEX('Scoring Method'!$B$324:$B$326,MATCH(P25,'Scoring Method'!$A$324:$A$326,0)),1)</f>
        <v/>
      </c>
      <c r="BF25" s="96">
        <f>ROUND(INDEX('Scoring Method'!$B$268:$B$276,MATCH(AE25,'Scoring Method'!$A$268:$A$276,0))*BB25*BD25+INDEX('Scoring Method'!$B$280:$B$288,MATCH(AP25,'Scoring Method'!$A$280:$A$288,0))*BM25*BB25*BD25+INDEX('Scoring Method'!$B$292:$B$296,MATCH(AQ25,'Scoring Method'!$A$292:$A$296,0))*BD25+INDEX('Scoring Method'!$B$300:$B$305,MATCH(AO25,'Scoring Method'!$A$300:$A$305,0))*BM25*BB25+INDEX('Scoring Method'!$B$309:$B$314,MATCH(AX25,'Scoring Method'!$A$309:$A$314,0))+INDEX('Scoring Method'!$B$337:$B$341,MATCH(X25,'Scoring Method'!$A$337:$A$341,0))+INDEX('Scoring Method'!$B$324:$B$326,MATCH(P25,'Scoring Method'!$A$324:$A$326,0)),1)</f>
        <v/>
      </c>
      <c r="BG25" s="92" t="inlineStr">
        <is>
          <t>Fits (~$3,295/mo)</t>
        </is>
      </c>
      <c r="BH25" s="61" t="inlineStr">
        <is>
          <t>AUC</t>
        </is>
      </c>
      <c r="BI25" s="61" t="inlineStr">
        <is>
          <t>Auto-Urban Commercial</t>
        </is>
      </c>
      <c r="BJ25" s="61" t="inlineStr"/>
      <c r="BK25" s="61" t="inlineStr"/>
      <c r="BL25" s="61" t="inlineStr">
        <is>
          <t>Bar permitted</t>
        </is>
      </c>
      <c r="BM25" s="61">
        <f>INDEX('Scoring Method'!$B$358:$B$363,MATCH(BL25,'Scoring Method'!$A$358:$A$363,0))</f>
        <v/>
      </c>
    </row>
    <row r="26" ht="15" customHeight="1" s="62">
      <c r="A26" s="92" t="n">
        <v>25</v>
      </c>
      <c r="B26" s="92" t="inlineStr">
        <is>
          <t>055-13-02-013.00</t>
        </is>
      </c>
      <c r="C26" s="92" t="inlineStr">
        <is>
          <t>1600 RUSSELL ST</t>
        </is>
      </c>
      <c r="D26" s="92" t="inlineStr">
        <is>
          <t>TMV HOLDINGS LLC</t>
        </is>
      </c>
      <c r="E26" s="92" t="inlineStr">
        <is>
          <t>10838 OMAHA TRACE</t>
        </is>
      </c>
      <c r="F26" s="92" t="inlineStr">
        <is>
          <t>UNION</t>
        </is>
      </c>
      <c r="G26" s="92" t="inlineStr">
        <is>
          <t>KY</t>
        </is>
      </c>
      <c r="H26" s="92" t="inlineStr">
        <is>
          <t>WAREHOUSE 20001 - 100000 SQ FT</t>
        </is>
      </c>
      <c r="I26" s="93" t="n">
        <v>48172</v>
      </c>
      <c r="J26" s="94">
        <f>I26/43560</f>
        <v/>
      </c>
      <c r="K26" s="93" t="n">
        <v>945</v>
      </c>
      <c r="L26" s="95">
        <f>I26/(K26^2)</f>
        <v/>
      </c>
      <c r="M26" s="92" t="inlineStr">
        <is>
          <t>Marginal 10-14k/45-60k</t>
        </is>
      </c>
      <c r="N26" s="92" t="inlineStr">
        <is>
          <t>B</t>
        </is>
      </c>
      <c r="O26" s="92" t="inlineStr">
        <is>
          <t>Regular .045-.055</t>
        </is>
      </c>
      <c r="P26" s="92" t="inlineStr">
        <is>
          <t>Low</t>
        </is>
      </c>
      <c r="Q26" s="92" t="inlineStr">
        <is>
          <t>Out-of-city KY</t>
        </is>
      </c>
      <c r="R26" s="92" t="inlineStr">
        <is>
          <t>Passive vehicle</t>
        </is>
      </c>
      <c r="S26" s="92" t="n">
        <v>3</v>
      </c>
      <c r="T26" s="96">
        <f>INDEX('Scoring Method'!$B$6:$B$9,MATCH(M26,'Scoring Method'!$A$6:$A$9,0))+INDEX('Scoring Method'!$B$12:$B$16,MATCH(N26,'Scoring Method'!$A$12:$A$16,0))+INDEX('Scoring Method'!$B$19:$B$22,MATCH(O26,'Scoring Method'!$A$19:$A$22,0))+INDEX('Scoring Method'!$B$25:$B$27,MATCH(P26,'Scoring Method'!$A$25:$A$27,0))</f>
        <v/>
      </c>
      <c r="U26" s="96">
        <f>(INDEX('Scoring Method'!$B$30:$B$33,MATCH(Q26,'Scoring Method'!$A$30:$A$33,0))+INDEX('Scoring Method'!$B$36:$B$42,MATCH(R26,'Scoring Method'!$A$36:$A$42,0))+INDEX('Scoring Method'!$B$45:$B$47,MATCH(IF(S26=1,"1",IF(S26=2,"2","3+")),'Scoring Method'!$A$45:$A$47,0)))/90*100</f>
        <v/>
      </c>
      <c r="V26" s="96">
        <f>T26*U26/100</f>
        <v/>
      </c>
      <c r="W26" s="93" t="n">
        <v>24000</v>
      </c>
      <c r="X26" s="92" t="inlineStr">
        <is>
          <t>X (minimal hazard)</t>
        </is>
      </c>
      <c r="Y26" s="93" t="n">
        <v>22750</v>
      </c>
      <c r="Z26" s="97">
        <f>W26/I26</f>
        <v/>
      </c>
      <c r="AA26" s="98">
        <f>MAX(0,(Y26-5000)/300)</f>
        <v/>
      </c>
      <c r="AB26" s="92" t="n"/>
      <c r="AC26" s="92" t="n">
        <v>1.09</v>
      </c>
      <c r="AD26" s="92" t="inlineStr">
        <is>
          <t>ok</t>
        </is>
      </c>
      <c r="AE26" s="92" t="inlineStr">
        <is>
          <t>Far oversize &gt;12k</t>
        </is>
      </c>
      <c r="AF26" s="96">
        <f>INDEX('Scoring Method'!$B$63:$B$71,MATCH(AE26,'Scoring Method'!$A$63:$A$71,0))+INDEX('Scoring Method'!$B$75:$B$79,MATCH("Ample &gt;=15k",'Scoring Method'!$A$75:$A$79,0))+INDEX('Scoring Method'!$B$343:$B$347,MATCH(X26,'Scoring Method'!$A$343:$A$347,0))+INDEX('Scoring Method'!$B$25:$B$27,MATCH(P26,'Scoring Method'!$A$25:$A$27,0))</f>
        <v/>
      </c>
      <c r="AG26" s="96">
        <f>AF26*U26/100</f>
        <v/>
      </c>
      <c r="AH26" s="92" t="inlineStr">
        <is>
          <t>LINK-GIS + LoopNet</t>
        </is>
      </c>
      <c r="AI26" s="99" t="n">
        <v>39.07098</v>
      </c>
      <c r="AJ26" s="99" t="n">
        <v>-84.50955999999999</v>
      </c>
      <c r="AK26" s="94" t="n">
        <v>1.03</v>
      </c>
      <c r="AL26" s="94" t="n">
        <v>1.37</v>
      </c>
      <c r="AM26" s="94" t="n">
        <v>2.11</v>
      </c>
      <c r="AN26" s="94" t="n">
        <v>0.9</v>
      </c>
      <c r="AO26" s="92" t="inlineStr">
        <is>
          <t>Fringe 0.75-1.25mi</t>
        </is>
      </c>
      <c r="AP26" s="92" t="inlineStr">
        <is>
          <t>Open span</t>
        </is>
      </c>
      <c r="AQ26" s="92" t="inlineStr">
        <is>
          <t>Ample &gt;=15k</t>
        </is>
      </c>
      <c r="AR26" s="100" t="n"/>
      <c r="AS26" s="96">
        <f>ROUND(INDEX('Scoring Method'!$B$63:$B$70,MATCH(AE26,'Scoring Method'!$A$63:$A$70,0))*0.625+INDEX('Scoring Method'!$B$105:$B$113,MATCH(AP26,'Scoring Method'!$A$105:$A$113,0))+INDEX('Scoring Method'!$B$74:$B$78,MATCH(AQ26,'Scoring Method'!$A$74:$A$78,0))*0.6667+INDEX('Scoring Method'!$B$96:$B$101,MATCH(AO26,'Scoring Method'!$A$96:$A$101,0))+INDEX('Scoring Method'!$B$343:$B$347,MATCH(X26,'Scoring Method'!$A$343:$A$347,0))*0.3333+INDEX('Scoring Method'!$B$25:$B$27,MATCH(P26,'Scoring Method'!$A$25:$A$27,0))*0.3333,1)</f>
        <v/>
      </c>
      <c r="AT26" s="96">
        <f>AS26*U26/100</f>
        <v/>
      </c>
      <c r="AU26" s="92" t="inlineStr">
        <is>
          <t>Eastside</t>
        </is>
      </c>
      <c r="AV26" s="92" t="n">
        <v>28</v>
      </c>
      <c r="AW26" s="101" t="inlineStr">
        <is>
          <t>ESTIMATED</t>
        </is>
      </c>
      <c r="AX26" s="92" t="inlineStr">
        <is>
          <t>High &lt;35</t>
        </is>
      </c>
      <c r="AY26" s="96">
        <f>ROUND(INDEX('Scoring Method'!$B$132:$B$140,MATCH(AE26,'Scoring Method'!$A$132:$A$140,0))+INDEX('Scoring Method'!$B$144:$B$152,MATCH(AP26,'Scoring Method'!$A$144:$A$152,0))+INDEX('Scoring Method'!$B$156:$B$160,MATCH(AQ26,'Scoring Method'!$A$156:$A$160,0))+INDEX('Scoring Method'!$B$164:$B$169,MATCH(AO26,'Scoring Method'!$A$164:$A$169,0))+INDEX('Scoring Method'!$B$173:$B$178,MATCH(AX26,'Scoring Method'!$A$173:$A$178,0))+INDEX('Scoring Method'!$B$349:$B$353,MATCH(X26,'Scoring Method'!$A$349:$A$353,0))+INDEX('Scoring Method'!$B$188:$B$190,MATCH(P26,'Scoring Method'!$A$188:$A$190,0)),1)</f>
        <v/>
      </c>
      <c r="AZ26" s="96">
        <f>AY26*U26/100</f>
        <v/>
      </c>
      <c r="BA26" s="92" t="inlineStr">
        <is>
          <t>No chain signal</t>
        </is>
      </c>
      <c r="BB26" s="94" t="n">
        <v>1</v>
      </c>
      <c r="BC26" s="102" t="inlineStr">
        <is>
          <t>Large 0.75-1.25 AC</t>
        </is>
      </c>
      <c r="BD26" s="94" t="n">
        <v>0.9</v>
      </c>
      <c r="BE26" s="96">
        <f>ROUND(INDEX('Scoring Method'!$B$268:$B$276,MATCH(AE26,'Scoring Method'!$A$268:$A$276,0))+INDEX('Scoring Method'!$B$280:$B$288,MATCH(AP26,'Scoring Method'!$A$280:$A$288,0))+INDEX('Scoring Method'!$B$292:$B$296,MATCH(AQ26,'Scoring Method'!$A$292:$A$296,0))+INDEX('Scoring Method'!$B$300:$B$305,MATCH(AO26,'Scoring Method'!$A$300:$A$305,0))+INDEX('Scoring Method'!$B$309:$B$314,MATCH(AX26,'Scoring Method'!$A$309:$A$314,0))+INDEX('Scoring Method'!$B$337:$B$341,MATCH(X26,'Scoring Method'!$A$337:$A$341,0))+INDEX('Scoring Method'!$B$324:$B$326,MATCH(P26,'Scoring Method'!$A$324:$A$326,0)),1)</f>
        <v/>
      </c>
      <c r="BF26" s="96">
        <f>ROUND(INDEX('Scoring Method'!$B$268:$B$276,MATCH(AE26,'Scoring Method'!$A$268:$A$276,0))*BB26*BD26+INDEX('Scoring Method'!$B$280:$B$288,MATCH(AP26,'Scoring Method'!$A$280:$A$288,0))*BM26*BB26*BD26+INDEX('Scoring Method'!$B$292:$B$296,MATCH(AQ26,'Scoring Method'!$A$292:$A$296,0))*BD26+INDEX('Scoring Method'!$B$300:$B$305,MATCH(AO26,'Scoring Method'!$A$300:$A$305,0))*BM26*BB26+INDEX('Scoring Method'!$B$309:$B$314,MATCH(AX26,'Scoring Method'!$A$309:$A$314,0))+INDEX('Scoring Method'!$B$337:$B$341,MATCH(X26,'Scoring Method'!$A$337:$A$341,0))+INDEX('Scoring Method'!$B$324:$B$326,MATCH(P26,'Scoring Method'!$A$324:$A$326,0)),1)</f>
        <v/>
      </c>
      <c r="BG26" s="102" t="inlineStr">
        <is>
          <t>Over (~$22,000/mo)</t>
        </is>
      </c>
      <c r="BH26" s="61" t="inlineStr">
        <is>
          <t>LI</t>
        </is>
      </c>
      <c r="BI26" s="61" t="inlineStr">
        <is>
          <t>Limited Industrial</t>
        </is>
      </c>
      <c r="BJ26" s="61" t="inlineStr"/>
      <c r="BK26" s="61" t="inlineStr"/>
      <c r="BL26" s="61" t="inlineStr">
        <is>
          <t>Bar prohibited, alt-path</t>
        </is>
      </c>
      <c r="BM26" s="61">
        <f>INDEX('Scoring Method'!$B$358:$B$363,MATCH(BL26,'Scoring Method'!$A$358:$A$363,0))</f>
        <v/>
      </c>
    </row>
    <row r="27" ht="15" customHeight="1" s="62">
      <c r="A27" s="92" t="n">
        <v>26</v>
      </c>
      <c r="B27" s="92" t="inlineStr">
        <is>
          <t>056-31-03-002.00</t>
        </is>
      </c>
      <c r="C27" s="92" t="inlineStr">
        <is>
          <t>21 E 32ND ST</t>
        </is>
      </c>
      <c r="D27" s="92" t="inlineStr">
        <is>
          <t>MW &amp; MW PROPERTIES INC</t>
        </is>
      </c>
      <c r="E27" s="92" t="inlineStr">
        <is>
          <t>PO BOX 15609</t>
        </is>
      </c>
      <c r="F27" s="92" t="inlineStr">
        <is>
          <t>COVINGTON</t>
        </is>
      </c>
      <c r="G27" s="92" t="inlineStr">
        <is>
          <t>KY</t>
        </is>
      </c>
      <c r="H27" s="92" t="inlineStr">
        <is>
          <t>OTHER RETAIL</t>
        </is>
      </c>
      <c r="I27" s="93" t="n">
        <v>42126</v>
      </c>
      <c r="J27" s="94">
        <f>I27/43560</f>
        <v/>
      </c>
      <c r="K27" s="93" t="n">
        <v>822.9</v>
      </c>
      <c r="L27" s="95">
        <f>I27/(K27^2)</f>
        <v/>
      </c>
      <c r="M27" s="92" t="inlineStr">
        <is>
          <t>Near 14-18k/32-45k</t>
        </is>
      </c>
      <c r="N27" s="92" t="inlineStr">
        <is>
          <t>C</t>
        </is>
      </c>
      <c r="O27" s="92" t="inlineStr">
        <is>
          <t>Compact &gt;=.055</t>
        </is>
      </c>
      <c r="P27" s="92" t="inlineStr">
        <is>
          <t>Low</t>
        </is>
      </c>
      <c r="Q27" s="92" t="inlineStr">
        <is>
          <t>Local absentee</t>
        </is>
      </c>
      <c r="R27" s="92" t="inlineStr">
        <is>
          <t>Passive vehicle</t>
        </is>
      </c>
      <c r="S27" s="92" t="n">
        <v>3</v>
      </c>
      <c r="T27" s="96">
        <f>INDEX('Scoring Method'!$B$6:$B$9,MATCH(M27,'Scoring Method'!$A$6:$A$9,0))+INDEX('Scoring Method'!$B$12:$B$16,MATCH(N27,'Scoring Method'!$A$12:$A$16,0))+INDEX('Scoring Method'!$B$19:$B$22,MATCH(O27,'Scoring Method'!$A$19:$A$22,0))+INDEX('Scoring Method'!$B$25:$B$27,MATCH(P27,'Scoring Method'!$A$25:$A$27,0))</f>
        <v/>
      </c>
      <c r="U27" s="96">
        <f>(INDEX('Scoring Method'!$B$30:$B$33,MATCH(Q27,'Scoring Method'!$A$30:$A$33,0))+INDEX('Scoring Method'!$B$36:$B$42,MATCH(R27,'Scoring Method'!$A$36:$A$42,0))+INDEX('Scoring Method'!$B$45:$B$47,MATCH(IF(S27=1,"1",IF(S27=2,"2","3+")),'Scoring Method'!$A$45:$A$47,0)))/90*100</f>
        <v/>
      </c>
      <c r="V27" s="96">
        <f>T27*U27/100</f>
        <v/>
      </c>
      <c r="W27" s="93" t="n">
        <v>37000</v>
      </c>
      <c r="X27" s="92" t="inlineStr">
        <is>
          <t>X (minimal hazard)</t>
        </is>
      </c>
      <c r="Y27" s="93" t="n">
        <v>0</v>
      </c>
      <c r="Z27" s="97">
        <f>W27/I27</f>
        <v/>
      </c>
      <c r="AA27" s="98">
        <f>MAX(0,(Y27-5000)/300)</f>
        <v/>
      </c>
      <c r="AB27" s="92" t="n"/>
      <c r="AC27" s="92" t="n">
        <v>0.97</v>
      </c>
      <c r="AD27" s="92" t="inlineStr">
        <is>
          <t>ok</t>
        </is>
      </c>
      <c r="AE27" s="92" t="inlineStr">
        <is>
          <t>Far oversize &gt;12k</t>
        </is>
      </c>
      <c r="AF27" s="96">
        <f>INDEX('Scoring Method'!$B$63:$B$71,MATCH(AE27,'Scoring Method'!$A$63:$A$71,0))+INDEX('Scoring Method'!$B$75:$B$79,MATCH("Insufficient &lt;2k",'Scoring Method'!$A$75:$A$79,0))+INDEX('Scoring Method'!$B$343:$B$347,MATCH(X27,'Scoring Method'!$A$343:$A$347,0))+INDEX('Scoring Method'!$B$25:$B$27,MATCH(P27,'Scoring Method'!$A$25:$A$27,0))</f>
        <v/>
      </c>
      <c r="AG27" s="96">
        <f>AF27*U27/100</f>
        <v/>
      </c>
      <c r="AH27" s="92" t="inlineStr">
        <is>
          <t>LINK-GIS + LoopNet</t>
        </is>
      </c>
      <c r="AI27" s="99" t="n">
        <v>39.05257</v>
      </c>
      <c r="AJ27" s="99" t="n">
        <v>-84.50158</v>
      </c>
      <c r="AK27" s="94" t="n">
        <v>2.37</v>
      </c>
      <c r="AL27" s="94" t="n">
        <v>2.67</v>
      </c>
      <c r="AM27" s="94" t="n">
        <v>3.43</v>
      </c>
      <c r="AN27" s="94" t="n">
        <v>2.23</v>
      </c>
      <c r="AO27" s="92" t="inlineStr">
        <is>
          <t>Distant 2-3mi</t>
        </is>
      </c>
      <c r="AP27" s="92" t="inlineStr">
        <is>
          <t>Retail shell</t>
        </is>
      </c>
      <c r="AQ27" s="92" t="inlineStr">
        <is>
          <t>Insufficient &lt;2k</t>
        </is>
      </c>
      <c r="AR27" s="100" t="n"/>
      <c r="AS27" s="96">
        <f>ROUND(INDEX('Scoring Method'!$B$63:$B$70,MATCH(AE27,'Scoring Method'!$A$63:$A$70,0))*0.625+INDEX('Scoring Method'!$B$105:$B$113,MATCH(AP27,'Scoring Method'!$A$105:$A$113,0))+INDEX('Scoring Method'!$B$74:$B$78,MATCH(AQ27,'Scoring Method'!$A$74:$A$78,0))*0.6667+INDEX('Scoring Method'!$B$96:$B$101,MATCH(AO27,'Scoring Method'!$A$96:$A$101,0))+INDEX('Scoring Method'!$B$343:$B$347,MATCH(X27,'Scoring Method'!$A$343:$A$347,0))*0.3333+INDEX('Scoring Method'!$B$25:$B$27,MATCH(P27,'Scoring Method'!$A$25:$A$27,0))*0.3333,1)</f>
        <v/>
      </c>
      <c r="AT27" s="96">
        <f>AS27*U27/100</f>
        <v/>
      </c>
      <c r="AU27" s="92" t="inlineStr">
        <is>
          <t>Latonia</t>
        </is>
      </c>
      <c r="AV27" s="92" t="n">
        <v>78</v>
      </c>
      <c r="AW27" s="92" t="inlineStr">
        <is>
          <t>Sourced</t>
        </is>
      </c>
      <c r="AX27" s="92" t="inlineStr">
        <is>
          <t>Safe 70-79</t>
        </is>
      </c>
      <c r="AY27" s="96">
        <f>ROUND(INDEX('Scoring Method'!$B$132:$B$140,MATCH(AE27,'Scoring Method'!$A$132:$A$140,0))+INDEX('Scoring Method'!$B$144:$B$152,MATCH(AP27,'Scoring Method'!$A$144:$A$152,0))+INDEX('Scoring Method'!$B$156:$B$160,MATCH(AQ27,'Scoring Method'!$A$156:$A$160,0))+INDEX('Scoring Method'!$B$164:$B$169,MATCH(AO27,'Scoring Method'!$A$164:$A$169,0))+INDEX('Scoring Method'!$B$173:$B$178,MATCH(AX27,'Scoring Method'!$A$173:$A$178,0))+INDEX('Scoring Method'!$B$349:$B$353,MATCH(X27,'Scoring Method'!$A$349:$A$353,0))+INDEX('Scoring Method'!$B$188:$B$190,MATCH(P27,'Scoring Method'!$A$188:$A$190,0)),1)</f>
        <v/>
      </c>
      <c r="AZ27" s="96">
        <f>AY27*U27/100</f>
        <v/>
      </c>
      <c r="BA27" s="92" t="inlineStr">
        <is>
          <t>No chain signal</t>
        </is>
      </c>
      <c r="BB27" s="94" t="n">
        <v>1</v>
      </c>
      <c r="BC27" s="102" t="inlineStr">
        <is>
          <t>Large 0.75-1.25 AC</t>
        </is>
      </c>
      <c r="BD27" s="94" t="n">
        <v>0.9</v>
      </c>
      <c r="BE27" s="96">
        <f>ROUND(INDEX('Scoring Method'!$B$268:$B$276,MATCH(AE27,'Scoring Method'!$A$268:$A$276,0))+INDEX('Scoring Method'!$B$280:$B$288,MATCH(AP27,'Scoring Method'!$A$280:$A$288,0))+INDEX('Scoring Method'!$B$292:$B$296,MATCH(AQ27,'Scoring Method'!$A$292:$A$296,0))+INDEX('Scoring Method'!$B$300:$B$305,MATCH(AO27,'Scoring Method'!$A$300:$A$305,0))+INDEX('Scoring Method'!$B$309:$B$314,MATCH(AX27,'Scoring Method'!$A$309:$A$314,0))+INDEX('Scoring Method'!$B$337:$B$341,MATCH(X27,'Scoring Method'!$A$337:$A$341,0))+INDEX('Scoring Method'!$B$324:$B$326,MATCH(P27,'Scoring Method'!$A$324:$A$326,0)),1)</f>
        <v/>
      </c>
      <c r="BF27" s="96">
        <f>ROUND(INDEX('Scoring Method'!$B$268:$B$276,MATCH(AE27,'Scoring Method'!$A$268:$A$276,0))*BB27*BD27+INDEX('Scoring Method'!$B$280:$B$288,MATCH(AP27,'Scoring Method'!$A$280:$A$288,0))*BM27*BB27*BD27+INDEX('Scoring Method'!$B$292:$B$296,MATCH(AQ27,'Scoring Method'!$A$292:$A$296,0))*BD27+INDEX('Scoring Method'!$B$300:$B$305,MATCH(AO27,'Scoring Method'!$A$300:$A$305,0))*BM27*BB27+INDEX('Scoring Method'!$B$309:$B$314,MATCH(AX27,'Scoring Method'!$A$309:$A$314,0))+INDEX('Scoring Method'!$B$337:$B$341,MATCH(X27,'Scoring Method'!$A$337:$A$341,0))+INDEX('Scoring Method'!$B$324:$B$326,MATCH(P27,'Scoring Method'!$A$324:$A$326,0)),1)</f>
        <v/>
      </c>
      <c r="BG27" s="102" t="inlineStr">
        <is>
          <t>Over (~$33,917/mo)</t>
        </is>
      </c>
      <c r="BH27" s="61" t="inlineStr">
        <is>
          <t>AUC</t>
        </is>
      </c>
      <c r="BI27" s="61" t="inlineStr">
        <is>
          <t>Auto-Urban Commercial</t>
        </is>
      </c>
      <c r="BJ27" s="61" t="inlineStr"/>
      <c r="BK27" s="61" t="inlineStr"/>
      <c r="BL27" s="61" t="inlineStr">
        <is>
          <t>Bar permitted</t>
        </is>
      </c>
      <c r="BM27" s="61">
        <f>INDEX('Scoring Method'!$B$358:$B$363,MATCH(BL27,'Scoring Method'!$A$358:$A$363,0))</f>
        <v/>
      </c>
    </row>
    <row r="28" ht="15" customHeight="1" s="62">
      <c r="A28" s="92" t="n">
        <v>27</v>
      </c>
      <c r="B28" s="92" t="inlineStr">
        <is>
          <t>055-13-08-020.00</t>
        </is>
      </c>
      <c r="C28" s="92" t="inlineStr">
        <is>
          <t>1442 MADISON AVE</t>
        </is>
      </c>
      <c r="D28" s="92" t="inlineStr">
        <is>
          <t>NEW HORIZON PROPERTIES LLC</t>
        </is>
      </c>
      <c r="E28" s="92" t="inlineStr">
        <is>
          <t>3000 READING RD</t>
        </is>
      </c>
      <c r="F28" s="92" t="inlineStr">
        <is>
          <t>CINCINNATI</t>
        </is>
      </c>
      <c r="G28" s="92" t="inlineStr">
        <is>
          <t>OH</t>
        </is>
      </c>
      <c r="H28" s="92" t="inlineStr">
        <is>
          <t>OFFICE BLDG 1 OR 2 STORY</t>
        </is>
      </c>
      <c r="I28" s="93" t="n">
        <v>15022</v>
      </c>
      <c r="J28" s="94">
        <f>I28/43560</f>
        <v/>
      </c>
      <c r="K28" s="93" t="n">
        <v>501</v>
      </c>
      <c r="L28" s="95">
        <f>I28/(K28^2)</f>
        <v/>
      </c>
      <c r="M28" s="92" t="inlineStr">
        <is>
          <t>Near 14-18k/32-45k</t>
        </is>
      </c>
      <c r="N28" s="92" t="inlineStr">
        <is>
          <t>E</t>
        </is>
      </c>
      <c r="O28" s="92" t="inlineStr">
        <is>
          <t>Compact &gt;=.055</t>
        </is>
      </c>
      <c r="P28" s="92" t="inlineStr">
        <is>
          <t>Low</t>
        </is>
      </c>
      <c r="Q28" s="92" t="inlineStr">
        <is>
          <t>Out-of-state</t>
        </is>
      </c>
      <c r="R28" s="92" t="inlineStr">
        <is>
          <t>Passive vehicle</t>
        </is>
      </c>
      <c r="S28" s="92" t="n">
        <v>2</v>
      </c>
      <c r="T28" s="96">
        <f>INDEX('Scoring Method'!$B$6:$B$9,MATCH(M28,'Scoring Method'!$A$6:$A$9,0))+INDEX('Scoring Method'!$B$12:$B$16,MATCH(N28,'Scoring Method'!$A$12:$A$16,0))+INDEX('Scoring Method'!$B$19:$B$22,MATCH(O28,'Scoring Method'!$A$19:$A$22,0))+INDEX('Scoring Method'!$B$25:$B$27,MATCH(P28,'Scoring Method'!$A$25:$A$27,0))</f>
        <v/>
      </c>
      <c r="U28" s="96">
        <f>(INDEX('Scoring Method'!$B$30:$B$33,MATCH(Q28,'Scoring Method'!$A$30:$A$33,0))+INDEX('Scoring Method'!$B$36:$B$42,MATCH(R28,'Scoring Method'!$A$36:$A$42,0))+INDEX('Scoring Method'!$B$45:$B$47,MATCH(IF(S28=1,"1",IF(S28=2,"2","3+")),'Scoring Method'!$A$45:$A$47,0)))/90*100</f>
        <v/>
      </c>
      <c r="V28" s="96">
        <f>T28*U28/100</f>
        <v/>
      </c>
      <c r="W28" s="93" t="n">
        <v>4250</v>
      </c>
      <c r="X28" s="92" t="inlineStr">
        <is>
          <t>X (minimal hazard)</t>
        </is>
      </c>
      <c r="Y28" s="93" t="n">
        <v>8550</v>
      </c>
      <c r="Z28" s="97" t="n"/>
      <c r="AA28" s="98">
        <f>MAX(0,(Y28-5000)/300)</f>
        <v/>
      </c>
      <c r="AB28" s="92" t="n"/>
      <c r="AC28" s="92" t="n"/>
      <c r="AD28" s="92" t="n"/>
      <c r="AE28" s="92" t="inlineStr">
        <is>
          <t>Large 4-6k</t>
        </is>
      </c>
      <c r="AF28" s="96">
        <f>INDEX('Scoring Method'!$B$63:$B$71,MATCH(AE28,'Scoring Method'!$A$63:$A$71,0))+INDEX('Scoring Method'!$B$75:$B$79,MATCH("Good 8-15k",'Scoring Method'!$A$75:$A$79,0))+INDEX('Scoring Method'!$B$343:$B$347,MATCH(X28,'Scoring Method'!$A$343:$A$347,0))+INDEX('Scoring Method'!$B$25:$B$27,MATCH(P28,'Scoring Method'!$A$25:$A$27,0))</f>
        <v/>
      </c>
      <c r="AG28" s="96">
        <f>AF28*U28/100</f>
        <v/>
      </c>
      <c r="AH28" s="92" t="inlineStr">
        <is>
          <t>LINK-GIS + LoopNet (2026-08-02)</t>
        </is>
      </c>
      <c r="AI28" s="99" t="n">
        <v>39.07402</v>
      </c>
      <c r="AJ28" s="99" t="n">
        <v>-84.50718999999999</v>
      </c>
      <c r="AK28" s="94" t="n">
        <v>0.92</v>
      </c>
      <c r="AL28" s="94" t="n">
        <v>1.16</v>
      </c>
      <c r="AM28" s="94" t="n">
        <v>1.92</v>
      </c>
      <c r="AN28" s="94" t="n">
        <v>0.72</v>
      </c>
      <c r="AO28" s="92" t="inlineStr">
        <is>
          <t>Near 0.35-0.75mi</t>
        </is>
      </c>
      <c r="AP28" s="92" t="inlineStr">
        <is>
          <t>Office/institutional</t>
        </is>
      </c>
      <c r="AQ28" s="92" t="inlineStr">
        <is>
          <t>Good 8-15k</t>
        </is>
      </c>
      <c r="AR28" s="100" t="n"/>
      <c r="AS28" s="96">
        <f>ROUND(INDEX('Scoring Method'!$B$63:$B$70,MATCH(AE28,'Scoring Method'!$A$63:$A$70,0))*0.625+INDEX('Scoring Method'!$B$105:$B$113,MATCH(AP28,'Scoring Method'!$A$105:$A$113,0))+INDEX('Scoring Method'!$B$74:$B$78,MATCH(AQ28,'Scoring Method'!$A$74:$A$78,0))*0.6667+INDEX('Scoring Method'!$B$96:$B$101,MATCH(AO28,'Scoring Method'!$A$96:$A$101,0))+INDEX('Scoring Method'!$B$343:$B$347,MATCH(X28,'Scoring Method'!$A$343:$A$347,0))*0.3333+INDEX('Scoring Method'!$B$25:$B$27,MATCH(P28,'Scoring Method'!$A$25:$A$27,0))*0.3333,1)</f>
        <v/>
      </c>
      <c r="AT28" s="96">
        <f>AS28*U28/100</f>
        <v/>
      </c>
      <c r="AU28" s="92" t="inlineStr">
        <is>
          <t>Eastside</t>
        </is>
      </c>
      <c r="AV28" s="92" t="n">
        <v>28</v>
      </c>
      <c r="AW28" s="101" t="inlineStr">
        <is>
          <t>ESTIMATED</t>
        </is>
      </c>
      <c r="AX28" s="92" t="inlineStr">
        <is>
          <t>High &lt;35</t>
        </is>
      </c>
      <c r="AY28" s="96">
        <f>ROUND(INDEX('Scoring Method'!$B$132:$B$140,MATCH(AE28,'Scoring Method'!$A$132:$A$140,0))+INDEX('Scoring Method'!$B$144:$B$152,MATCH(AP28,'Scoring Method'!$A$144:$A$152,0))+INDEX('Scoring Method'!$B$156:$B$160,MATCH(AQ28,'Scoring Method'!$A$156:$A$160,0))+INDEX('Scoring Method'!$B$164:$B$169,MATCH(AO28,'Scoring Method'!$A$164:$A$169,0))+INDEX('Scoring Method'!$B$173:$B$178,MATCH(AX28,'Scoring Method'!$A$173:$A$178,0))+INDEX('Scoring Method'!$B$349:$B$353,MATCH(X28,'Scoring Method'!$A$349:$A$353,0))+INDEX('Scoring Method'!$B$188:$B$190,MATCH(P28,'Scoring Method'!$A$188:$A$190,0)),1)</f>
        <v/>
      </c>
      <c r="AZ28" s="96">
        <f>AY28*U28/100</f>
        <v/>
      </c>
      <c r="BA28" s="92" t="inlineStr">
        <is>
          <t>No chain signal</t>
        </is>
      </c>
      <c r="BB28" s="94" t="n">
        <v>1</v>
      </c>
      <c r="BC28" s="102" t="inlineStr">
        <is>
          <t>Small 0.25-0.35 AC</t>
        </is>
      </c>
      <c r="BD28" s="94" t="n">
        <v>0.9</v>
      </c>
      <c r="BE28" s="96">
        <f>ROUND(INDEX('Scoring Method'!$B$268:$B$276,MATCH(AE28,'Scoring Method'!$A$268:$A$276,0))+INDEX('Scoring Method'!$B$280:$B$288,MATCH(AP28,'Scoring Method'!$A$280:$A$288,0))+INDEX('Scoring Method'!$B$292:$B$296,MATCH(AQ28,'Scoring Method'!$A$292:$A$296,0))+INDEX('Scoring Method'!$B$300:$B$305,MATCH(AO28,'Scoring Method'!$A$300:$A$305,0))+INDEX('Scoring Method'!$B$309:$B$314,MATCH(AX28,'Scoring Method'!$A$309:$A$314,0))+INDEX('Scoring Method'!$B$337:$B$341,MATCH(X28,'Scoring Method'!$A$337:$A$341,0))+INDEX('Scoring Method'!$B$324:$B$326,MATCH(P28,'Scoring Method'!$A$324:$A$326,0)),1)</f>
        <v/>
      </c>
      <c r="BF28" s="96">
        <f>ROUND(INDEX('Scoring Method'!$B$268:$B$276,MATCH(AE28,'Scoring Method'!$A$268:$A$276,0))*BB28*BD28+INDEX('Scoring Method'!$B$280:$B$288,MATCH(AP28,'Scoring Method'!$A$280:$A$288,0))*BM28*BB28*BD28+INDEX('Scoring Method'!$B$292:$B$296,MATCH(AQ28,'Scoring Method'!$A$292:$A$296,0))*BD28+INDEX('Scoring Method'!$B$300:$B$305,MATCH(AO28,'Scoring Method'!$A$300:$A$305,0))*BM28*BB28+INDEX('Scoring Method'!$B$309:$B$314,MATCH(AX28,'Scoring Method'!$A$309:$A$314,0))+INDEX('Scoring Method'!$B$337:$B$341,MATCH(X28,'Scoring Method'!$A$337:$A$341,0))+INDEX('Scoring Method'!$B$324:$B$326,MATCH(P28,'Scoring Method'!$A$324:$A$326,0)),1)</f>
        <v/>
      </c>
      <c r="BG28" s="92" t="inlineStr">
        <is>
          <t>Fits (~$3,896/mo)</t>
        </is>
      </c>
      <c r="BH28" s="61" t="inlineStr">
        <is>
          <t>DTC</t>
        </is>
      </c>
      <c r="BI28" s="61" t="inlineStr">
        <is>
          <t>Downtown Core</t>
        </is>
      </c>
      <c r="BJ28" s="61" t="inlineStr"/>
      <c r="BK28" s="61" t="inlineStr"/>
      <c r="BL28" s="61" t="inlineStr">
        <is>
          <t>Bar permitted</t>
        </is>
      </c>
      <c r="BM28" s="61">
        <f>INDEX('Scoring Method'!$B$358:$B$363,MATCH(BL28,'Scoring Method'!$A$358:$A$363,0))</f>
        <v/>
      </c>
    </row>
    <row r="29" ht="15" customHeight="1" s="62">
      <c r="A29" s="92" t="n">
        <v>28</v>
      </c>
      <c r="B29" s="92" t="inlineStr">
        <is>
          <t>058-40-00-004.02</t>
        </is>
      </c>
      <c r="C29" s="92" t="inlineStr">
        <is>
          <t>3865 WOLF RD</t>
        </is>
      </c>
      <c r="D29" s="92" t="inlineStr">
        <is>
          <t>PIERSON JACOB &amp; LYNNE</t>
        </is>
      </c>
      <c r="E29" s="92" t="inlineStr">
        <is>
          <t>11935 S HERDING AVE</t>
        </is>
      </c>
      <c r="F29" s="92" t="inlineStr">
        <is>
          <t>ALSIP</t>
        </is>
      </c>
      <c r="G29" s="92" t="inlineStr">
        <is>
          <t>IL</t>
        </is>
      </c>
      <c r="H29" s="92" t="inlineStr">
        <is>
          <t>MISCELLANEOUS IMPROVEMENT</t>
        </is>
      </c>
      <c r="I29" s="93" t="n">
        <v>16607</v>
      </c>
      <c r="J29" s="94">
        <f>I29/43560</f>
        <v/>
      </c>
      <c r="K29" s="93" t="n">
        <v>531.6</v>
      </c>
      <c r="L29" s="95">
        <f>I29/(K29^2)</f>
        <v/>
      </c>
      <c r="M29" s="92" t="inlineStr">
        <is>
          <t>Near 14-18k/32-45k</t>
        </is>
      </c>
      <c r="N29" s="92" t="inlineStr">
        <is>
          <t>D</t>
        </is>
      </c>
      <c r="O29" s="92" t="inlineStr">
        <is>
          <t>Compact &gt;=.055</t>
        </is>
      </c>
      <c r="P29" s="92" t="inlineStr">
        <is>
          <t>Low</t>
        </is>
      </c>
      <c r="Q29" s="92" t="inlineStr">
        <is>
          <t>Out-of-state</t>
        </is>
      </c>
      <c r="R29" s="92" t="inlineStr">
        <is>
          <t>Individual</t>
        </is>
      </c>
      <c r="S29" s="92" t="n">
        <v>1</v>
      </c>
      <c r="T29" s="96">
        <f>INDEX('Scoring Method'!$B$6:$B$9,MATCH(M29,'Scoring Method'!$A$6:$A$9,0))+INDEX('Scoring Method'!$B$12:$B$16,MATCH(N29,'Scoring Method'!$A$12:$A$16,0))+INDEX('Scoring Method'!$B$19:$B$22,MATCH(O29,'Scoring Method'!$A$19:$A$22,0))+INDEX('Scoring Method'!$B$25:$B$27,MATCH(P29,'Scoring Method'!$A$25:$A$27,0))</f>
        <v/>
      </c>
      <c r="U29" s="96">
        <f>(INDEX('Scoring Method'!$B$30:$B$33,MATCH(Q29,'Scoring Method'!$A$30:$A$33,0))+INDEX('Scoring Method'!$B$36:$B$42,MATCH(R29,'Scoring Method'!$A$36:$A$42,0))+INDEX('Scoring Method'!$B$45:$B$47,MATCH(IF(S29=1,"1",IF(S29=2,"2","3+")),'Scoring Method'!$A$45:$A$47,0)))/90*100</f>
        <v/>
      </c>
      <c r="V29" s="96">
        <f>T29*U29/100</f>
        <v/>
      </c>
      <c r="W29" s="93" t="n">
        <v>905</v>
      </c>
      <c r="X29" s="92" t="inlineStr">
        <is>
          <t>X (minimal hazard)</t>
        </is>
      </c>
      <c r="Y29" s="93" t="n">
        <v>15525</v>
      </c>
      <c r="Z29" s="97">
        <f>W29/I29</f>
        <v/>
      </c>
      <c r="AA29" s="98">
        <f>MAX(0,(Y29-5000)/300)</f>
        <v/>
      </c>
      <c r="AB29" s="92" t="n"/>
      <c r="AC29" s="92" t="n">
        <v>0.25</v>
      </c>
      <c r="AD29" s="102" t="inlineStr">
        <is>
          <t>CHECK</t>
        </is>
      </c>
      <c r="AE29" s="92" t="inlineStr">
        <is>
          <t>Too small &lt;1.2k</t>
        </is>
      </c>
      <c r="AF29" s="96">
        <f>INDEX('Scoring Method'!$B$63:$B$71,MATCH(AE29,'Scoring Method'!$A$63:$A$71,0))+INDEX('Scoring Method'!$B$75:$B$79,MATCH("Ample &gt;=15k",'Scoring Method'!$A$75:$A$79,0))+INDEX('Scoring Method'!$B$343:$B$347,MATCH(X29,'Scoring Method'!$A$343:$A$347,0))+INDEX('Scoring Method'!$B$25:$B$27,MATCH(P29,'Scoring Method'!$A$25:$A$27,0))</f>
        <v/>
      </c>
      <c r="AG29" s="96">
        <f>AF29*U29/100</f>
        <v/>
      </c>
      <c r="AH29" s="92" t="inlineStr">
        <is>
          <t>LINK-GIS + LoopNet</t>
        </is>
      </c>
      <c r="AI29" s="99" t="n">
        <v>38.98829</v>
      </c>
      <c r="AJ29" s="99" t="n">
        <v>-84.49155</v>
      </c>
      <c r="AK29" s="94" t="n">
        <v>6.79</v>
      </c>
      <c r="AL29" s="94" t="n">
        <v>7.14</v>
      </c>
      <c r="AM29" s="94" t="n">
        <v>7.9</v>
      </c>
      <c r="AN29" s="94" t="n">
        <v>6.69</v>
      </c>
      <c r="AO29" s="92" t="inlineStr">
        <is>
          <t>Remote &gt;3mi</t>
        </is>
      </c>
      <c r="AP29" s="92" t="inlineStr">
        <is>
          <t>Lot / minimal bldg</t>
        </is>
      </c>
      <c r="AQ29" s="92" t="inlineStr">
        <is>
          <t>Ample &gt;=15k</t>
        </is>
      </c>
      <c r="AR29" s="100" t="n"/>
      <c r="AS29" s="96">
        <f>ROUND(INDEX('Scoring Method'!$B$63:$B$70,MATCH(AE29,'Scoring Method'!$A$63:$A$70,0))*0.625+INDEX('Scoring Method'!$B$105:$B$113,MATCH(AP29,'Scoring Method'!$A$105:$A$113,0))+INDEX('Scoring Method'!$B$74:$B$78,MATCH(AQ29,'Scoring Method'!$A$74:$A$78,0))*0.6667+INDEX('Scoring Method'!$B$96:$B$101,MATCH(AO29,'Scoring Method'!$A$96:$A$101,0))+INDEX('Scoring Method'!$B$343:$B$347,MATCH(X29,'Scoring Method'!$A$343:$A$347,0))*0.3333+INDEX('Scoring Method'!$B$25:$B$27,MATCH(P29,'Scoring Method'!$A$25:$A$27,0))*0.3333,1)</f>
        <v/>
      </c>
      <c r="AT29" s="96">
        <f>AS29*U29/100</f>
        <v/>
      </c>
      <c r="AU29" s="92" t="inlineStr">
        <is>
          <t>South Covington</t>
        </is>
      </c>
      <c r="AV29" s="92" t="n">
        <v>88</v>
      </c>
      <c r="AW29" s="92" t="inlineStr">
        <is>
          <t>Sourced</t>
        </is>
      </c>
      <c r="AX29" s="92" t="inlineStr">
        <is>
          <t>Very safe 80+</t>
        </is>
      </c>
      <c r="AY29" s="96">
        <f>ROUND(INDEX('Scoring Method'!$B$132:$B$140,MATCH(AE29,'Scoring Method'!$A$132:$A$140,0))+INDEX('Scoring Method'!$B$144:$B$152,MATCH(AP29,'Scoring Method'!$A$144:$A$152,0))+INDEX('Scoring Method'!$B$156:$B$160,MATCH(AQ29,'Scoring Method'!$A$156:$A$160,0))+INDEX('Scoring Method'!$B$164:$B$169,MATCH(AO29,'Scoring Method'!$A$164:$A$169,0))+INDEX('Scoring Method'!$B$173:$B$178,MATCH(AX29,'Scoring Method'!$A$173:$A$178,0))+INDEX('Scoring Method'!$B$349:$B$353,MATCH(X29,'Scoring Method'!$A$349:$A$353,0))+INDEX('Scoring Method'!$B$188:$B$190,MATCH(P29,'Scoring Method'!$A$188:$A$190,0)),1)</f>
        <v/>
      </c>
      <c r="AZ29" s="96">
        <f>AY29*U29/100</f>
        <v/>
      </c>
      <c r="BA29" s="92" t="inlineStr">
        <is>
          <t>No chain signal</t>
        </is>
      </c>
      <c r="BB29" s="94" t="n">
        <v>1</v>
      </c>
      <c r="BC29" s="92" t="inlineStr">
        <is>
          <t>Right-sized 0.35-0.75 AC</t>
        </is>
      </c>
      <c r="BD29" s="94" t="n">
        <v>1</v>
      </c>
      <c r="BE29" s="96">
        <f>ROUND(INDEX('Scoring Method'!$B$268:$B$276,MATCH(AE29,'Scoring Method'!$A$268:$A$276,0))+INDEX('Scoring Method'!$B$280:$B$288,MATCH(AP29,'Scoring Method'!$A$280:$A$288,0))+INDEX('Scoring Method'!$B$292:$B$296,MATCH(AQ29,'Scoring Method'!$A$292:$A$296,0))+INDEX('Scoring Method'!$B$300:$B$305,MATCH(AO29,'Scoring Method'!$A$300:$A$305,0))+INDEX('Scoring Method'!$B$309:$B$314,MATCH(AX29,'Scoring Method'!$A$309:$A$314,0))+INDEX('Scoring Method'!$B$337:$B$341,MATCH(X29,'Scoring Method'!$A$337:$A$341,0))+INDEX('Scoring Method'!$B$324:$B$326,MATCH(P29,'Scoring Method'!$A$324:$A$326,0)),1)</f>
        <v/>
      </c>
      <c r="BF29" s="96">
        <f>ROUND(INDEX('Scoring Method'!$B$268:$B$276,MATCH(AE29,'Scoring Method'!$A$268:$A$276,0))*BB29*BD29+INDEX('Scoring Method'!$B$280:$B$288,MATCH(AP29,'Scoring Method'!$A$280:$A$288,0))*BM29*BB29*BD29+INDEX('Scoring Method'!$B$292:$B$296,MATCH(AQ29,'Scoring Method'!$A$292:$A$296,0))*BD29+INDEX('Scoring Method'!$B$300:$B$305,MATCH(AO29,'Scoring Method'!$A$300:$A$305,0))*BM29*BB29+INDEX('Scoring Method'!$B$309:$B$314,MATCH(AX29,'Scoring Method'!$A$309:$A$314,0))+INDEX('Scoring Method'!$B$337:$B$341,MATCH(X29,'Scoring Method'!$A$337:$A$341,0))+INDEX('Scoring Method'!$B$324:$B$326,MATCH(P29,'Scoring Method'!$A$324:$A$326,0)),1)</f>
        <v/>
      </c>
      <c r="BG29" s="92" t="inlineStr">
        <is>
          <t>Fits (~$830/mo)</t>
        </is>
      </c>
      <c r="BH29" s="61" t="inlineStr">
        <is>
          <t>SR</t>
        </is>
      </c>
      <c r="BI29" s="61" t="inlineStr">
        <is>
          <t>Suburban Residential</t>
        </is>
      </c>
      <c r="BJ29" s="61" t="inlineStr"/>
      <c r="BK29" s="61" t="inlineStr"/>
      <c r="BL29" s="61" t="inlineStr">
        <is>
          <t>No path</t>
        </is>
      </c>
      <c r="BM29" s="61">
        <f>INDEX('Scoring Method'!$B$358:$B$363,MATCH(BL29,'Scoring Method'!$A$358:$A$363,0))</f>
        <v/>
      </c>
    </row>
    <row r="30" ht="15" customHeight="1" s="62">
      <c r="A30" s="92" t="n">
        <v>29</v>
      </c>
      <c r="B30" s="92" t="inlineStr">
        <is>
          <t>056-11-09-002.00</t>
        </is>
      </c>
      <c r="C30" s="92" t="inlineStr">
        <is>
          <t>3024 MADISON AVE</t>
        </is>
      </c>
      <c r="D30" s="92" t="inlineStr">
        <is>
          <t>SCHEWE STEPHEN &amp; DEMOSS LYNN</t>
        </is>
      </c>
      <c r="E30" s="92" t="inlineStr">
        <is>
          <t>504 WOLFZORN CT</t>
        </is>
      </c>
      <c r="F30" s="92" t="inlineStr">
        <is>
          <t>FT WRIGHT</t>
        </is>
      </c>
      <c r="G30" s="92" t="inlineStr">
        <is>
          <t>KY</t>
        </is>
      </c>
      <c r="H30" s="92" t="inlineStr">
        <is>
          <t>RESTAURANT CAFE/BAR</t>
        </is>
      </c>
      <c r="I30" s="93" t="n">
        <v>14919</v>
      </c>
      <c r="J30" s="94">
        <f>I30/43560</f>
        <v/>
      </c>
      <c r="K30" s="93" t="n">
        <v>498.3</v>
      </c>
      <c r="L30" s="95">
        <f>I30/(K30^2)</f>
        <v/>
      </c>
      <c r="M30" s="92" t="inlineStr">
        <is>
          <t>Near 14-18k/32-45k</t>
        </is>
      </c>
      <c r="N30" s="92" t="inlineStr">
        <is>
          <t>C</t>
        </is>
      </c>
      <c r="O30" s="92" t="inlineStr">
        <is>
          <t>Compact &gt;=.055</t>
        </is>
      </c>
      <c r="P30" s="92" t="inlineStr">
        <is>
          <t>Low</t>
        </is>
      </c>
      <c r="Q30" s="92" t="inlineStr">
        <is>
          <t>Out-of-city KY</t>
        </is>
      </c>
      <c r="R30" s="92" t="inlineStr">
        <is>
          <t>Individual</t>
        </is>
      </c>
      <c r="S30" s="92" t="n">
        <v>1</v>
      </c>
      <c r="T30" s="96">
        <f>INDEX('Scoring Method'!$B$6:$B$9,MATCH(M30,'Scoring Method'!$A$6:$A$9,0))+INDEX('Scoring Method'!$B$12:$B$16,MATCH(N30,'Scoring Method'!$A$12:$A$16,0))+INDEX('Scoring Method'!$B$19:$B$22,MATCH(O30,'Scoring Method'!$A$19:$A$22,0))+INDEX('Scoring Method'!$B$25:$B$27,MATCH(P30,'Scoring Method'!$A$25:$A$27,0))</f>
        <v/>
      </c>
      <c r="U30" s="96">
        <f>(INDEX('Scoring Method'!$B$30:$B$33,MATCH(Q30,'Scoring Method'!$A$30:$A$33,0))+INDEX('Scoring Method'!$B$36:$B$42,MATCH(R30,'Scoring Method'!$A$36:$A$42,0))+INDEX('Scoring Method'!$B$45:$B$47,MATCH(IF(S30=1,"1",IF(S30=2,"2","3+")),'Scoring Method'!$A$45:$A$47,0)))/90*100</f>
        <v/>
      </c>
      <c r="V30" s="96">
        <f>T30*U30/100</f>
        <v/>
      </c>
      <c r="W30" s="93" t="n">
        <v>616</v>
      </c>
      <c r="X30" s="92" t="inlineStr">
        <is>
          <t>X (minimal hazard)</t>
        </is>
      </c>
      <c r="Y30" s="93" t="n">
        <v>12650</v>
      </c>
      <c r="Z30" s="97">
        <f>W30/I30</f>
        <v/>
      </c>
      <c r="AA30" s="98">
        <f>MAX(0,(Y30-5000)/300)</f>
        <v/>
      </c>
      <c r="AB30" s="92" t="n"/>
      <c r="AC30" s="92" t="n">
        <v>0.35</v>
      </c>
      <c r="AD30" s="92" t="inlineStr">
        <is>
          <t>ok</t>
        </is>
      </c>
      <c r="AE30" s="92" t="inlineStr">
        <is>
          <t>Too small &lt;1.2k</t>
        </is>
      </c>
      <c r="AF30" s="96">
        <f>INDEX('Scoring Method'!$B$63:$B$71,MATCH(AE30,'Scoring Method'!$A$63:$A$71,0))+INDEX('Scoring Method'!$B$75:$B$79,MATCH("Good 8-15k",'Scoring Method'!$A$75:$A$79,0))+INDEX('Scoring Method'!$B$343:$B$347,MATCH(X30,'Scoring Method'!$A$343:$A$347,0))+INDEX('Scoring Method'!$B$25:$B$27,MATCH(P30,'Scoring Method'!$A$25:$A$27,0))</f>
        <v/>
      </c>
      <c r="AG30" s="96">
        <f>AF30*U30/100</f>
        <v/>
      </c>
      <c r="AH30" s="92" t="inlineStr">
        <is>
          <t>LINK-GIS + LoopNet</t>
        </is>
      </c>
      <c r="AI30" s="99" t="n">
        <v>39.05226</v>
      </c>
      <c r="AJ30" s="99" t="n">
        <v>-84.51639</v>
      </c>
      <c r="AK30" s="94" t="n">
        <v>2.22</v>
      </c>
      <c r="AL30" s="94" t="n">
        <v>2.7</v>
      </c>
      <c r="AM30" s="94" t="n">
        <v>3.41</v>
      </c>
      <c r="AN30" s="94" t="n">
        <v>2.21</v>
      </c>
      <c r="AO30" s="92" t="inlineStr">
        <is>
          <t>Distant 2-3mi</t>
        </is>
      </c>
      <c r="AP30" s="92" t="inlineStr">
        <is>
          <t>Built-out kitchen</t>
        </is>
      </c>
      <c r="AQ30" s="92" t="inlineStr">
        <is>
          <t>Good 8-15k</t>
        </is>
      </c>
      <c r="AR30" s="100" t="n"/>
      <c r="AS30" s="96">
        <f>ROUND(INDEX('Scoring Method'!$B$63:$B$70,MATCH(AE30,'Scoring Method'!$A$63:$A$70,0))*0.625+INDEX('Scoring Method'!$B$105:$B$113,MATCH(AP30,'Scoring Method'!$A$105:$A$113,0))+INDEX('Scoring Method'!$B$74:$B$78,MATCH(AQ30,'Scoring Method'!$A$74:$A$78,0))*0.6667+INDEX('Scoring Method'!$B$96:$B$101,MATCH(AO30,'Scoring Method'!$A$96:$A$101,0))+INDEX('Scoring Method'!$B$343:$B$347,MATCH(X30,'Scoring Method'!$A$343:$A$347,0))*0.3333+INDEX('Scoring Method'!$B$25:$B$27,MATCH(P30,'Scoring Method'!$A$25:$A$27,0))*0.3333,1)</f>
        <v/>
      </c>
      <c r="AT30" s="96">
        <f>AS30*U30/100</f>
        <v/>
      </c>
      <c r="AU30" s="92" t="inlineStr">
        <is>
          <t>Latonia Rosedale</t>
        </is>
      </c>
      <c r="AV30" s="92" t="n">
        <v>68</v>
      </c>
      <c r="AW30" s="92" t="inlineStr">
        <is>
          <t>Sourced</t>
        </is>
      </c>
      <c r="AX30" s="92" t="inlineStr">
        <is>
          <t>Moderate 60-69</t>
        </is>
      </c>
      <c r="AY30" s="96">
        <f>ROUND(INDEX('Scoring Method'!$B$132:$B$140,MATCH(AE30,'Scoring Method'!$A$132:$A$140,0))+INDEX('Scoring Method'!$B$144:$B$152,MATCH(AP30,'Scoring Method'!$A$144:$A$152,0))+INDEX('Scoring Method'!$B$156:$B$160,MATCH(AQ30,'Scoring Method'!$A$156:$A$160,0))+INDEX('Scoring Method'!$B$164:$B$169,MATCH(AO30,'Scoring Method'!$A$164:$A$169,0))+INDEX('Scoring Method'!$B$173:$B$178,MATCH(AX30,'Scoring Method'!$A$173:$A$178,0))+INDEX('Scoring Method'!$B$349:$B$353,MATCH(X30,'Scoring Method'!$A$349:$A$353,0))+INDEX('Scoring Method'!$B$188:$B$190,MATCH(P30,'Scoring Method'!$A$188:$A$190,0)),1)</f>
        <v/>
      </c>
      <c r="AZ30" s="96">
        <f>AY30*U30/100</f>
        <v/>
      </c>
      <c r="BA30" s="92" t="inlineStr">
        <is>
          <t>No chain signal</t>
        </is>
      </c>
      <c r="BB30" s="94" t="n">
        <v>1</v>
      </c>
      <c r="BC30" s="102" t="inlineStr">
        <is>
          <t>Small 0.25-0.35 AC</t>
        </is>
      </c>
      <c r="BD30" s="94" t="n">
        <v>0.9</v>
      </c>
      <c r="BE30" s="96">
        <f>ROUND(INDEX('Scoring Method'!$B$268:$B$276,MATCH(AE30,'Scoring Method'!$A$268:$A$276,0))+INDEX('Scoring Method'!$B$280:$B$288,MATCH(AP30,'Scoring Method'!$A$280:$A$288,0))+INDEX('Scoring Method'!$B$292:$B$296,MATCH(AQ30,'Scoring Method'!$A$292:$A$296,0))+INDEX('Scoring Method'!$B$300:$B$305,MATCH(AO30,'Scoring Method'!$A$300:$A$305,0))+INDEX('Scoring Method'!$B$309:$B$314,MATCH(AX30,'Scoring Method'!$A$309:$A$314,0))+INDEX('Scoring Method'!$B$337:$B$341,MATCH(X30,'Scoring Method'!$A$337:$A$341,0))+INDEX('Scoring Method'!$B$324:$B$326,MATCH(P30,'Scoring Method'!$A$324:$A$326,0)),1)</f>
        <v/>
      </c>
      <c r="BF30" s="96">
        <f>ROUND(INDEX('Scoring Method'!$B$268:$B$276,MATCH(AE30,'Scoring Method'!$A$268:$A$276,0))*BB30*BD30+INDEX('Scoring Method'!$B$280:$B$288,MATCH(AP30,'Scoring Method'!$A$280:$A$288,0))*BM30*BB30*BD30+INDEX('Scoring Method'!$B$292:$B$296,MATCH(AQ30,'Scoring Method'!$A$292:$A$296,0))*BD30+INDEX('Scoring Method'!$B$300:$B$305,MATCH(AO30,'Scoring Method'!$A$300:$A$305,0))*BM30*BB30+INDEX('Scoring Method'!$B$309:$B$314,MATCH(AX30,'Scoring Method'!$A$309:$A$314,0))+INDEX('Scoring Method'!$B$337:$B$341,MATCH(X30,'Scoring Method'!$A$337:$A$341,0))+INDEX('Scoring Method'!$B$324:$B$326,MATCH(P30,'Scoring Method'!$A$324:$A$326,0)),1)</f>
        <v/>
      </c>
      <c r="BG30" s="92" t="inlineStr">
        <is>
          <t>Fits (~$565/mo)</t>
        </is>
      </c>
      <c r="BH30" s="61" t="inlineStr">
        <is>
          <t>SU</t>
        </is>
      </c>
      <c r="BI30" s="61" t="inlineStr">
        <is>
          <t>Semi-Urban Residential</t>
        </is>
      </c>
      <c r="BJ30" s="61" t="inlineStr"/>
      <c r="BK30" s="61" t="inlineStr"/>
      <c r="BL30" s="61" t="inlineStr">
        <is>
          <t>SU corner unverified</t>
        </is>
      </c>
      <c r="BM30" s="61">
        <f>INDEX('Scoring Method'!$B$358:$B$363,MATCH(BL30,'Scoring Method'!$A$358:$A$363,0))</f>
        <v/>
      </c>
    </row>
    <row r="31" ht="15" customHeight="1" s="62">
      <c r="A31" s="92" t="n">
        <v>30</v>
      </c>
      <c r="B31" s="92" t="inlineStr">
        <is>
          <t>044-00-00-004.01</t>
        </is>
      </c>
      <c r="C31" s="92" t="inlineStr">
        <is>
          <t>1016 MARY LAIDLEY DR</t>
        </is>
      </c>
      <c r="D31" s="92" t="inlineStr">
        <is>
          <t>BARNETT HOLDINGS LLC</t>
        </is>
      </c>
      <c r="E31" s="92" t="inlineStr">
        <is>
          <t>1012 MARY LAIDLEY DR</t>
        </is>
      </c>
      <c r="F31" s="92" t="inlineStr">
        <is>
          <t>COVINGTON</t>
        </is>
      </c>
      <c r="G31" s="92" t="inlineStr">
        <is>
          <t>KY</t>
        </is>
      </c>
      <c r="H31" s="92" t="inlineStr">
        <is>
          <t>SMALL SHOP</t>
        </is>
      </c>
      <c r="I31" s="93" t="n">
        <v>54313</v>
      </c>
      <c r="J31" s="94">
        <f>I31/43560</f>
        <v/>
      </c>
      <c r="K31" s="93" t="n">
        <v>935.6</v>
      </c>
      <c r="L31" s="95">
        <f>I31/(K31^2)</f>
        <v/>
      </c>
      <c r="M31" s="92" t="inlineStr">
        <is>
          <t>Marginal 10-14k/45-60k</t>
        </is>
      </c>
      <c r="N31" s="92" t="inlineStr">
        <is>
          <t>A</t>
        </is>
      </c>
      <c r="O31" s="92" t="inlineStr">
        <is>
          <t>Compact &gt;=.055</t>
        </is>
      </c>
      <c r="P31" s="92" t="inlineStr">
        <is>
          <t>Low</t>
        </is>
      </c>
      <c r="Q31" s="92" t="inlineStr">
        <is>
          <t>Local absentee</t>
        </is>
      </c>
      <c r="R31" s="92" t="inlineStr">
        <is>
          <t>Passive vehicle</t>
        </is>
      </c>
      <c r="S31" s="92" t="n">
        <v>2</v>
      </c>
      <c r="T31" s="96">
        <f>INDEX('Scoring Method'!$B$6:$B$9,MATCH(M31,'Scoring Method'!$A$6:$A$9,0))+INDEX('Scoring Method'!$B$12:$B$16,MATCH(N31,'Scoring Method'!$A$12:$A$16,0))+INDEX('Scoring Method'!$B$19:$B$22,MATCH(O31,'Scoring Method'!$A$19:$A$22,0))+INDEX('Scoring Method'!$B$25:$B$27,MATCH(P31,'Scoring Method'!$A$25:$A$27,0))</f>
        <v/>
      </c>
      <c r="U31" s="96">
        <f>(INDEX('Scoring Method'!$B$30:$B$33,MATCH(Q31,'Scoring Method'!$A$30:$A$33,0))+INDEX('Scoring Method'!$B$36:$B$42,MATCH(R31,'Scoring Method'!$A$36:$A$42,0))+INDEX('Scoring Method'!$B$45:$B$47,MATCH(IF(S31=1,"1",IF(S31=2,"2","3+")),'Scoring Method'!$A$45:$A$47,0)))/90*100</f>
        <v/>
      </c>
      <c r="V31" s="96">
        <f>T31*U31/100</f>
        <v/>
      </c>
      <c r="W31" s="93" t="n">
        <v>9578</v>
      </c>
      <c r="X31" s="92" t="inlineStr">
        <is>
          <t>X (minimal hazard)</t>
        </is>
      </c>
      <c r="Y31" s="93" t="n">
        <v>43000</v>
      </c>
      <c r="Z31" s="97">
        <f>W31/I31</f>
        <v/>
      </c>
      <c r="AA31" s="98">
        <f>MAX(0,(Y31-5000)/300)</f>
        <v/>
      </c>
      <c r="AB31" s="92" t="n"/>
      <c r="AC31" s="92" t="n">
        <v>1.26</v>
      </c>
      <c r="AD31" s="92" t="inlineStr">
        <is>
          <t>ok</t>
        </is>
      </c>
      <c r="AE31" s="92" t="inlineStr">
        <is>
          <t>Oversize 6-12k</t>
        </is>
      </c>
      <c r="AF31" s="96">
        <f>INDEX('Scoring Method'!$B$63:$B$71,MATCH(AE31,'Scoring Method'!$A$63:$A$71,0))+INDEX('Scoring Method'!$B$75:$B$79,MATCH("Ample &gt;=15k",'Scoring Method'!$A$75:$A$79,0))+INDEX('Scoring Method'!$B$343:$B$347,MATCH(X31,'Scoring Method'!$A$343:$A$347,0))+INDEX('Scoring Method'!$B$25:$B$27,MATCH(P31,'Scoring Method'!$A$25:$A$27,0))</f>
        <v/>
      </c>
      <c r="AG31" s="96">
        <f>AF31*U31/100</f>
        <v/>
      </c>
      <c r="AH31" s="92" t="inlineStr">
        <is>
          <t>LINK-GIS + LoopNet</t>
        </is>
      </c>
      <c r="AI31" s="99" t="n">
        <v>39.00269</v>
      </c>
      <c r="AJ31" s="99" t="n">
        <v>-84.53418000000001</v>
      </c>
      <c r="AK31" s="94" t="n">
        <v>5.71</v>
      </c>
      <c r="AL31" s="94" t="n">
        <v>6.25</v>
      </c>
      <c r="AM31" s="94" t="n">
        <v>6.93</v>
      </c>
      <c r="AN31" s="94" t="n">
        <v>5.71</v>
      </c>
      <c r="AO31" s="92" t="inlineStr">
        <is>
          <t>Remote &gt;3mi</t>
        </is>
      </c>
      <c r="AP31" s="92" t="inlineStr">
        <is>
          <t>Open span</t>
        </is>
      </c>
      <c r="AQ31" s="92" t="inlineStr">
        <is>
          <t>Ample &gt;=15k</t>
        </is>
      </c>
      <c r="AR31" s="100" t="n"/>
      <c r="AS31" s="96">
        <f>ROUND(INDEX('Scoring Method'!$B$63:$B$70,MATCH(AE31,'Scoring Method'!$A$63:$A$70,0))*0.625+INDEX('Scoring Method'!$B$105:$B$113,MATCH(AP31,'Scoring Method'!$A$105:$A$113,0))+INDEX('Scoring Method'!$B$74:$B$78,MATCH(AQ31,'Scoring Method'!$A$74:$A$78,0))*0.6667+INDEX('Scoring Method'!$B$96:$B$101,MATCH(AO31,'Scoring Method'!$A$96:$A$101,0))+INDEX('Scoring Method'!$B$343:$B$347,MATCH(X31,'Scoring Method'!$A$343:$A$347,0))*0.3333+INDEX('Scoring Method'!$B$25:$B$27,MATCH(P31,'Scoring Method'!$A$25:$A$27,0))*0.3333,1)</f>
        <v/>
      </c>
      <c r="AT31" s="96">
        <f>AS31*U31/100</f>
        <v/>
      </c>
      <c r="AU31" s="92" t="inlineStr">
        <is>
          <t>South Covington</t>
        </is>
      </c>
      <c r="AV31" s="92" t="n">
        <v>88</v>
      </c>
      <c r="AW31" s="92" t="inlineStr">
        <is>
          <t>Sourced</t>
        </is>
      </c>
      <c r="AX31" s="92" t="inlineStr">
        <is>
          <t>Very safe 80+</t>
        </is>
      </c>
      <c r="AY31" s="96">
        <f>ROUND(INDEX('Scoring Method'!$B$132:$B$140,MATCH(AE31,'Scoring Method'!$A$132:$A$140,0))+INDEX('Scoring Method'!$B$144:$B$152,MATCH(AP31,'Scoring Method'!$A$144:$A$152,0))+INDEX('Scoring Method'!$B$156:$B$160,MATCH(AQ31,'Scoring Method'!$A$156:$A$160,0))+INDEX('Scoring Method'!$B$164:$B$169,MATCH(AO31,'Scoring Method'!$A$164:$A$169,0))+INDEX('Scoring Method'!$B$173:$B$178,MATCH(AX31,'Scoring Method'!$A$173:$A$178,0))+INDEX('Scoring Method'!$B$349:$B$353,MATCH(X31,'Scoring Method'!$A$349:$A$353,0))+INDEX('Scoring Method'!$B$188:$B$190,MATCH(P31,'Scoring Method'!$A$188:$A$190,0)),1)</f>
        <v/>
      </c>
      <c r="AZ31" s="96">
        <f>AY31*U31/100</f>
        <v/>
      </c>
      <c r="BA31" s="92" t="inlineStr">
        <is>
          <t>No chain signal</t>
        </is>
      </c>
      <c r="BB31" s="94" t="n">
        <v>1</v>
      </c>
      <c r="BC31" s="102" t="inlineStr">
        <is>
          <t>Large 0.75-1.25 AC</t>
        </is>
      </c>
      <c r="BD31" s="94" t="n">
        <v>0.9</v>
      </c>
      <c r="BE31" s="96">
        <f>ROUND(INDEX('Scoring Method'!$B$268:$B$276,MATCH(AE31,'Scoring Method'!$A$268:$A$276,0))+INDEX('Scoring Method'!$B$280:$B$288,MATCH(AP31,'Scoring Method'!$A$280:$A$288,0))+INDEX('Scoring Method'!$B$292:$B$296,MATCH(AQ31,'Scoring Method'!$A$292:$A$296,0))+INDEX('Scoring Method'!$B$300:$B$305,MATCH(AO31,'Scoring Method'!$A$300:$A$305,0))+INDEX('Scoring Method'!$B$309:$B$314,MATCH(AX31,'Scoring Method'!$A$309:$A$314,0))+INDEX('Scoring Method'!$B$337:$B$341,MATCH(X31,'Scoring Method'!$A$337:$A$341,0))+INDEX('Scoring Method'!$B$324:$B$326,MATCH(P31,'Scoring Method'!$A$324:$A$326,0)),1)</f>
        <v/>
      </c>
      <c r="BF31" s="96">
        <f>ROUND(INDEX('Scoring Method'!$B$268:$B$276,MATCH(AE31,'Scoring Method'!$A$268:$A$276,0))*BB31*BD31+INDEX('Scoring Method'!$B$280:$B$288,MATCH(AP31,'Scoring Method'!$A$280:$A$288,0))*BM31*BB31*BD31+INDEX('Scoring Method'!$B$292:$B$296,MATCH(AQ31,'Scoring Method'!$A$292:$A$296,0))*BD31+INDEX('Scoring Method'!$B$300:$B$305,MATCH(AO31,'Scoring Method'!$A$300:$A$305,0))*BM31*BB31+INDEX('Scoring Method'!$B$309:$B$314,MATCH(AX31,'Scoring Method'!$A$309:$A$314,0))+INDEX('Scoring Method'!$B$337:$B$341,MATCH(X31,'Scoring Method'!$A$337:$A$341,0))+INDEX('Scoring Method'!$B$324:$B$326,MATCH(P31,'Scoring Method'!$A$324:$A$326,0)),1)</f>
        <v/>
      </c>
      <c r="BG31" s="92" t="inlineStr">
        <is>
          <t>Fits (~$8,780/mo)</t>
        </is>
      </c>
      <c r="BH31" s="61" t="inlineStr">
        <is>
          <t>SI</t>
        </is>
      </c>
      <c r="BI31" s="61" t="inlineStr">
        <is>
          <t>Suburban Industrial</t>
        </is>
      </c>
      <c r="BJ31" s="61" t="inlineStr"/>
      <c r="BK31" s="61" t="inlineStr"/>
      <c r="BL31" s="61" t="inlineStr">
        <is>
          <t>Bar permitted</t>
        </is>
      </c>
      <c r="BM31" s="61">
        <f>INDEX('Scoring Method'!$B$358:$B$363,MATCH(BL31,'Scoring Method'!$A$358:$A$363,0))</f>
        <v/>
      </c>
    </row>
    <row r="32" ht="15" customHeight="1" s="62">
      <c r="A32" s="92" t="n">
        <v>31</v>
      </c>
      <c r="B32" s="92" t="inlineStr">
        <is>
          <t>055-14-15-002.00</t>
        </is>
      </c>
      <c r="C32" s="92" t="inlineStr">
        <is>
          <t>15 E 17TH ST</t>
        </is>
      </c>
      <c r="D32" s="92" t="inlineStr">
        <is>
          <t>SHELL MGM COVINGTON LLC</t>
        </is>
      </c>
      <c r="E32" s="92" t="inlineStr">
        <is>
          <t>2582 GRANDIN RD</t>
        </is>
      </c>
      <c r="F32" s="92" t="inlineStr">
        <is>
          <t>CINCINNATI</t>
        </is>
      </c>
      <c r="G32" s="92" t="inlineStr">
        <is>
          <t>OH</t>
        </is>
      </c>
      <c r="H32" s="92" t="inlineStr">
        <is>
          <t>PAVED LOT</t>
        </is>
      </c>
      <c r="I32" s="93" t="n">
        <v>25889</v>
      </c>
      <c r="J32" s="94">
        <f>I32/43560</f>
        <v/>
      </c>
      <c r="K32" s="93" t="n">
        <v>650.9</v>
      </c>
      <c r="L32" s="95">
        <f>I32/(K32^2)</f>
        <v/>
      </c>
      <c r="M32" s="92" t="inlineStr">
        <is>
          <t>Ideal 18-32k</t>
        </is>
      </c>
      <c r="N32" s="92" t="inlineStr">
        <is>
          <t>D</t>
        </is>
      </c>
      <c r="O32" s="92" t="inlineStr">
        <is>
          <t>Compact &gt;=.055</t>
        </is>
      </c>
      <c r="P32" s="92" t="inlineStr">
        <is>
          <t>Low</t>
        </is>
      </c>
      <c r="Q32" s="92" t="inlineStr">
        <is>
          <t>Out-of-state</t>
        </is>
      </c>
      <c r="R32" s="92" t="inlineStr">
        <is>
          <t>Operating entity</t>
        </is>
      </c>
      <c r="S32" s="92" t="n">
        <v>2</v>
      </c>
      <c r="T32" s="96">
        <f>INDEX('Scoring Method'!$B$6:$B$9,MATCH(M32,'Scoring Method'!$A$6:$A$9,0))+INDEX('Scoring Method'!$B$12:$B$16,MATCH(N32,'Scoring Method'!$A$12:$A$16,0))+INDEX('Scoring Method'!$B$19:$B$22,MATCH(O32,'Scoring Method'!$A$19:$A$22,0))+INDEX('Scoring Method'!$B$25:$B$27,MATCH(P32,'Scoring Method'!$A$25:$A$27,0))</f>
        <v/>
      </c>
      <c r="U32" s="96">
        <f>(INDEX('Scoring Method'!$B$30:$B$33,MATCH(Q32,'Scoring Method'!$A$30:$A$33,0))+INDEX('Scoring Method'!$B$36:$B$42,MATCH(R32,'Scoring Method'!$A$36:$A$42,0))+INDEX('Scoring Method'!$B$45:$B$47,MATCH(IF(S32=1,"1",IF(S32=2,"2","3+")),'Scoring Method'!$A$45:$A$47,0)))/90*100</f>
        <v/>
      </c>
      <c r="V32" s="96">
        <f>T32*U32/100</f>
        <v/>
      </c>
      <c r="W32" s="93" t="n"/>
      <c r="X32" s="92" t="inlineStr">
        <is>
          <t>X (minimal hazard)</t>
        </is>
      </c>
      <c r="Y32" s="93" t="n">
        <v>25650</v>
      </c>
      <c r="Z32" s="97" t="n"/>
      <c r="AA32" s="98" t="n"/>
      <c r="AB32" s="92" t="n"/>
      <c r="AC32" s="92" t="n">
        <v>0.59</v>
      </c>
      <c r="AD32" s="92" t="inlineStr">
        <is>
          <t>ok</t>
        </is>
      </c>
      <c r="AE32" s="92" t="inlineStr">
        <is>
          <t>No building</t>
        </is>
      </c>
      <c r="AF32" s="96">
        <f>INDEX('Scoring Method'!$B$63:$B$71,MATCH(AE32,'Scoring Method'!$A$63:$A$71,0))+INDEX('Scoring Method'!$B$75:$B$79,MATCH("Ample &gt;=15k",'Scoring Method'!$A$75:$A$79,0))+INDEX('Scoring Method'!$B$343:$B$347,MATCH(X32,'Scoring Method'!$A$343:$A$347,0))+INDEX('Scoring Method'!$B$25:$B$27,MATCH(P32,'Scoring Method'!$A$25:$A$27,0))</f>
        <v/>
      </c>
      <c r="AG32" s="96">
        <f>AF32*U32/100</f>
        <v/>
      </c>
      <c r="AH32" s="92" t="inlineStr">
        <is>
          <t>LINK-GIS + LoopNet</t>
        </is>
      </c>
      <c r="AI32" s="99" t="n">
        <v>39.07029</v>
      </c>
      <c r="AJ32" s="99" t="n">
        <v>-84.50588999999999</v>
      </c>
      <c r="AK32" s="94" t="n">
        <v>1.17</v>
      </c>
      <c r="AL32" s="94" t="n">
        <v>1.43</v>
      </c>
      <c r="AM32" s="94" t="n">
        <v>2.18</v>
      </c>
      <c r="AN32" s="94" t="n">
        <v>0.99</v>
      </c>
      <c r="AO32" s="92" t="inlineStr">
        <is>
          <t>Fringe 0.75-1.25mi</t>
        </is>
      </c>
      <c r="AP32" s="92" t="inlineStr">
        <is>
          <t>Lot / minimal bldg</t>
        </is>
      </c>
      <c r="AQ32" s="92" t="inlineStr">
        <is>
          <t>Ample &gt;=15k</t>
        </is>
      </c>
      <c r="AR32" s="100" t="n"/>
      <c r="AS32" s="96">
        <f>ROUND(INDEX('Scoring Method'!$B$63:$B$70,MATCH(AE32,'Scoring Method'!$A$63:$A$70,0))*0.625+INDEX('Scoring Method'!$B$105:$B$113,MATCH(AP32,'Scoring Method'!$A$105:$A$113,0))+INDEX('Scoring Method'!$B$74:$B$78,MATCH(AQ32,'Scoring Method'!$A$74:$A$78,0))*0.6667+INDEX('Scoring Method'!$B$96:$B$101,MATCH(AO32,'Scoring Method'!$A$96:$A$101,0))+INDEX('Scoring Method'!$B$343:$B$347,MATCH(X32,'Scoring Method'!$A$343:$A$347,0))*0.3333+INDEX('Scoring Method'!$B$25:$B$27,MATCH(P32,'Scoring Method'!$A$25:$A$27,0))*0.3333,1)</f>
        <v/>
      </c>
      <c r="AT32" s="96">
        <f>AS32*U32/100</f>
        <v/>
      </c>
      <c r="AU32" s="92" t="inlineStr">
        <is>
          <t>Eastside</t>
        </is>
      </c>
      <c r="AV32" s="92" t="n">
        <v>28</v>
      </c>
      <c r="AW32" s="101" t="inlineStr">
        <is>
          <t>ESTIMATED</t>
        </is>
      </c>
      <c r="AX32" s="92" t="inlineStr">
        <is>
          <t>High &lt;35</t>
        </is>
      </c>
      <c r="AY32" s="96">
        <f>ROUND(INDEX('Scoring Method'!$B$132:$B$140,MATCH(AE32,'Scoring Method'!$A$132:$A$140,0))+INDEX('Scoring Method'!$B$144:$B$152,MATCH(AP32,'Scoring Method'!$A$144:$A$152,0))+INDEX('Scoring Method'!$B$156:$B$160,MATCH(AQ32,'Scoring Method'!$A$156:$A$160,0))+INDEX('Scoring Method'!$B$164:$B$169,MATCH(AO32,'Scoring Method'!$A$164:$A$169,0))+INDEX('Scoring Method'!$B$173:$B$178,MATCH(AX32,'Scoring Method'!$A$173:$A$178,0))+INDEX('Scoring Method'!$B$349:$B$353,MATCH(X32,'Scoring Method'!$A$349:$A$353,0))+INDEX('Scoring Method'!$B$188:$B$190,MATCH(P32,'Scoring Method'!$A$188:$A$190,0)),1)</f>
        <v/>
      </c>
      <c r="AZ32" s="96">
        <f>AY32*U32/100</f>
        <v/>
      </c>
      <c r="BA32" s="92" t="inlineStr">
        <is>
          <t>No chain signal</t>
        </is>
      </c>
      <c r="BB32" s="94" t="n">
        <v>1</v>
      </c>
      <c r="BC32" s="92" t="inlineStr">
        <is>
          <t>Right-sized 0.35-0.75 AC</t>
        </is>
      </c>
      <c r="BD32" s="94" t="n">
        <v>1</v>
      </c>
      <c r="BE32" s="96">
        <f>ROUND(INDEX('Scoring Method'!$B$268:$B$276,MATCH(AE32,'Scoring Method'!$A$268:$A$276,0))+INDEX('Scoring Method'!$B$280:$B$288,MATCH(AP32,'Scoring Method'!$A$280:$A$288,0))+INDEX('Scoring Method'!$B$292:$B$296,MATCH(AQ32,'Scoring Method'!$A$292:$A$296,0))+INDEX('Scoring Method'!$B$300:$B$305,MATCH(AO32,'Scoring Method'!$A$300:$A$305,0))+INDEX('Scoring Method'!$B$309:$B$314,MATCH(AX32,'Scoring Method'!$A$309:$A$314,0))+INDEX('Scoring Method'!$B$337:$B$341,MATCH(X32,'Scoring Method'!$A$337:$A$341,0))+INDEX('Scoring Method'!$B$324:$B$326,MATCH(P32,'Scoring Method'!$A$324:$A$326,0)),1)</f>
        <v/>
      </c>
      <c r="BF32" s="96">
        <f>ROUND(INDEX('Scoring Method'!$B$268:$B$276,MATCH(AE32,'Scoring Method'!$A$268:$A$276,0))*BB32*BD32+INDEX('Scoring Method'!$B$280:$B$288,MATCH(AP32,'Scoring Method'!$A$280:$A$288,0))*BM32*BB32*BD32+INDEX('Scoring Method'!$B$292:$B$296,MATCH(AQ32,'Scoring Method'!$A$292:$A$296,0))*BD32+INDEX('Scoring Method'!$B$300:$B$305,MATCH(AO32,'Scoring Method'!$A$300:$A$305,0))*BM32*BB32+INDEX('Scoring Method'!$B$309:$B$314,MATCH(AX32,'Scoring Method'!$A$309:$A$314,0))+INDEX('Scoring Method'!$B$337:$B$341,MATCH(X32,'Scoring Method'!$A$337:$A$341,0))+INDEX('Scoring Method'!$B$324:$B$326,MATCH(P32,'Scoring Method'!$A$324:$A$326,0)),1)</f>
        <v/>
      </c>
      <c r="BG32" s="92" t="n"/>
      <c r="BH32" s="61" t="inlineStr">
        <is>
          <t>SU</t>
        </is>
      </c>
      <c r="BI32" s="61" t="inlineStr">
        <is>
          <t>Semi-Urban Residential</t>
        </is>
      </c>
      <c r="BJ32" s="61" t="inlineStr"/>
      <c r="BK32" s="61" t="inlineStr"/>
      <c r="BL32" s="61" t="inlineStr">
        <is>
          <t>SU corner unverified</t>
        </is>
      </c>
      <c r="BM32" s="61">
        <f>INDEX('Scoring Method'!$B$358:$B$363,MATCH(BL32,'Scoring Method'!$A$358:$A$363,0))</f>
        <v/>
      </c>
    </row>
    <row r="33" ht="15" customHeight="1" s="62">
      <c r="A33" s="92" t="n">
        <v>32</v>
      </c>
      <c r="B33" s="92" t="inlineStr">
        <is>
          <t>095-00-00-001.12</t>
        </is>
      </c>
      <c r="C33" s="92" t="inlineStr">
        <is>
          <t>RUSSELL ST</t>
        </is>
      </c>
      <c r="D33" s="92" t="inlineStr">
        <is>
          <t>JRW HOLDINGS LLC</t>
        </is>
      </c>
      <c r="E33" s="92" t="inlineStr">
        <is>
          <t>1850 AUGUSTINE ST STE C</t>
        </is>
      </c>
      <c r="F33" s="92" t="inlineStr">
        <is>
          <t>COVINGTON</t>
        </is>
      </c>
      <c r="G33" s="92" t="inlineStr">
        <is>
          <t>KY</t>
        </is>
      </c>
      <c r="H33" s="92" t="inlineStr">
        <is>
          <t>PAVED LOT</t>
        </is>
      </c>
      <c r="I33" s="93" t="n">
        <v>22563</v>
      </c>
      <c r="J33" s="94">
        <f>I33/43560</f>
        <v/>
      </c>
      <c r="K33" s="93" t="n">
        <v>663.8</v>
      </c>
      <c r="L33" s="95">
        <f>I33/(K33^2)</f>
        <v/>
      </c>
      <c r="M33" s="92" t="inlineStr">
        <is>
          <t>Ideal 18-32k</t>
        </is>
      </c>
      <c r="N33" s="92" t="inlineStr">
        <is>
          <t>D</t>
        </is>
      </c>
      <c r="O33" s="92" t="inlineStr">
        <is>
          <t>Regular .045-.055</t>
        </is>
      </c>
      <c r="P33" s="92" t="inlineStr">
        <is>
          <t>Low</t>
        </is>
      </c>
      <c r="Q33" s="92" t="inlineStr">
        <is>
          <t>Local absentee</t>
        </is>
      </c>
      <c r="R33" s="92" t="inlineStr">
        <is>
          <t>Passive vehicle</t>
        </is>
      </c>
      <c r="S33" s="92" t="n">
        <v>3</v>
      </c>
      <c r="T33" s="96">
        <f>INDEX('Scoring Method'!$B$6:$B$9,MATCH(M33,'Scoring Method'!$A$6:$A$9,0))+INDEX('Scoring Method'!$B$12:$B$16,MATCH(N33,'Scoring Method'!$A$12:$A$16,0))+INDEX('Scoring Method'!$B$19:$B$22,MATCH(O33,'Scoring Method'!$A$19:$A$22,0))+INDEX('Scoring Method'!$B$25:$B$27,MATCH(P33,'Scoring Method'!$A$25:$A$27,0))</f>
        <v/>
      </c>
      <c r="U33" s="96">
        <f>(INDEX('Scoring Method'!$B$30:$B$33,MATCH(Q33,'Scoring Method'!$A$30:$A$33,0))+INDEX('Scoring Method'!$B$36:$B$42,MATCH(R33,'Scoring Method'!$A$36:$A$42,0))+INDEX('Scoring Method'!$B$45:$B$47,MATCH(IF(S33=1,"1",IF(S33=2,"2","3+")),'Scoring Method'!$A$45:$A$47,0)))/90*100</f>
        <v/>
      </c>
      <c r="V33" s="96">
        <f>T33*U33/100</f>
        <v/>
      </c>
      <c r="W33" s="93" t="n"/>
      <c r="X33" s="92" t="inlineStr">
        <is>
          <t>Unknown</t>
        </is>
      </c>
      <c r="Y33" s="93" t="n"/>
      <c r="Z33" s="97" t="n"/>
      <c r="AA33" s="98" t="n"/>
      <c r="AB33" s="92" t="n"/>
      <c r="AC33" s="92" t="n"/>
      <c r="AD33" s="92" t="n"/>
      <c r="AE33" s="92" t="n"/>
      <c r="AF33" s="96" t="n"/>
      <c r="AG33" s="96" t="n"/>
      <c r="AH33" s="92" t="inlineStr">
        <is>
          <t>LINK-GIS only</t>
        </is>
      </c>
      <c r="AI33" s="99" t="n">
        <v>39.06806</v>
      </c>
      <c r="AJ33" s="99" t="n">
        <v>-84.50824</v>
      </c>
      <c r="AK33" s="94" t="n">
        <v>1.24</v>
      </c>
      <c r="AL33" s="94" t="n">
        <v>1.57</v>
      </c>
      <c r="AM33" s="94" t="n">
        <v>2.32</v>
      </c>
      <c r="AN33" s="94" t="n">
        <v>1.11</v>
      </c>
      <c r="AO33" s="92" t="inlineStr">
        <is>
          <t>Fringe 0.75-1.25mi</t>
        </is>
      </c>
      <c r="AP33" s="92" t="inlineStr">
        <is>
          <t>Lot / minimal bldg</t>
        </is>
      </c>
      <c r="AQ33" s="92" t="n"/>
      <c r="AR33" s="100" t="n"/>
      <c r="AS33" s="96" t="n"/>
      <c r="AT33" s="96" t="n"/>
      <c r="AU33" s="92" t="inlineStr">
        <is>
          <t>Levassor Park</t>
        </is>
      </c>
      <c r="AV33" s="92" t="n">
        <v>42</v>
      </c>
      <c r="AW33" s="101" t="inlineStr">
        <is>
          <t>ESTIMATED</t>
        </is>
      </c>
      <c r="AX33" s="92" t="inlineStr">
        <is>
          <t>Elevated 35-44</t>
        </is>
      </c>
      <c r="AY33" s="96" t="n"/>
      <c r="AZ33" s="96" t="n"/>
      <c r="BA33" s="92" t="inlineStr">
        <is>
          <t>No chain signal</t>
        </is>
      </c>
      <c r="BB33" s="94" t="n">
        <v>1</v>
      </c>
      <c r="BC33" s="92" t="inlineStr">
        <is>
          <t>Right-sized 0.35-0.75 AC</t>
        </is>
      </c>
      <c r="BD33" s="94" t="n">
        <v>1</v>
      </c>
      <c r="BE33" s="96" t="n"/>
      <c r="BF33" s="96" t="n"/>
      <c r="BG33" s="92" t="n"/>
      <c r="BH33" s="61" t="inlineStr">
        <is>
          <t>Not joined</t>
        </is>
      </c>
      <c r="BL33" s="61" t="inlineStr">
        <is>
          <t>Not joined</t>
        </is>
      </c>
      <c r="BM33" s="61" t="n">
        <v>1</v>
      </c>
    </row>
    <row r="34" ht="15" customHeight="1" s="62">
      <c r="A34" s="92" t="n">
        <v>33</v>
      </c>
      <c r="B34" s="92" t="inlineStr">
        <is>
          <t>042-30-00-040.00</t>
        </is>
      </c>
      <c r="C34" s="92" t="inlineStr">
        <is>
          <t>3288 MADISON PIKE</t>
        </is>
      </c>
      <c r="D34" s="92" t="inlineStr">
        <is>
          <t>SCHLIPF DANIEL</t>
        </is>
      </c>
      <c r="E34" s="92" t="inlineStr">
        <is>
          <t>3197 HIGH RIDGE DR</t>
        </is>
      </c>
      <c r="F34" s="92" t="inlineStr">
        <is>
          <t>TAYLOR MILL</t>
        </is>
      </c>
      <c r="G34" s="92" t="inlineStr">
        <is>
          <t>KY</t>
        </is>
      </c>
      <c r="H34" s="92" t="inlineStr">
        <is>
          <t>OTHER RETAIL</t>
        </is>
      </c>
      <c r="I34" s="93" t="n">
        <v>25418</v>
      </c>
      <c r="J34" s="94">
        <f>I34/43560</f>
        <v/>
      </c>
      <c r="K34" s="93" t="n">
        <v>827.5</v>
      </c>
      <c r="L34" s="95">
        <f>I34/(K34^2)</f>
        <v/>
      </c>
      <c r="M34" s="92" t="inlineStr">
        <is>
          <t>Ideal 18-32k</t>
        </is>
      </c>
      <c r="N34" s="92" t="inlineStr">
        <is>
          <t>C</t>
        </is>
      </c>
      <c r="O34" s="92" t="inlineStr">
        <is>
          <t>Elongated .035-.045</t>
        </is>
      </c>
      <c r="P34" s="92" t="inlineStr">
        <is>
          <t>Low</t>
        </is>
      </c>
      <c r="Q34" s="92" t="inlineStr">
        <is>
          <t>Out-of-city KY</t>
        </is>
      </c>
      <c r="R34" s="92" t="inlineStr">
        <is>
          <t>Individual</t>
        </is>
      </c>
      <c r="S34" s="92" t="n">
        <v>1</v>
      </c>
      <c r="T34" s="96">
        <f>INDEX('Scoring Method'!$B$6:$B$9,MATCH(M34,'Scoring Method'!$A$6:$A$9,0))+INDEX('Scoring Method'!$B$12:$B$16,MATCH(N34,'Scoring Method'!$A$12:$A$16,0))+INDEX('Scoring Method'!$B$19:$B$22,MATCH(O34,'Scoring Method'!$A$19:$A$22,0))+INDEX('Scoring Method'!$B$25:$B$27,MATCH(P34,'Scoring Method'!$A$25:$A$27,0))</f>
        <v/>
      </c>
      <c r="U34" s="96">
        <f>(INDEX('Scoring Method'!$B$30:$B$33,MATCH(Q34,'Scoring Method'!$A$30:$A$33,0))+INDEX('Scoring Method'!$B$36:$B$42,MATCH(R34,'Scoring Method'!$A$36:$A$42,0))+INDEX('Scoring Method'!$B$45:$B$47,MATCH(IF(S34=1,"1",IF(S34=2,"2","3+")),'Scoring Method'!$A$45:$A$47,0)))/90*100</f>
        <v/>
      </c>
      <c r="V34" s="96">
        <f>T34*U34/100</f>
        <v/>
      </c>
      <c r="W34" s="93" t="n">
        <v>4520</v>
      </c>
      <c r="X34" s="92" t="inlineStr">
        <is>
          <t>AE (1% annual)</t>
        </is>
      </c>
      <c r="Y34" s="93" t="n">
        <v>18325</v>
      </c>
      <c r="Z34" s="97">
        <f>W34/I34</f>
        <v/>
      </c>
      <c r="AA34" s="98">
        <f>MAX(0,(Y34-5000)/300)</f>
        <v/>
      </c>
      <c r="AB34" s="92" t="n"/>
      <c r="AC34" s="92" t="n">
        <v>0.58</v>
      </c>
      <c r="AD34" s="92" t="inlineStr">
        <is>
          <t>ok</t>
        </is>
      </c>
      <c r="AE34" s="92" t="inlineStr">
        <is>
          <t>Large 4-6k</t>
        </is>
      </c>
      <c r="AF34" s="96">
        <f>INDEX('Scoring Method'!$B$63:$B$71,MATCH(AE34,'Scoring Method'!$A$63:$A$71,0))+INDEX('Scoring Method'!$B$75:$B$79,MATCH("Ample &gt;=15k",'Scoring Method'!$A$75:$A$79,0))+INDEX('Scoring Method'!$B$343:$B$347,MATCH(X34,'Scoring Method'!$A$343:$A$347,0))+INDEX('Scoring Method'!$B$25:$B$27,MATCH(P34,'Scoring Method'!$A$25:$A$27,0))</f>
        <v/>
      </c>
      <c r="AG34" s="96">
        <f>AF34*U34/100</f>
        <v/>
      </c>
      <c r="AH34" s="92" t="inlineStr">
        <is>
          <t>LINK-GIS + LoopNet</t>
        </is>
      </c>
      <c r="AI34" s="99" t="n">
        <v>39.04228</v>
      </c>
      <c r="AJ34" s="99" t="n">
        <v>-84.52533</v>
      </c>
      <c r="AK34" s="94" t="n">
        <v>2.94</v>
      </c>
      <c r="AL34" s="94" t="n">
        <v>3.48</v>
      </c>
      <c r="AM34" s="94" t="n">
        <v>4.15</v>
      </c>
      <c r="AN34" s="94" t="n">
        <v>2.94</v>
      </c>
      <c r="AO34" s="92" t="inlineStr">
        <is>
          <t>Distant 2-3mi</t>
        </is>
      </c>
      <c r="AP34" s="92" t="inlineStr">
        <is>
          <t>Retail shell</t>
        </is>
      </c>
      <c r="AQ34" s="92" t="inlineStr">
        <is>
          <t>Ample &gt;=15k</t>
        </is>
      </c>
      <c r="AR34" s="100" t="n"/>
      <c r="AS34" s="96">
        <f>ROUND(INDEX('Scoring Method'!$B$63:$B$70,MATCH(AE34,'Scoring Method'!$A$63:$A$70,0))*0.625+INDEX('Scoring Method'!$B$105:$B$113,MATCH(AP34,'Scoring Method'!$A$105:$A$113,0))+INDEX('Scoring Method'!$B$74:$B$78,MATCH(AQ34,'Scoring Method'!$A$74:$A$78,0))*0.6667+INDEX('Scoring Method'!$B$96:$B$101,MATCH(AO34,'Scoring Method'!$A$96:$A$101,0))+INDEX('Scoring Method'!$B$343:$B$347,MATCH(X34,'Scoring Method'!$A$343:$A$347,0))*0.3333+INDEX('Scoring Method'!$B$25:$B$27,MATCH(P34,'Scoring Method'!$A$25:$A$27,0))*0.3333,1)</f>
        <v/>
      </c>
      <c r="AT34" s="96">
        <f>AS34*U34/100</f>
        <v/>
      </c>
      <c r="AU34" s="92" t="inlineStr">
        <is>
          <t>Rittes East / Winston Park</t>
        </is>
      </c>
      <c r="AV34" s="92" t="n">
        <v>82</v>
      </c>
      <c r="AW34" s="92" t="inlineStr">
        <is>
          <t>Sourced</t>
        </is>
      </c>
      <c r="AX34" s="92" t="inlineStr">
        <is>
          <t>Very safe 80+</t>
        </is>
      </c>
      <c r="AY34" s="96">
        <f>ROUND(INDEX('Scoring Method'!$B$132:$B$140,MATCH(AE34,'Scoring Method'!$A$132:$A$140,0))+INDEX('Scoring Method'!$B$144:$B$152,MATCH(AP34,'Scoring Method'!$A$144:$A$152,0))+INDEX('Scoring Method'!$B$156:$B$160,MATCH(AQ34,'Scoring Method'!$A$156:$A$160,0))+INDEX('Scoring Method'!$B$164:$B$169,MATCH(AO34,'Scoring Method'!$A$164:$A$169,0))+INDEX('Scoring Method'!$B$173:$B$178,MATCH(AX34,'Scoring Method'!$A$173:$A$178,0))+INDEX('Scoring Method'!$B$349:$B$353,MATCH(X34,'Scoring Method'!$A$349:$A$353,0))+INDEX('Scoring Method'!$B$188:$B$190,MATCH(P34,'Scoring Method'!$A$188:$A$190,0)),1)</f>
        <v/>
      </c>
      <c r="AZ34" s="96">
        <f>AY34*U34/100</f>
        <v/>
      </c>
      <c r="BA34" s="92" t="inlineStr">
        <is>
          <t>No chain signal</t>
        </is>
      </c>
      <c r="BB34" s="94" t="n">
        <v>1</v>
      </c>
      <c r="BC34" s="92" t="inlineStr">
        <is>
          <t>Right-sized 0.35-0.75 AC</t>
        </is>
      </c>
      <c r="BD34" s="94" t="n">
        <v>1</v>
      </c>
      <c r="BE34" s="96">
        <f>ROUND(INDEX('Scoring Method'!$B$268:$B$276,MATCH(AE34,'Scoring Method'!$A$268:$A$276,0))+INDEX('Scoring Method'!$B$280:$B$288,MATCH(AP34,'Scoring Method'!$A$280:$A$288,0))+INDEX('Scoring Method'!$B$292:$B$296,MATCH(AQ34,'Scoring Method'!$A$292:$A$296,0))+INDEX('Scoring Method'!$B$300:$B$305,MATCH(AO34,'Scoring Method'!$A$300:$A$305,0))+INDEX('Scoring Method'!$B$309:$B$314,MATCH(AX34,'Scoring Method'!$A$309:$A$314,0))+INDEX('Scoring Method'!$B$337:$B$341,MATCH(X34,'Scoring Method'!$A$337:$A$341,0))+INDEX('Scoring Method'!$B$324:$B$326,MATCH(P34,'Scoring Method'!$A$324:$A$326,0)),1)</f>
        <v/>
      </c>
      <c r="BF34" s="96">
        <f>ROUND(INDEX('Scoring Method'!$B$268:$B$276,MATCH(AE34,'Scoring Method'!$A$268:$A$276,0))*BB34*BD34+INDEX('Scoring Method'!$B$280:$B$288,MATCH(AP34,'Scoring Method'!$A$280:$A$288,0))*BM34*BB34*BD34+INDEX('Scoring Method'!$B$292:$B$296,MATCH(AQ34,'Scoring Method'!$A$292:$A$296,0))*BD34+INDEX('Scoring Method'!$B$300:$B$305,MATCH(AO34,'Scoring Method'!$A$300:$A$305,0))*BM34*BB34+INDEX('Scoring Method'!$B$309:$B$314,MATCH(AX34,'Scoring Method'!$A$309:$A$314,0))+INDEX('Scoring Method'!$B$337:$B$341,MATCH(X34,'Scoring Method'!$A$337:$A$341,0))+INDEX('Scoring Method'!$B$324:$B$326,MATCH(P34,'Scoring Method'!$A$324:$A$326,0)),1)</f>
        <v/>
      </c>
      <c r="BG34" s="92" t="inlineStr">
        <is>
          <t>Fits (~$4,143/mo)</t>
        </is>
      </c>
      <c r="BH34" s="61" t="inlineStr">
        <is>
          <t>AUC</t>
        </is>
      </c>
      <c r="BI34" s="61" t="inlineStr">
        <is>
          <t>Auto-Urban Commercial</t>
        </is>
      </c>
      <c r="BJ34" s="61" t="inlineStr"/>
      <c r="BK34" s="61" t="inlineStr"/>
      <c r="BL34" s="61" t="inlineStr">
        <is>
          <t>Bar permitted</t>
        </is>
      </c>
      <c r="BM34" s="61">
        <f>INDEX('Scoring Method'!$B$358:$B$363,MATCH(BL34,'Scoring Method'!$A$358:$A$363,0))</f>
        <v/>
      </c>
    </row>
    <row r="35" ht="15" customHeight="1" s="62">
      <c r="A35" s="92" t="n">
        <v>34</v>
      </c>
      <c r="B35" s="92" t="inlineStr">
        <is>
          <t>040-41-11-024.00</t>
        </is>
      </c>
      <c r="C35" s="92" t="inlineStr">
        <is>
          <t>605 WESTERN AVE</t>
        </is>
      </c>
      <c r="D35" s="92" t="inlineStr">
        <is>
          <t>CLIFFORD RIVERVIEW</t>
        </is>
      </c>
      <c r="E35" s="92" t="inlineStr">
        <is>
          <t>3091 LITTLE DRY RUN RD</t>
        </is>
      </c>
      <c r="F35" s="92" t="inlineStr">
        <is>
          <t>CINCINNATI</t>
        </is>
      </c>
      <c r="G35" s="92" t="inlineStr">
        <is>
          <t>OH</t>
        </is>
      </c>
      <c r="H35" s="92" t="inlineStr">
        <is>
          <t>MISCELLANEOUS IMPROVEMENT</t>
        </is>
      </c>
      <c r="I35" s="93" t="n">
        <v>20087</v>
      </c>
      <c r="J35" s="94">
        <f>I35/43560</f>
        <v/>
      </c>
      <c r="K35" s="93" t="n">
        <v>697.1</v>
      </c>
      <c r="L35" s="95">
        <f>I35/(K35^2)</f>
        <v/>
      </c>
      <c r="M35" s="92" t="inlineStr">
        <is>
          <t>Ideal 18-32k</t>
        </is>
      </c>
      <c r="N35" s="92" t="inlineStr">
        <is>
          <t>D</t>
        </is>
      </c>
      <c r="O35" s="92" t="inlineStr">
        <is>
          <t>Elongated .035-.045</t>
        </is>
      </c>
      <c r="P35" s="92" t="inlineStr">
        <is>
          <t>Low</t>
        </is>
      </c>
      <c r="Q35" s="92" t="inlineStr">
        <is>
          <t>Out-of-state</t>
        </is>
      </c>
      <c r="R35" s="92" t="inlineStr">
        <is>
          <t>Individual</t>
        </is>
      </c>
      <c r="S35" s="92" t="n">
        <v>1</v>
      </c>
      <c r="T35" s="96">
        <f>INDEX('Scoring Method'!$B$6:$B$9,MATCH(M35,'Scoring Method'!$A$6:$A$9,0))+INDEX('Scoring Method'!$B$12:$B$16,MATCH(N35,'Scoring Method'!$A$12:$A$16,0))+INDEX('Scoring Method'!$B$19:$B$22,MATCH(O35,'Scoring Method'!$A$19:$A$22,0))+INDEX('Scoring Method'!$B$25:$B$27,MATCH(P35,'Scoring Method'!$A$25:$A$27,0))</f>
        <v/>
      </c>
      <c r="U35" s="96">
        <f>(INDEX('Scoring Method'!$B$30:$B$33,MATCH(Q35,'Scoring Method'!$A$30:$A$33,0))+INDEX('Scoring Method'!$B$36:$B$42,MATCH(R35,'Scoring Method'!$A$36:$A$42,0))+INDEX('Scoring Method'!$B$45:$B$47,MATCH(IF(S35=1,"1",IF(S35=2,"2","3+")),'Scoring Method'!$A$45:$A$47,0)))/90*100</f>
        <v/>
      </c>
      <c r="V35" s="96">
        <f>T35*U35/100</f>
        <v/>
      </c>
      <c r="W35" s="93" t="n">
        <v>812</v>
      </c>
      <c r="X35" s="92" t="inlineStr">
        <is>
          <t>X (minimal hazard)</t>
        </is>
      </c>
      <c r="Y35" s="93" t="n">
        <v>18550</v>
      </c>
      <c r="Z35" s="97" t="n"/>
      <c r="AA35" s="98">
        <f>MAX(0,(Y35-5000)/300)</f>
        <v/>
      </c>
      <c r="AB35" s="92" t="n"/>
      <c r="AC35" s="92" t="n"/>
      <c r="AD35" s="92" t="n"/>
      <c r="AE35" s="92" t="inlineStr">
        <is>
          <t>Too small &lt;1.2k</t>
        </is>
      </c>
      <c r="AF35" s="96">
        <f>INDEX('Scoring Method'!$B$63:$B$71,MATCH(AE35,'Scoring Method'!$A$63:$A$71,0))+INDEX('Scoring Method'!$B$75:$B$79,MATCH("Ample &gt;=15k",'Scoring Method'!$A$75:$A$79,0))+INDEX('Scoring Method'!$B$343:$B$347,MATCH(X35,'Scoring Method'!$A$343:$A$347,0))+INDEX('Scoring Method'!$B$25:$B$27,MATCH(P35,'Scoring Method'!$A$25:$A$27,0))</f>
        <v/>
      </c>
      <c r="AG35" s="96">
        <f>AF35*U35/100</f>
        <v/>
      </c>
      <c r="AH35" s="92" t="inlineStr">
        <is>
          <t>LINK-GIS (no LoopNet record)</t>
        </is>
      </c>
      <c r="AI35" s="99" t="n">
        <v>39.08379</v>
      </c>
      <c r="AJ35" s="99" t="n">
        <v>-84.52486</v>
      </c>
      <c r="AK35" s="94" t="n">
        <v>0.38</v>
      </c>
      <c r="AL35" s="94" t="n">
        <v>1.01</v>
      </c>
      <c r="AM35" s="94" t="n">
        <v>1.39</v>
      </c>
      <c r="AN35" s="94" t="n">
        <v>0.38</v>
      </c>
      <c r="AO35" s="92" t="inlineStr">
        <is>
          <t>Near 0.35-0.75mi</t>
        </is>
      </c>
      <c r="AP35" s="92" t="inlineStr">
        <is>
          <t>Lot / minimal bldg</t>
        </is>
      </c>
      <c r="AQ35" s="92" t="inlineStr">
        <is>
          <t>Ample &gt;=15k</t>
        </is>
      </c>
      <c r="AR35" s="100" t="n"/>
      <c r="AS35" s="96">
        <f>ROUND(INDEX('Scoring Method'!$B$63:$B$70,MATCH(AE35,'Scoring Method'!$A$63:$A$70,0))*0.625+INDEX('Scoring Method'!$B$105:$B$113,MATCH(AP35,'Scoring Method'!$A$105:$A$113,0))+INDEX('Scoring Method'!$B$74:$B$78,MATCH(AQ35,'Scoring Method'!$A$74:$A$78,0))*0.6667+INDEX('Scoring Method'!$B$96:$B$101,MATCH(AO35,'Scoring Method'!$A$96:$A$101,0))+INDEX('Scoring Method'!$B$343:$B$347,MATCH(X35,'Scoring Method'!$A$343:$A$347,0))*0.3333+INDEX('Scoring Method'!$B$25:$B$27,MATCH(P35,'Scoring Method'!$A$25:$A$27,0))*0.3333,1)</f>
        <v/>
      </c>
      <c r="AT35" s="96">
        <f>AS35*U35/100</f>
        <v/>
      </c>
      <c r="AU35" s="92" t="inlineStr">
        <is>
          <t>Kenton Hills</t>
        </is>
      </c>
      <c r="AV35" s="92" t="n">
        <v>85</v>
      </c>
      <c r="AW35" s="92" t="inlineStr">
        <is>
          <t>Sourced</t>
        </is>
      </c>
      <c r="AX35" s="92" t="inlineStr">
        <is>
          <t>Very safe 80+</t>
        </is>
      </c>
      <c r="AY35" s="96">
        <f>ROUND(INDEX('Scoring Method'!$B$132:$B$140,MATCH(AE35,'Scoring Method'!$A$132:$A$140,0))+INDEX('Scoring Method'!$B$144:$B$152,MATCH(AP35,'Scoring Method'!$A$144:$A$152,0))+INDEX('Scoring Method'!$B$156:$B$160,MATCH(AQ35,'Scoring Method'!$A$156:$A$160,0))+INDEX('Scoring Method'!$B$164:$B$169,MATCH(AO35,'Scoring Method'!$A$164:$A$169,0))+INDEX('Scoring Method'!$B$173:$B$178,MATCH(AX35,'Scoring Method'!$A$173:$A$178,0))+INDEX('Scoring Method'!$B$349:$B$353,MATCH(X35,'Scoring Method'!$A$349:$A$353,0))+INDEX('Scoring Method'!$B$188:$B$190,MATCH(P35,'Scoring Method'!$A$188:$A$190,0)),1)</f>
        <v/>
      </c>
      <c r="AZ35" s="96">
        <f>AY35*U35/100</f>
        <v/>
      </c>
      <c r="BA35" s="92" t="inlineStr">
        <is>
          <t>No chain signal</t>
        </is>
      </c>
      <c r="BB35" s="94" t="n">
        <v>1</v>
      </c>
      <c r="BC35" s="92" t="inlineStr">
        <is>
          <t>Right-sized 0.35-0.75 AC</t>
        </is>
      </c>
      <c r="BD35" s="94" t="n">
        <v>1</v>
      </c>
      <c r="BE35" s="96">
        <f>ROUND(INDEX('Scoring Method'!$B$268:$B$276,MATCH(AE35,'Scoring Method'!$A$268:$A$276,0))+INDEX('Scoring Method'!$B$280:$B$288,MATCH(AP35,'Scoring Method'!$A$280:$A$288,0))+INDEX('Scoring Method'!$B$292:$B$296,MATCH(AQ35,'Scoring Method'!$A$292:$A$296,0))+INDEX('Scoring Method'!$B$300:$B$305,MATCH(AO35,'Scoring Method'!$A$300:$A$305,0))+INDEX('Scoring Method'!$B$309:$B$314,MATCH(AX35,'Scoring Method'!$A$309:$A$314,0))+INDEX('Scoring Method'!$B$337:$B$341,MATCH(X35,'Scoring Method'!$A$337:$A$341,0))+INDEX('Scoring Method'!$B$324:$B$326,MATCH(P35,'Scoring Method'!$A$324:$A$326,0)),1)</f>
        <v/>
      </c>
      <c r="BF35" s="96">
        <f>ROUND(INDEX('Scoring Method'!$B$268:$B$276,MATCH(AE35,'Scoring Method'!$A$268:$A$276,0))*BB35*BD35+INDEX('Scoring Method'!$B$280:$B$288,MATCH(AP35,'Scoring Method'!$A$280:$A$288,0))*BM35*BB35*BD35+INDEX('Scoring Method'!$B$292:$B$296,MATCH(AQ35,'Scoring Method'!$A$292:$A$296,0))*BD35+INDEX('Scoring Method'!$B$300:$B$305,MATCH(AO35,'Scoring Method'!$A$300:$A$305,0))*BM35*BB35+INDEX('Scoring Method'!$B$309:$B$314,MATCH(AX35,'Scoring Method'!$A$309:$A$314,0))+INDEX('Scoring Method'!$B$337:$B$341,MATCH(X35,'Scoring Method'!$A$337:$A$341,0))+INDEX('Scoring Method'!$B$324:$B$326,MATCH(P35,'Scoring Method'!$A$324:$A$326,0)),1)</f>
        <v/>
      </c>
      <c r="BG35" s="92" t="inlineStr">
        <is>
          <t>Fits (~$744/mo)</t>
        </is>
      </c>
      <c r="BH35" s="61" t="inlineStr">
        <is>
          <t>SU</t>
        </is>
      </c>
      <c r="BI35" s="61" t="inlineStr">
        <is>
          <t>Semi-Urban Residential</t>
        </is>
      </c>
      <c r="BJ35" s="61" t="inlineStr"/>
      <c r="BK35" s="61" t="inlineStr"/>
      <c r="BL35" s="61" t="inlineStr">
        <is>
          <t>SU corner unverified</t>
        </is>
      </c>
      <c r="BM35" s="61">
        <f>INDEX('Scoring Method'!$B$358:$B$363,MATCH(BL35,'Scoring Method'!$A$358:$A$363,0))</f>
        <v/>
      </c>
    </row>
    <row r="36" ht="15" customHeight="1" s="62">
      <c r="A36" s="92" t="n">
        <v>35</v>
      </c>
      <c r="B36" s="92" t="inlineStr">
        <is>
          <t>054-24-04-002.00</t>
        </is>
      </c>
      <c r="C36" s="92" t="inlineStr">
        <is>
          <t>25 W 11TH ST</t>
        </is>
      </c>
      <c r="D36" s="92" t="inlineStr">
        <is>
          <t>BATSHOUN PROPERTIES LLC</t>
        </is>
      </c>
      <c r="E36" s="92" t="inlineStr">
        <is>
          <t>20 W 11TH ST STE 100</t>
        </is>
      </c>
      <c r="F36" s="92" t="inlineStr">
        <is>
          <t>COVINGTON</t>
        </is>
      </c>
      <c r="G36" s="92" t="inlineStr">
        <is>
          <t>KY</t>
        </is>
      </c>
      <c r="H36" s="92" t="inlineStr">
        <is>
          <t>PAVED LOT</t>
        </is>
      </c>
      <c r="I36" s="93" t="n">
        <v>21544</v>
      </c>
      <c r="J36" s="94">
        <f>I36/43560</f>
        <v/>
      </c>
      <c r="K36" s="93" t="n">
        <v>606.8</v>
      </c>
      <c r="L36" s="95">
        <f>I36/(K36^2)</f>
        <v/>
      </c>
      <c r="M36" s="92" t="inlineStr">
        <is>
          <t>Ideal 18-32k</t>
        </is>
      </c>
      <c r="N36" s="92" t="inlineStr">
        <is>
          <t>D</t>
        </is>
      </c>
      <c r="O36" s="92" t="inlineStr">
        <is>
          <t>Compact &gt;=.055</t>
        </is>
      </c>
      <c r="P36" s="92" t="inlineStr">
        <is>
          <t>Low</t>
        </is>
      </c>
      <c r="Q36" s="92" t="inlineStr">
        <is>
          <t>Local absentee</t>
        </is>
      </c>
      <c r="R36" s="92" t="inlineStr">
        <is>
          <t>Passive vehicle</t>
        </is>
      </c>
      <c r="S36" s="92" t="n">
        <v>2</v>
      </c>
      <c r="T36" s="96">
        <f>INDEX('Scoring Method'!$B$6:$B$9,MATCH(M36,'Scoring Method'!$A$6:$A$9,0))+INDEX('Scoring Method'!$B$12:$B$16,MATCH(N36,'Scoring Method'!$A$12:$A$16,0))+INDEX('Scoring Method'!$B$19:$B$22,MATCH(O36,'Scoring Method'!$A$19:$A$22,0))+INDEX('Scoring Method'!$B$25:$B$27,MATCH(P36,'Scoring Method'!$A$25:$A$27,0))</f>
        <v/>
      </c>
      <c r="U36" s="96">
        <f>(INDEX('Scoring Method'!$B$30:$B$33,MATCH(Q36,'Scoring Method'!$A$30:$A$33,0))+INDEX('Scoring Method'!$B$36:$B$42,MATCH(R36,'Scoring Method'!$A$36:$A$42,0))+INDEX('Scoring Method'!$B$45:$B$47,MATCH(IF(S36=1,"1",IF(S36=2,"2","3+")),'Scoring Method'!$A$45:$A$47,0)))/90*100</f>
        <v/>
      </c>
      <c r="V36" s="96">
        <f>T36*U36/100</f>
        <v/>
      </c>
      <c r="W36" s="93" t="n"/>
      <c r="X36" s="92" t="inlineStr">
        <is>
          <t>X (minimal hazard)</t>
        </is>
      </c>
      <c r="Y36" s="93" t="n">
        <v>21250</v>
      </c>
      <c r="Z36" s="97" t="n"/>
      <c r="AA36" s="98" t="n"/>
      <c r="AB36" s="92" t="n"/>
      <c r="AC36" s="92" t="n">
        <v>0.49</v>
      </c>
      <c r="AD36" s="92" t="inlineStr">
        <is>
          <t>ok</t>
        </is>
      </c>
      <c r="AE36" s="92" t="inlineStr">
        <is>
          <t>No building</t>
        </is>
      </c>
      <c r="AF36" s="96">
        <f>INDEX('Scoring Method'!$B$63:$B$71,MATCH(AE36,'Scoring Method'!$A$63:$A$71,0))+INDEX('Scoring Method'!$B$75:$B$79,MATCH("Ample &gt;=15k",'Scoring Method'!$A$75:$A$79,0))+INDEX('Scoring Method'!$B$343:$B$347,MATCH(X36,'Scoring Method'!$A$343:$A$347,0))+INDEX('Scoring Method'!$B$25:$B$27,MATCH(P36,'Scoring Method'!$A$25:$A$27,0))</f>
        <v/>
      </c>
      <c r="AG36" s="96">
        <f>AF36*U36/100</f>
        <v/>
      </c>
      <c r="AH36" s="92" t="inlineStr">
        <is>
          <t>LINK-GIS + LoopNet</t>
        </is>
      </c>
      <c r="AI36" s="99" t="n">
        <v>39.07844</v>
      </c>
      <c r="AJ36" s="99" t="n">
        <v>-84.50986</v>
      </c>
      <c r="AK36" s="94" t="n">
        <v>0.59</v>
      </c>
      <c r="AL36" s="94" t="n">
        <v>0.86</v>
      </c>
      <c r="AM36" s="94" t="n">
        <v>1.6</v>
      </c>
      <c r="AN36" s="94" t="n">
        <v>0.39</v>
      </c>
      <c r="AO36" s="92" t="inlineStr">
        <is>
          <t>Near 0.35-0.75mi</t>
        </is>
      </c>
      <c r="AP36" s="92" t="inlineStr">
        <is>
          <t>Lot / minimal bldg</t>
        </is>
      </c>
      <c r="AQ36" s="92" t="inlineStr">
        <is>
          <t>Ample &gt;=15k</t>
        </is>
      </c>
      <c r="AR36" s="100" t="n"/>
      <c r="AS36" s="96">
        <f>ROUND(INDEX('Scoring Method'!$B$63:$B$70,MATCH(AE36,'Scoring Method'!$A$63:$A$70,0))*0.625+INDEX('Scoring Method'!$B$105:$B$113,MATCH(AP36,'Scoring Method'!$A$105:$A$113,0))+INDEX('Scoring Method'!$B$74:$B$78,MATCH(AQ36,'Scoring Method'!$A$74:$A$78,0))*0.6667+INDEX('Scoring Method'!$B$96:$B$101,MATCH(AO36,'Scoring Method'!$A$96:$A$101,0))+INDEX('Scoring Method'!$B$343:$B$347,MATCH(X36,'Scoring Method'!$A$343:$A$347,0))*0.3333+INDEX('Scoring Method'!$B$25:$B$27,MATCH(P36,'Scoring Method'!$A$25:$A$27,0))*0.3333,1)</f>
        <v/>
      </c>
      <c r="AT36" s="96">
        <f>AS36*U36/100</f>
        <v/>
      </c>
      <c r="AU36" s="92" t="inlineStr">
        <is>
          <t>Eastside</t>
        </is>
      </c>
      <c r="AV36" s="92" t="n">
        <v>28</v>
      </c>
      <c r="AW36" s="101" t="inlineStr">
        <is>
          <t>ESTIMATED</t>
        </is>
      </c>
      <c r="AX36" s="92" t="inlineStr">
        <is>
          <t>High &lt;35</t>
        </is>
      </c>
      <c r="AY36" s="96">
        <f>ROUND(INDEX('Scoring Method'!$B$132:$B$140,MATCH(AE36,'Scoring Method'!$A$132:$A$140,0))+INDEX('Scoring Method'!$B$144:$B$152,MATCH(AP36,'Scoring Method'!$A$144:$A$152,0))+INDEX('Scoring Method'!$B$156:$B$160,MATCH(AQ36,'Scoring Method'!$A$156:$A$160,0))+INDEX('Scoring Method'!$B$164:$B$169,MATCH(AO36,'Scoring Method'!$A$164:$A$169,0))+INDEX('Scoring Method'!$B$173:$B$178,MATCH(AX36,'Scoring Method'!$A$173:$A$178,0))+INDEX('Scoring Method'!$B$349:$B$353,MATCH(X36,'Scoring Method'!$A$349:$A$353,0))+INDEX('Scoring Method'!$B$188:$B$190,MATCH(P36,'Scoring Method'!$A$188:$A$190,0)),1)</f>
        <v/>
      </c>
      <c r="AZ36" s="96">
        <f>AY36*U36/100</f>
        <v/>
      </c>
      <c r="BA36" s="92" t="inlineStr">
        <is>
          <t>No chain signal</t>
        </is>
      </c>
      <c r="BB36" s="94" t="n">
        <v>1</v>
      </c>
      <c r="BC36" s="92" t="inlineStr">
        <is>
          <t>Right-sized 0.35-0.75 AC</t>
        </is>
      </c>
      <c r="BD36" s="94" t="n">
        <v>1</v>
      </c>
      <c r="BE36" s="96">
        <f>ROUND(INDEX('Scoring Method'!$B$268:$B$276,MATCH(AE36,'Scoring Method'!$A$268:$A$276,0))+INDEX('Scoring Method'!$B$280:$B$288,MATCH(AP36,'Scoring Method'!$A$280:$A$288,0))+INDEX('Scoring Method'!$B$292:$B$296,MATCH(AQ36,'Scoring Method'!$A$292:$A$296,0))+INDEX('Scoring Method'!$B$300:$B$305,MATCH(AO36,'Scoring Method'!$A$300:$A$305,0))+INDEX('Scoring Method'!$B$309:$B$314,MATCH(AX36,'Scoring Method'!$A$309:$A$314,0))+INDEX('Scoring Method'!$B$337:$B$341,MATCH(X36,'Scoring Method'!$A$337:$A$341,0))+INDEX('Scoring Method'!$B$324:$B$326,MATCH(P36,'Scoring Method'!$A$324:$A$326,0)),1)</f>
        <v/>
      </c>
      <c r="BF36" s="96">
        <f>ROUND(INDEX('Scoring Method'!$B$268:$B$276,MATCH(AE36,'Scoring Method'!$A$268:$A$276,0))*BB36*BD36+INDEX('Scoring Method'!$B$280:$B$288,MATCH(AP36,'Scoring Method'!$A$280:$A$288,0))*BM36*BB36*BD36+INDEX('Scoring Method'!$B$292:$B$296,MATCH(AQ36,'Scoring Method'!$A$292:$A$296,0))*BD36+INDEX('Scoring Method'!$B$300:$B$305,MATCH(AO36,'Scoring Method'!$A$300:$A$305,0))*BM36*BB36+INDEX('Scoring Method'!$B$309:$B$314,MATCH(AX36,'Scoring Method'!$A$309:$A$314,0))+INDEX('Scoring Method'!$B$337:$B$341,MATCH(X36,'Scoring Method'!$A$337:$A$341,0))+INDEX('Scoring Method'!$B$324:$B$326,MATCH(P36,'Scoring Method'!$A$324:$A$326,0)),1)</f>
        <v/>
      </c>
      <c r="BG36" s="92" t="n"/>
      <c r="BH36" s="61" t="inlineStr">
        <is>
          <t>DTC (TS)</t>
        </is>
      </c>
      <c r="BI36" s="61" t="inlineStr">
        <is>
          <t>Downtown Core</t>
        </is>
      </c>
      <c r="BJ36" s="61" t="inlineStr"/>
      <c r="BK36" s="61" t="inlineStr">
        <is>
          <t>Yes</t>
        </is>
      </c>
      <c r="BL36" s="61" t="inlineStr">
        <is>
          <t>Bar permitted</t>
        </is>
      </c>
      <c r="BM36" s="61">
        <f>INDEX('Scoring Method'!$B$358:$B$363,MATCH(BL36,'Scoring Method'!$A$358:$A$363,0))</f>
        <v/>
      </c>
    </row>
    <row r="37" ht="15" customHeight="1" s="62">
      <c r="A37" s="92" t="n">
        <v>36</v>
      </c>
      <c r="B37" s="92" t="inlineStr">
        <is>
          <t>044-00-01-001.00</t>
        </is>
      </c>
      <c r="C37" s="92" t="inlineStr">
        <is>
          <t>3954 DECKER CRANE LN</t>
        </is>
      </c>
      <c r="D37" s="92" t="inlineStr">
        <is>
          <t>VEATCH INDUSTRIAL PARK LLC</t>
        </is>
      </c>
      <c r="E37" s="92" t="inlineStr">
        <is>
          <t>PO BOX 73213</t>
        </is>
      </c>
      <c r="F37" s="92" t="inlineStr">
        <is>
          <t>BELLEVUE</t>
        </is>
      </c>
      <c r="G37" s="92" t="inlineStr">
        <is>
          <t>KY</t>
        </is>
      </c>
      <c r="H37" s="92" t="inlineStr">
        <is>
          <t>WAREHOUSE 1-20000 SQ FT</t>
        </is>
      </c>
      <c r="I37" s="93" t="n">
        <v>41965</v>
      </c>
      <c r="J37" s="94">
        <f>I37/43560</f>
        <v/>
      </c>
      <c r="K37" s="93" t="n">
        <v>896.4</v>
      </c>
      <c r="L37" s="95">
        <f>I37/(K37^2)</f>
        <v/>
      </c>
      <c r="M37" s="92" t="inlineStr">
        <is>
          <t>Near 14-18k/32-45k</t>
        </is>
      </c>
      <c r="N37" s="92" t="inlineStr">
        <is>
          <t>A</t>
        </is>
      </c>
      <c r="O37" s="92" t="inlineStr">
        <is>
          <t>Regular .045-.055</t>
        </is>
      </c>
      <c r="P37" s="92" t="inlineStr">
        <is>
          <t>Low</t>
        </is>
      </c>
      <c r="Q37" s="92" t="inlineStr">
        <is>
          <t>Out-of-city KY</t>
        </is>
      </c>
      <c r="R37" s="92" t="inlineStr">
        <is>
          <t>Operating entity</t>
        </is>
      </c>
      <c r="S37" s="92" t="n">
        <v>2</v>
      </c>
      <c r="T37" s="96">
        <f>INDEX('Scoring Method'!$B$6:$B$9,MATCH(M37,'Scoring Method'!$A$6:$A$9,0))+INDEX('Scoring Method'!$B$12:$B$16,MATCH(N37,'Scoring Method'!$A$12:$A$16,0))+INDEX('Scoring Method'!$B$19:$B$22,MATCH(O37,'Scoring Method'!$A$19:$A$22,0))+INDEX('Scoring Method'!$B$25:$B$27,MATCH(P37,'Scoring Method'!$A$25:$A$27,0))</f>
        <v/>
      </c>
      <c r="U37" s="96">
        <f>(INDEX('Scoring Method'!$B$30:$B$33,MATCH(Q37,'Scoring Method'!$A$30:$A$33,0))+INDEX('Scoring Method'!$B$36:$B$42,MATCH(R37,'Scoring Method'!$A$36:$A$42,0))+INDEX('Scoring Method'!$B$45:$B$47,MATCH(IF(S37=1,"1",IF(S37=2,"2","3+")),'Scoring Method'!$A$45:$A$47,0)))/90*100</f>
        <v/>
      </c>
      <c r="V37" s="96">
        <f>T37*U37/100</f>
        <v/>
      </c>
      <c r="W37" s="93" t="n">
        <v>9250</v>
      </c>
      <c r="X37" s="92" t="inlineStr">
        <is>
          <t>X (minimal hazard)</t>
        </is>
      </c>
      <c r="Y37" s="93" t="n">
        <v>29975</v>
      </c>
      <c r="Z37" s="97">
        <f>W37/I37</f>
        <v/>
      </c>
      <c r="AA37" s="98">
        <f>MAX(0,(Y37-5000)/300)</f>
        <v/>
      </c>
      <c r="AB37" s="92" t="n"/>
      <c r="AC37" s="92" t="n">
        <v>0.96</v>
      </c>
      <c r="AD37" s="92" t="inlineStr">
        <is>
          <t>ok</t>
        </is>
      </c>
      <c r="AE37" s="92" t="inlineStr">
        <is>
          <t>Oversize 6-12k</t>
        </is>
      </c>
      <c r="AF37" s="96">
        <f>INDEX('Scoring Method'!$B$63:$B$71,MATCH(AE37,'Scoring Method'!$A$63:$A$71,0))+INDEX('Scoring Method'!$B$75:$B$79,MATCH("Ample &gt;=15k",'Scoring Method'!$A$75:$A$79,0))+INDEX('Scoring Method'!$B$343:$B$347,MATCH(X37,'Scoring Method'!$A$343:$A$347,0))+INDEX('Scoring Method'!$B$25:$B$27,MATCH(P37,'Scoring Method'!$A$25:$A$27,0))</f>
        <v/>
      </c>
      <c r="AG37" s="96">
        <f>AF37*U37/100</f>
        <v/>
      </c>
      <c r="AH37" s="92" t="inlineStr">
        <is>
          <t>LINK-GIS + LoopNet</t>
        </is>
      </c>
      <c r="AI37" s="99" t="n">
        <v>39.00347</v>
      </c>
      <c r="AJ37" s="99" t="n">
        <v>-84.53375</v>
      </c>
      <c r="AK37" s="94" t="n">
        <v>5.66</v>
      </c>
      <c r="AL37" s="94" t="n">
        <v>6.19</v>
      </c>
      <c r="AM37" s="94" t="n">
        <v>6.87</v>
      </c>
      <c r="AN37" s="94" t="n">
        <v>5.66</v>
      </c>
      <c r="AO37" s="92" t="inlineStr">
        <is>
          <t>Remote &gt;3mi</t>
        </is>
      </c>
      <c r="AP37" s="92" t="inlineStr">
        <is>
          <t>Open span</t>
        </is>
      </c>
      <c r="AQ37" s="92" t="inlineStr">
        <is>
          <t>Ample &gt;=15k</t>
        </is>
      </c>
      <c r="AR37" s="100" t="n"/>
      <c r="AS37" s="96">
        <f>ROUND(INDEX('Scoring Method'!$B$63:$B$70,MATCH(AE37,'Scoring Method'!$A$63:$A$70,0))*0.625+INDEX('Scoring Method'!$B$105:$B$113,MATCH(AP37,'Scoring Method'!$A$105:$A$113,0))+INDEX('Scoring Method'!$B$74:$B$78,MATCH(AQ37,'Scoring Method'!$A$74:$A$78,0))*0.6667+INDEX('Scoring Method'!$B$96:$B$101,MATCH(AO37,'Scoring Method'!$A$96:$A$101,0))+INDEX('Scoring Method'!$B$343:$B$347,MATCH(X37,'Scoring Method'!$A$343:$A$347,0))*0.3333+INDEX('Scoring Method'!$B$25:$B$27,MATCH(P37,'Scoring Method'!$A$25:$A$27,0))*0.3333,1)</f>
        <v/>
      </c>
      <c r="AT37" s="96">
        <f>AS37*U37/100</f>
        <v/>
      </c>
      <c r="AU37" s="92" t="inlineStr">
        <is>
          <t>South Covington</t>
        </is>
      </c>
      <c r="AV37" s="92" t="n">
        <v>88</v>
      </c>
      <c r="AW37" s="92" t="inlineStr">
        <is>
          <t>Sourced</t>
        </is>
      </c>
      <c r="AX37" s="92" t="inlineStr">
        <is>
          <t>Very safe 80+</t>
        </is>
      </c>
      <c r="AY37" s="96">
        <f>ROUND(INDEX('Scoring Method'!$B$132:$B$140,MATCH(AE37,'Scoring Method'!$A$132:$A$140,0))+INDEX('Scoring Method'!$B$144:$B$152,MATCH(AP37,'Scoring Method'!$A$144:$A$152,0))+INDEX('Scoring Method'!$B$156:$B$160,MATCH(AQ37,'Scoring Method'!$A$156:$A$160,0))+INDEX('Scoring Method'!$B$164:$B$169,MATCH(AO37,'Scoring Method'!$A$164:$A$169,0))+INDEX('Scoring Method'!$B$173:$B$178,MATCH(AX37,'Scoring Method'!$A$173:$A$178,0))+INDEX('Scoring Method'!$B$349:$B$353,MATCH(X37,'Scoring Method'!$A$349:$A$353,0))+INDEX('Scoring Method'!$B$188:$B$190,MATCH(P37,'Scoring Method'!$A$188:$A$190,0)),1)</f>
        <v/>
      </c>
      <c r="AZ37" s="96">
        <f>AY37*U37/100</f>
        <v/>
      </c>
      <c r="BA37" s="92" t="inlineStr">
        <is>
          <t>No chain signal</t>
        </is>
      </c>
      <c r="BB37" s="94" t="n">
        <v>1</v>
      </c>
      <c r="BC37" s="102" t="inlineStr">
        <is>
          <t>Large 0.75-1.25 AC</t>
        </is>
      </c>
      <c r="BD37" s="94" t="n">
        <v>0.9</v>
      </c>
      <c r="BE37" s="96">
        <f>ROUND(INDEX('Scoring Method'!$B$268:$B$276,MATCH(AE37,'Scoring Method'!$A$268:$A$276,0))+INDEX('Scoring Method'!$B$280:$B$288,MATCH(AP37,'Scoring Method'!$A$280:$A$288,0))+INDEX('Scoring Method'!$B$292:$B$296,MATCH(AQ37,'Scoring Method'!$A$292:$A$296,0))+INDEX('Scoring Method'!$B$300:$B$305,MATCH(AO37,'Scoring Method'!$A$300:$A$305,0))+INDEX('Scoring Method'!$B$309:$B$314,MATCH(AX37,'Scoring Method'!$A$309:$A$314,0))+INDEX('Scoring Method'!$B$337:$B$341,MATCH(X37,'Scoring Method'!$A$337:$A$341,0))+INDEX('Scoring Method'!$B$324:$B$326,MATCH(P37,'Scoring Method'!$A$324:$A$326,0)),1)</f>
        <v/>
      </c>
      <c r="BF37" s="96">
        <f>ROUND(INDEX('Scoring Method'!$B$268:$B$276,MATCH(AE37,'Scoring Method'!$A$268:$A$276,0))*BB37*BD37+INDEX('Scoring Method'!$B$280:$B$288,MATCH(AP37,'Scoring Method'!$A$280:$A$288,0))*BM37*BB37*BD37+INDEX('Scoring Method'!$B$292:$B$296,MATCH(AQ37,'Scoring Method'!$A$292:$A$296,0))*BD37+INDEX('Scoring Method'!$B$300:$B$305,MATCH(AO37,'Scoring Method'!$A$300:$A$305,0))*BM37*BB37+INDEX('Scoring Method'!$B$309:$B$314,MATCH(AX37,'Scoring Method'!$A$309:$A$314,0))+INDEX('Scoring Method'!$B$337:$B$341,MATCH(X37,'Scoring Method'!$A$337:$A$341,0))+INDEX('Scoring Method'!$B$324:$B$326,MATCH(P37,'Scoring Method'!$A$324:$A$326,0)),1)</f>
        <v/>
      </c>
      <c r="BG37" s="92" t="inlineStr">
        <is>
          <t>Fits (~$8,479/mo)</t>
        </is>
      </c>
      <c r="BH37" s="61" t="inlineStr">
        <is>
          <t>SI</t>
        </is>
      </c>
      <c r="BI37" s="61" t="inlineStr">
        <is>
          <t>Suburban Industrial</t>
        </is>
      </c>
      <c r="BJ37" s="61" t="inlineStr"/>
      <c r="BK37" s="61" t="inlineStr"/>
      <c r="BL37" s="61" t="inlineStr">
        <is>
          <t>Bar permitted</t>
        </is>
      </c>
      <c r="BM37" s="61">
        <f>INDEX('Scoring Method'!$B$358:$B$363,MATCH(BL37,'Scoring Method'!$A$358:$A$363,0))</f>
        <v/>
      </c>
    </row>
    <row r="38" ht="15" customHeight="1" s="62">
      <c r="A38" s="92" t="n">
        <v>37</v>
      </c>
      <c r="B38" s="92" t="inlineStr">
        <is>
          <t>055-32-03-003.00</t>
        </is>
      </c>
      <c r="C38" s="92" t="inlineStr">
        <is>
          <t>217 E 19TH ST</t>
        </is>
      </c>
      <c r="D38" s="92" t="inlineStr">
        <is>
          <t>BOONE MICHAEL P &amp; DANIEL T</t>
        </is>
      </c>
      <c r="E38" s="92" t="inlineStr">
        <is>
          <t>221 E 19TH ST</t>
        </is>
      </c>
      <c r="F38" s="92" t="inlineStr">
        <is>
          <t>COVINGTON</t>
        </is>
      </c>
      <c r="G38" s="92" t="inlineStr">
        <is>
          <t>KY</t>
        </is>
      </c>
      <c r="H38" s="92" t="inlineStr">
        <is>
          <t>SMALL SHOP</t>
        </is>
      </c>
      <c r="I38" s="93" t="n">
        <v>17240</v>
      </c>
      <c r="J38" s="94">
        <f>I38/43560</f>
        <v/>
      </c>
      <c r="K38" s="93" t="n">
        <v>564.3</v>
      </c>
      <c r="L38" s="95">
        <f>I38/(K38^2)</f>
        <v/>
      </c>
      <c r="M38" s="92" t="inlineStr">
        <is>
          <t>Near 14-18k/32-45k</t>
        </is>
      </c>
      <c r="N38" s="92" t="inlineStr">
        <is>
          <t>A</t>
        </is>
      </c>
      <c r="O38" s="92" t="inlineStr">
        <is>
          <t>Regular .045-.055</t>
        </is>
      </c>
      <c r="P38" s="92" t="inlineStr">
        <is>
          <t>Low</t>
        </is>
      </c>
      <c r="Q38" s="92" t="inlineStr">
        <is>
          <t>Local absentee</t>
        </is>
      </c>
      <c r="R38" s="92" t="inlineStr">
        <is>
          <t>Individual</t>
        </is>
      </c>
      <c r="S38" s="92" t="n">
        <v>1</v>
      </c>
      <c r="T38" s="96">
        <f>INDEX('Scoring Method'!$B$6:$B$9,MATCH(M38,'Scoring Method'!$A$6:$A$9,0))+INDEX('Scoring Method'!$B$12:$B$16,MATCH(N38,'Scoring Method'!$A$12:$A$16,0))+INDEX('Scoring Method'!$B$19:$B$22,MATCH(O38,'Scoring Method'!$A$19:$A$22,0))+INDEX('Scoring Method'!$B$25:$B$27,MATCH(P38,'Scoring Method'!$A$25:$A$27,0))</f>
        <v/>
      </c>
      <c r="U38" s="96">
        <f>(INDEX('Scoring Method'!$B$30:$B$33,MATCH(Q38,'Scoring Method'!$A$30:$A$33,0))+INDEX('Scoring Method'!$B$36:$B$42,MATCH(R38,'Scoring Method'!$A$36:$A$42,0))+INDEX('Scoring Method'!$B$45:$B$47,MATCH(IF(S38=1,"1",IF(S38=2,"2","3+")),'Scoring Method'!$A$45:$A$47,0)))/90*100</f>
        <v/>
      </c>
      <c r="V38" s="96">
        <f>T38*U38/100</f>
        <v/>
      </c>
      <c r="W38" s="93" t="n">
        <v>5991</v>
      </c>
      <c r="X38" s="92" t="inlineStr">
        <is>
          <t>X (minimal hazard)</t>
        </is>
      </c>
      <c r="Y38" s="93" t="n">
        <v>7225</v>
      </c>
      <c r="Z38" s="97">
        <f>W38/I38</f>
        <v/>
      </c>
      <c r="AA38" s="98">
        <f>MAX(0,(Y38-5000)/300)</f>
        <v/>
      </c>
      <c r="AB38" s="92" t="n"/>
      <c r="AC38" s="92" t="n">
        <v>0.4</v>
      </c>
      <c r="AD38" s="92" t="inlineStr">
        <is>
          <t>ok</t>
        </is>
      </c>
      <c r="AE38" s="92" t="inlineStr">
        <is>
          <t>Large 4-6k</t>
        </is>
      </c>
      <c r="AF38" s="96">
        <f>INDEX('Scoring Method'!$B$63:$B$71,MATCH(AE38,'Scoring Method'!$A$63:$A$71,0))+INDEX('Scoring Method'!$B$75:$B$79,MATCH("Adequate 5-8k",'Scoring Method'!$A$75:$A$79,0))+INDEX('Scoring Method'!$B$343:$B$347,MATCH(X38,'Scoring Method'!$A$343:$A$347,0))+INDEX('Scoring Method'!$B$25:$B$27,MATCH(P38,'Scoring Method'!$A$25:$A$27,0))</f>
        <v/>
      </c>
      <c r="AG38" s="96">
        <f>AF38*U38/100</f>
        <v/>
      </c>
      <c r="AH38" s="92" t="inlineStr">
        <is>
          <t>LINK-GIS + LoopNet</t>
        </is>
      </c>
      <c r="AI38" s="99" t="n">
        <v>39.0683</v>
      </c>
      <c r="AJ38" s="99" t="n">
        <v>-84.50228</v>
      </c>
      <c r="AK38" s="94" t="n">
        <v>1.39</v>
      </c>
      <c r="AL38" s="94" t="n">
        <v>1.59</v>
      </c>
      <c r="AM38" s="94" t="n">
        <v>2.36</v>
      </c>
      <c r="AN38" s="94" t="n">
        <v>1.18</v>
      </c>
      <c r="AO38" s="92" t="inlineStr">
        <is>
          <t>Fringe 0.75-1.25mi</t>
        </is>
      </c>
      <c r="AP38" s="92" t="inlineStr">
        <is>
          <t>Open span</t>
        </is>
      </c>
      <c r="AQ38" s="92" t="inlineStr">
        <is>
          <t>Adequate 5-8k</t>
        </is>
      </c>
      <c r="AR38" s="100" t="n"/>
      <c r="AS38" s="96">
        <f>ROUND(INDEX('Scoring Method'!$B$63:$B$70,MATCH(AE38,'Scoring Method'!$A$63:$A$70,0))*0.625+INDEX('Scoring Method'!$B$105:$B$113,MATCH(AP38,'Scoring Method'!$A$105:$A$113,0))+INDEX('Scoring Method'!$B$74:$B$78,MATCH(AQ38,'Scoring Method'!$A$74:$A$78,0))*0.6667+INDEX('Scoring Method'!$B$96:$B$101,MATCH(AO38,'Scoring Method'!$A$96:$A$101,0))+INDEX('Scoring Method'!$B$343:$B$347,MATCH(X38,'Scoring Method'!$A$343:$A$347,0))*0.3333+INDEX('Scoring Method'!$B$25:$B$27,MATCH(P38,'Scoring Method'!$A$25:$A$27,0))*0.3333,1)</f>
        <v/>
      </c>
      <c r="AT38" s="96">
        <f>AS38*U38/100</f>
        <v/>
      </c>
      <c r="AU38" s="92" t="inlineStr">
        <is>
          <t>Levassor Park</t>
        </is>
      </c>
      <c r="AV38" s="92" t="n">
        <v>42</v>
      </c>
      <c r="AW38" s="101" t="inlineStr">
        <is>
          <t>ESTIMATED</t>
        </is>
      </c>
      <c r="AX38" s="92" t="inlineStr">
        <is>
          <t>Elevated 35-44</t>
        </is>
      </c>
      <c r="AY38" s="96">
        <f>ROUND(INDEX('Scoring Method'!$B$132:$B$140,MATCH(AE38,'Scoring Method'!$A$132:$A$140,0))+INDEX('Scoring Method'!$B$144:$B$152,MATCH(AP38,'Scoring Method'!$A$144:$A$152,0))+INDEX('Scoring Method'!$B$156:$B$160,MATCH(AQ38,'Scoring Method'!$A$156:$A$160,0))+INDEX('Scoring Method'!$B$164:$B$169,MATCH(AO38,'Scoring Method'!$A$164:$A$169,0))+INDEX('Scoring Method'!$B$173:$B$178,MATCH(AX38,'Scoring Method'!$A$173:$A$178,0))+INDEX('Scoring Method'!$B$349:$B$353,MATCH(X38,'Scoring Method'!$A$349:$A$353,0))+INDEX('Scoring Method'!$B$188:$B$190,MATCH(P38,'Scoring Method'!$A$188:$A$190,0)),1)</f>
        <v/>
      </c>
      <c r="AZ38" s="96">
        <f>AY38*U38/100</f>
        <v/>
      </c>
      <c r="BA38" s="92" t="inlineStr">
        <is>
          <t>No chain signal</t>
        </is>
      </c>
      <c r="BB38" s="94" t="n">
        <v>1</v>
      </c>
      <c r="BC38" s="92" t="inlineStr">
        <is>
          <t>Right-sized 0.35-0.75 AC</t>
        </is>
      </c>
      <c r="BD38" s="94" t="n">
        <v>1</v>
      </c>
      <c r="BE38" s="96">
        <f>ROUND(INDEX('Scoring Method'!$B$268:$B$276,MATCH(AE38,'Scoring Method'!$A$268:$A$276,0))+INDEX('Scoring Method'!$B$280:$B$288,MATCH(AP38,'Scoring Method'!$A$280:$A$288,0))+INDEX('Scoring Method'!$B$292:$B$296,MATCH(AQ38,'Scoring Method'!$A$292:$A$296,0))+INDEX('Scoring Method'!$B$300:$B$305,MATCH(AO38,'Scoring Method'!$A$300:$A$305,0))+INDEX('Scoring Method'!$B$309:$B$314,MATCH(AX38,'Scoring Method'!$A$309:$A$314,0))+INDEX('Scoring Method'!$B$337:$B$341,MATCH(X38,'Scoring Method'!$A$337:$A$341,0))+INDEX('Scoring Method'!$B$324:$B$326,MATCH(P38,'Scoring Method'!$A$324:$A$326,0)),1)</f>
        <v/>
      </c>
      <c r="BF38" s="96">
        <f>ROUND(INDEX('Scoring Method'!$B$268:$B$276,MATCH(AE38,'Scoring Method'!$A$268:$A$276,0))*BB38*BD38+INDEX('Scoring Method'!$B$280:$B$288,MATCH(AP38,'Scoring Method'!$A$280:$A$288,0))*BM38*BB38*BD38+INDEX('Scoring Method'!$B$292:$B$296,MATCH(AQ38,'Scoring Method'!$A$292:$A$296,0))*BD38+INDEX('Scoring Method'!$B$300:$B$305,MATCH(AO38,'Scoring Method'!$A$300:$A$305,0))*BM38*BB38+INDEX('Scoring Method'!$B$309:$B$314,MATCH(AX38,'Scoring Method'!$A$309:$A$314,0))+INDEX('Scoring Method'!$B$337:$B$341,MATCH(X38,'Scoring Method'!$A$337:$A$341,0))+INDEX('Scoring Method'!$B$324:$B$326,MATCH(P38,'Scoring Method'!$A$324:$A$326,0)),1)</f>
        <v/>
      </c>
      <c r="BG38" s="92" t="inlineStr">
        <is>
          <t>Fits (~$5,492/mo)</t>
        </is>
      </c>
      <c r="BH38" s="61" t="inlineStr">
        <is>
          <t>SU</t>
        </is>
      </c>
      <c r="BI38" s="61" t="inlineStr">
        <is>
          <t>Semi-Urban Residential</t>
        </is>
      </c>
      <c r="BJ38" s="61" t="inlineStr"/>
      <c r="BK38" s="61" t="inlineStr"/>
      <c r="BL38" s="61" t="inlineStr">
        <is>
          <t>SU corner unverified</t>
        </is>
      </c>
      <c r="BM38" s="61">
        <f>INDEX('Scoring Method'!$B$358:$B$363,MATCH(BL38,'Scoring Method'!$A$358:$A$363,0))</f>
        <v/>
      </c>
    </row>
    <row r="39" ht="15" customHeight="1" s="62">
      <c r="A39" s="92" t="n">
        <v>38</v>
      </c>
      <c r="B39" s="92" t="inlineStr">
        <is>
          <t>055-13-10-001.00</t>
        </is>
      </c>
      <c r="C39" s="92" t="inlineStr">
        <is>
          <t>1602 MADISON AVE</t>
        </is>
      </c>
      <c r="D39" s="92" t="inlineStr">
        <is>
          <t>COVINGTON PLAZA HOLDING LLC</t>
        </is>
      </c>
      <c r="E39" s="92" t="inlineStr">
        <is>
          <t>855 MAN O WAR BLVD</t>
        </is>
      </c>
      <c r="F39" s="92" t="inlineStr">
        <is>
          <t>UNION</t>
        </is>
      </c>
      <c r="G39" s="92" t="inlineStr">
        <is>
          <t>KY</t>
        </is>
      </c>
      <c r="H39" s="92" t="inlineStr">
        <is>
          <t>OTHER RETAIL</t>
        </is>
      </c>
      <c r="I39" s="93" t="n">
        <v>21895</v>
      </c>
      <c r="J39" s="94">
        <f>I39/43560</f>
        <v/>
      </c>
      <c r="K39" s="93" t="n">
        <v>620.8</v>
      </c>
      <c r="L39" s="95">
        <f>I39/(K39^2)</f>
        <v/>
      </c>
      <c r="M39" s="92" t="inlineStr">
        <is>
          <t>Ideal 18-32k</t>
        </is>
      </c>
      <c r="N39" s="92" t="inlineStr">
        <is>
          <t>C</t>
        </is>
      </c>
      <c r="O39" s="92" t="inlineStr">
        <is>
          <t>Compact &gt;=.055</t>
        </is>
      </c>
      <c r="P39" s="92" t="inlineStr">
        <is>
          <t>Low</t>
        </is>
      </c>
      <c r="Q39" s="92" t="inlineStr">
        <is>
          <t>Out-of-city KY</t>
        </is>
      </c>
      <c r="R39" s="92" t="inlineStr">
        <is>
          <t>Operating entity</t>
        </is>
      </c>
      <c r="S39" s="92" t="n">
        <v>2</v>
      </c>
      <c r="T39" s="96">
        <f>INDEX('Scoring Method'!$B$6:$B$9,MATCH(M39,'Scoring Method'!$A$6:$A$9,0))+INDEX('Scoring Method'!$B$12:$B$16,MATCH(N39,'Scoring Method'!$A$12:$A$16,0))+INDEX('Scoring Method'!$B$19:$B$22,MATCH(O39,'Scoring Method'!$A$19:$A$22,0))+INDEX('Scoring Method'!$B$25:$B$27,MATCH(P39,'Scoring Method'!$A$25:$A$27,0))</f>
        <v/>
      </c>
      <c r="U39" s="96">
        <f>(INDEX('Scoring Method'!$B$30:$B$33,MATCH(Q39,'Scoring Method'!$A$30:$A$33,0))+INDEX('Scoring Method'!$B$36:$B$42,MATCH(R39,'Scoring Method'!$A$36:$A$42,0))+INDEX('Scoring Method'!$B$45:$B$47,MATCH(IF(S39=1,"1",IF(S39=2,"2","3+")),'Scoring Method'!$A$45:$A$47,0)))/90*100</f>
        <v/>
      </c>
      <c r="V39" s="96">
        <f>T39*U39/100</f>
        <v/>
      </c>
      <c r="W39" s="93" t="n">
        <v>5092</v>
      </c>
      <c r="X39" s="92" t="inlineStr">
        <is>
          <t>X (minimal hazard)</t>
        </is>
      </c>
      <c r="Y39" s="93" t="n">
        <v>16525</v>
      </c>
      <c r="Z39" s="97" t="n"/>
      <c r="AA39" s="98">
        <f>MAX(0,(Y39-5000)/300)</f>
        <v/>
      </c>
      <c r="AB39" s="92" t="n"/>
      <c r="AC39" s="92" t="n"/>
      <c r="AD39" s="92" t="n"/>
      <c r="AE39" s="92" t="inlineStr">
        <is>
          <t>Large 4-6k</t>
        </is>
      </c>
      <c r="AF39" s="96">
        <f>INDEX('Scoring Method'!$B$63:$B$71,MATCH(AE39,'Scoring Method'!$A$63:$A$71,0))+INDEX('Scoring Method'!$B$75:$B$79,MATCH("Ample &gt;=15k",'Scoring Method'!$A$75:$A$79,0))+INDEX('Scoring Method'!$B$343:$B$347,MATCH(X39,'Scoring Method'!$A$343:$A$347,0))+INDEX('Scoring Method'!$B$25:$B$27,MATCH(P39,'Scoring Method'!$A$25:$A$27,0))</f>
        <v/>
      </c>
      <c r="AG39" s="96">
        <f>AF39*U39/100</f>
        <v/>
      </c>
      <c r="AH39" s="92" t="inlineStr">
        <is>
          <t>LINK-GIS + LoopNet (2026-08-02)</t>
        </is>
      </c>
      <c r="AI39" s="99" t="n">
        <v>39.07152</v>
      </c>
      <c r="AJ39" s="99" t="n">
        <v>-84.50655999999999</v>
      </c>
      <c r="AK39" s="94" t="n">
        <v>1.08</v>
      </c>
      <c r="AL39" s="94" t="n">
        <v>1.34</v>
      </c>
      <c r="AM39" s="94" t="n">
        <v>2.09</v>
      </c>
      <c r="AN39" s="94" t="n">
        <v>0.89</v>
      </c>
      <c r="AO39" s="92" t="inlineStr">
        <is>
          <t>Fringe 0.75-1.25mi</t>
        </is>
      </c>
      <c r="AP39" s="92" t="inlineStr">
        <is>
          <t>Retail shell</t>
        </is>
      </c>
      <c r="AQ39" s="92" t="inlineStr">
        <is>
          <t>Ample &gt;=15k</t>
        </is>
      </c>
      <c r="AR39" s="100" t="n"/>
      <c r="AS39" s="96">
        <f>ROUND(INDEX('Scoring Method'!$B$63:$B$70,MATCH(AE39,'Scoring Method'!$A$63:$A$70,0))*0.625+INDEX('Scoring Method'!$B$105:$B$113,MATCH(AP39,'Scoring Method'!$A$105:$A$113,0))+INDEX('Scoring Method'!$B$74:$B$78,MATCH(AQ39,'Scoring Method'!$A$74:$A$78,0))*0.6667+INDEX('Scoring Method'!$B$96:$B$101,MATCH(AO39,'Scoring Method'!$A$96:$A$101,0))+INDEX('Scoring Method'!$B$343:$B$347,MATCH(X39,'Scoring Method'!$A$343:$A$347,0))*0.3333+INDEX('Scoring Method'!$B$25:$B$27,MATCH(P39,'Scoring Method'!$A$25:$A$27,0))*0.3333,1)</f>
        <v/>
      </c>
      <c r="AT39" s="96">
        <f>AS39*U39/100</f>
        <v/>
      </c>
      <c r="AU39" s="92" t="inlineStr">
        <is>
          <t>Eastside</t>
        </is>
      </c>
      <c r="AV39" s="92" t="n">
        <v>28</v>
      </c>
      <c r="AW39" s="101" t="inlineStr">
        <is>
          <t>ESTIMATED</t>
        </is>
      </c>
      <c r="AX39" s="92" t="inlineStr">
        <is>
          <t>High &lt;35</t>
        </is>
      </c>
      <c r="AY39" s="96">
        <f>ROUND(INDEX('Scoring Method'!$B$132:$B$140,MATCH(AE39,'Scoring Method'!$A$132:$A$140,0))+INDEX('Scoring Method'!$B$144:$B$152,MATCH(AP39,'Scoring Method'!$A$144:$A$152,0))+INDEX('Scoring Method'!$B$156:$B$160,MATCH(AQ39,'Scoring Method'!$A$156:$A$160,0))+INDEX('Scoring Method'!$B$164:$B$169,MATCH(AO39,'Scoring Method'!$A$164:$A$169,0))+INDEX('Scoring Method'!$B$173:$B$178,MATCH(AX39,'Scoring Method'!$A$173:$A$178,0))+INDEX('Scoring Method'!$B$349:$B$353,MATCH(X39,'Scoring Method'!$A$349:$A$353,0))+INDEX('Scoring Method'!$B$188:$B$190,MATCH(P39,'Scoring Method'!$A$188:$A$190,0)),1)</f>
        <v/>
      </c>
      <c r="AZ39" s="96">
        <f>AY39*U39/100</f>
        <v/>
      </c>
      <c r="BA39" s="92" t="inlineStr">
        <is>
          <t>No chain signal</t>
        </is>
      </c>
      <c r="BB39" s="94" t="n">
        <v>1</v>
      </c>
      <c r="BC39" s="92" t="inlineStr">
        <is>
          <t>Right-sized 0.35-0.75 AC</t>
        </is>
      </c>
      <c r="BD39" s="94" t="n">
        <v>1</v>
      </c>
      <c r="BE39" s="96">
        <f>ROUND(INDEX('Scoring Method'!$B$268:$B$276,MATCH(AE39,'Scoring Method'!$A$268:$A$276,0))+INDEX('Scoring Method'!$B$280:$B$288,MATCH(AP39,'Scoring Method'!$A$280:$A$288,0))+INDEX('Scoring Method'!$B$292:$B$296,MATCH(AQ39,'Scoring Method'!$A$292:$A$296,0))+INDEX('Scoring Method'!$B$300:$B$305,MATCH(AO39,'Scoring Method'!$A$300:$A$305,0))+INDEX('Scoring Method'!$B$309:$B$314,MATCH(AX39,'Scoring Method'!$A$309:$A$314,0))+INDEX('Scoring Method'!$B$337:$B$341,MATCH(X39,'Scoring Method'!$A$337:$A$341,0))+INDEX('Scoring Method'!$B$324:$B$326,MATCH(P39,'Scoring Method'!$A$324:$A$326,0)),1)</f>
        <v/>
      </c>
      <c r="BF39" s="96">
        <f>ROUND(INDEX('Scoring Method'!$B$268:$B$276,MATCH(AE39,'Scoring Method'!$A$268:$A$276,0))*BB39*BD39+INDEX('Scoring Method'!$B$280:$B$288,MATCH(AP39,'Scoring Method'!$A$280:$A$288,0))*BM39*BB39*BD39+INDEX('Scoring Method'!$B$292:$B$296,MATCH(AQ39,'Scoring Method'!$A$292:$A$296,0))*BD39+INDEX('Scoring Method'!$B$300:$B$305,MATCH(AO39,'Scoring Method'!$A$300:$A$305,0))*BM39*BB39+INDEX('Scoring Method'!$B$309:$B$314,MATCH(AX39,'Scoring Method'!$A$309:$A$314,0))+INDEX('Scoring Method'!$B$337:$B$341,MATCH(X39,'Scoring Method'!$A$337:$A$341,0))+INDEX('Scoring Method'!$B$324:$B$326,MATCH(P39,'Scoring Method'!$A$324:$A$326,0)),1)</f>
        <v/>
      </c>
      <c r="BG39" s="92" t="inlineStr">
        <is>
          <t>Fits (~$4,668/mo)</t>
        </is>
      </c>
      <c r="BH39" s="61" t="inlineStr">
        <is>
          <t>AUC</t>
        </is>
      </c>
      <c r="BI39" s="61" t="inlineStr">
        <is>
          <t>Auto-Urban Commercial</t>
        </is>
      </c>
      <c r="BJ39" s="61" t="inlineStr"/>
      <c r="BK39" s="61" t="inlineStr"/>
      <c r="BL39" s="61" t="inlineStr">
        <is>
          <t>Bar permitted</t>
        </is>
      </c>
      <c r="BM39" s="61">
        <f>INDEX('Scoring Method'!$B$358:$B$363,MATCH(BL39,'Scoring Method'!$A$358:$A$363,0))</f>
        <v/>
      </c>
    </row>
    <row r="40" ht="15" customHeight="1" s="62">
      <c r="A40" s="92" t="n">
        <v>39</v>
      </c>
      <c r="B40" s="92" t="inlineStr">
        <is>
          <t>041-33-08-030.00</t>
        </is>
      </c>
      <c r="C40" s="92" t="inlineStr">
        <is>
          <t>617 HINDE ST</t>
        </is>
      </c>
      <c r="D40" s="92" t="inlineStr">
        <is>
          <t>GABE HOLDINGS LLC</t>
        </is>
      </c>
      <c r="E40" s="92" t="inlineStr">
        <is>
          <t>28 W 5TH ST</t>
        </is>
      </c>
      <c r="F40" s="92" t="inlineStr">
        <is>
          <t>COVINGTON</t>
        </is>
      </c>
      <c r="G40" s="92" t="inlineStr">
        <is>
          <t>KY</t>
        </is>
      </c>
      <c r="H40" s="92" t="inlineStr">
        <is>
          <t>SMALL SHOP</t>
        </is>
      </c>
      <c r="I40" s="93" t="n">
        <v>32600</v>
      </c>
      <c r="J40" s="94">
        <f>I40/43560</f>
        <v/>
      </c>
      <c r="K40" s="93" t="n">
        <v>727.2</v>
      </c>
      <c r="L40" s="95">
        <f>I40/(K40^2)</f>
        <v/>
      </c>
      <c r="M40" s="92" t="inlineStr">
        <is>
          <t>Near 14-18k/32-45k</t>
        </is>
      </c>
      <c r="N40" s="92" t="inlineStr">
        <is>
          <t>A</t>
        </is>
      </c>
      <c r="O40" s="92" t="inlineStr">
        <is>
          <t>Compact &gt;=.055</t>
        </is>
      </c>
      <c r="P40" s="92" t="inlineStr">
        <is>
          <t>Low</t>
        </is>
      </c>
      <c r="Q40" s="92" t="inlineStr">
        <is>
          <t>Local absentee</t>
        </is>
      </c>
      <c r="R40" s="92" t="inlineStr">
        <is>
          <t>Passive vehicle</t>
        </is>
      </c>
      <c r="S40" s="92" t="n">
        <v>1</v>
      </c>
      <c r="T40" s="96">
        <f>INDEX('Scoring Method'!$B$6:$B$9,MATCH(M40,'Scoring Method'!$A$6:$A$9,0))+INDEX('Scoring Method'!$B$12:$B$16,MATCH(N40,'Scoring Method'!$A$12:$A$16,0))+INDEX('Scoring Method'!$B$19:$B$22,MATCH(O40,'Scoring Method'!$A$19:$A$22,0))+INDEX('Scoring Method'!$B$25:$B$27,MATCH(P40,'Scoring Method'!$A$25:$A$27,0))</f>
        <v/>
      </c>
      <c r="U40" s="96">
        <f>(INDEX('Scoring Method'!$B$30:$B$33,MATCH(Q40,'Scoring Method'!$A$30:$A$33,0))+INDEX('Scoring Method'!$B$36:$B$42,MATCH(R40,'Scoring Method'!$A$36:$A$42,0))+INDEX('Scoring Method'!$B$45:$B$47,MATCH(IF(S40=1,"1",IF(S40=2,"2","3+")),'Scoring Method'!$A$45:$A$47,0)))/90*100</f>
        <v/>
      </c>
      <c r="V40" s="96">
        <f>T40*U40/100</f>
        <v/>
      </c>
      <c r="W40" s="93" t="n"/>
      <c r="X40" s="92" t="inlineStr">
        <is>
          <t>X (minimal hazard)</t>
        </is>
      </c>
      <c r="Y40" s="93" t="n">
        <v>30400</v>
      </c>
      <c r="Z40" s="97" t="n"/>
      <c r="AA40" s="98" t="n"/>
      <c r="AB40" s="92" t="n"/>
      <c r="AC40" s="92" t="n">
        <v>0.75</v>
      </c>
      <c r="AD40" s="92" t="inlineStr">
        <is>
          <t>ok</t>
        </is>
      </c>
      <c r="AE40" s="92" t="inlineStr">
        <is>
          <t>No building</t>
        </is>
      </c>
      <c r="AF40" s="96">
        <f>INDEX('Scoring Method'!$B$63:$B$71,MATCH(AE40,'Scoring Method'!$A$63:$A$71,0))+INDEX('Scoring Method'!$B$75:$B$79,MATCH("Ample &gt;=15k",'Scoring Method'!$A$75:$A$79,0))+INDEX('Scoring Method'!$B$343:$B$347,MATCH(X40,'Scoring Method'!$A$343:$A$347,0))+INDEX('Scoring Method'!$B$25:$B$27,MATCH(P40,'Scoring Method'!$A$25:$A$27,0))</f>
        <v/>
      </c>
      <c r="AG40" s="96">
        <f>AF40*U40/100</f>
        <v/>
      </c>
      <c r="AH40" s="92" t="inlineStr">
        <is>
          <t>LINK-GIS + LoopNet</t>
        </is>
      </c>
      <c r="AI40" s="99" t="n">
        <v>39.07412</v>
      </c>
      <c r="AJ40" s="99" t="n">
        <v>-84.52019</v>
      </c>
      <c r="AK40" s="94" t="n">
        <v>0.72</v>
      </c>
      <c r="AL40" s="94" t="n">
        <v>1.32</v>
      </c>
      <c r="AM40" s="94" t="n">
        <v>1.94</v>
      </c>
      <c r="AN40" s="94" t="n">
        <v>0.72</v>
      </c>
      <c r="AO40" s="92" t="inlineStr">
        <is>
          <t>Near 0.35-0.75mi</t>
        </is>
      </c>
      <c r="AP40" s="92" t="inlineStr">
        <is>
          <t>Open span</t>
        </is>
      </c>
      <c r="AQ40" s="92" t="inlineStr">
        <is>
          <t>Ample &gt;=15k</t>
        </is>
      </c>
      <c r="AR40" s="100" t="n"/>
      <c r="AS40" s="96">
        <f>ROUND(INDEX('Scoring Method'!$B$63:$B$70,MATCH(AE40,'Scoring Method'!$A$63:$A$70,0))*0.625+INDEX('Scoring Method'!$B$105:$B$113,MATCH(AP40,'Scoring Method'!$A$105:$A$113,0))+INDEX('Scoring Method'!$B$74:$B$78,MATCH(AQ40,'Scoring Method'!$A$74:$A$78,0))*0.6667+INDEX('Scoring Method'!$B$96:$B$101,MATCH(AO40,'Scoring Method'!$A$96:$A$101,0))+INDEX('Scoring Method'!$B$343:$B$347,MATCH(X40,'Scoring Method'!$A$343:$A$347,0))*0.3333+INDEX('Scoring Method'!$B$25:$B$27,MATCH(P40,'Scoring Method'!$A$25:$A$27,0))*0.3333,1)</f>
        <v/>
      </c>
      <c r="AT40" s="96">
        <f>AS40*U40/100</f>
        <v/>
      </c>
      <c r="AU40" s="92" t="inlineStr">
        <is>
          <t>Lewisburg</t>
        </is>
      </c>
      <c r="AV40" s="92" t="n">
        <v>65</v>
      </c>
      <c r="AW40" s="92" t="inlineStr">
        <is>
          <t>Sourced</t>
        </is>
      </c>
      <c r="AX40" s="92" t="inlineStr">
        <is>
          <t>Moderate 60-69</t>
        </is>
      </c>
      <c r="AY40" s="96">
        <f>ROUND(INDEX('Scoring Method'!$B$132:$B$140,MATCH(AE40,'Scoring Method'!$A$132:$A$140,0))+INDEX('Scoring Method'!$B$144:$B$152,MATCH(AP40,'Scoring Method'!$A$144:$A$152,0))+INDEX('Scoring Method'!$B$156:$B$160,MATCH(AQ40,'Scoring Method'!$A$156:$A$160,0))+INDEX('Scoring Method'!$B$164:$B$169,MATCH(AO40,'Scoring Method'!$A$164:$A$169,0))+INDEX('Scoring Method'!$B$173:$B$178,MATCH(AX40,'Scoring Method'!$A$173:$A$178,0))+INDEX('Scoring Method'!$B$349:$B$353,MATCH(X40,'Scoring Method'!$A$349:$A$353,0))+INDEX('Scoring Method'!$B$188:$B$190,MATCH(P40,'Scoring Method'!$A$188:$A$190,0)),1)</f>
        <v/>
      </c>
      <c r="AZ40" s="96">
        <f>AY40*U40/100</f>
        <v/>
      </c>
      <c r="BA40" s="92" t="inlineStr">
        <is>
          <t>No chain signal</t>
        </is>
      </c>
      <c r="BB40" s="94" t="n">
        <v>1</v>
      </c>
      <c r="BC40" s="92" t="inlineStr">
        <is>
          <t>Right-sized 0.35-0.75 AC</t>
        </is>
      </c>
      <c r="BD40" s="94" t="n">
        <v>1</v>
      </c>
      <c r="BE40" s="96">
        <f>ROUND(INDEX('Scoring Method'!$B$268:$B$276,MATCH(AE40,'Scoring Method'!$A$268:$A$276,0))+INDEX('Scoring Method'!$B$280:$B$288,MATCH(AP40,'Scoring Method'!$A$280:$A$288,0))+INDEX('Scoring Method'!$B$292:$B$296,MATCH(AQ40,'Scoring Method'!$A$292:$A$296,0))+INDEX('Scoring Method'!$B$300:$B$305,MATCH(AO40,'Scoring Method'!$A$300:$A$305,0))+INDEX('Scoring Method'!$B$309:$B$314,MATCH(AX40,'Scoring Method'!$A$309:$A$314,0))+INDEX('Scoring Method'!$B$337:$B$341,MATCH(X40,'Scoring Method'!$A$337:$A$341,0))+INDEX('Scoring Method'!$B$324:$B$326,MATCH(P40,'Scoring Method'!$A$324:$A$326,0)),1)</f>
        <v/>
      </c>
      <c r="BF40" s="96">
        <f>ROUND(INDEX('Scoring Method'!$B$268:$B$276,MATCH(AE40,'Scoring Method'!$A$268:$A$276,0))*BB40*BD40+INDEX('Scoring Method'!$B$280:$B$288,MATCH(AP40,'Scoring Method'!$A$280:$A$288,0))*BM40*BB40*BD40+INDEX('Scoring Method'!$B$292:$B$296,MATCH(AQ40,'Scoring Method'!$A$292:$A$296,0))*BD40+INDEX('Scoring Method'!$B$300:$B$305,MATCH(AO40,'Scoring Method'!$A$300:$A$305,0))*BM40*BB40+INDEX('Scoring Method'!$B$309:$B$314,MATCH(AX40,'Scoring Method'!$A$309:$A$314,0))+INDEX('Scoring Method'!$B$337:$B$341,MATCH(X40,'Scoring Method'!$A$337:$A$341,0))+INDEX('Scoring Method'!$B$324:$B$326,MATCH(P40,'Scoring Method'!$A$324:$A$326,0)),1)</f>
        <v/>
      </c>
      <c r="BG40" s="92" t="n"/>
      <c r="BH40" s="61" t="inlineStr">
        <is>
          <t>SU</t>
        </is>
      </c>
      <c r="BI40" s="61" t="inlineStr">
        <is>
          <t>Semi-Urban Residential</t>
        </is>
      </c>
      <c r="BJ40" s="61" t="inlineStr"/>
      <c r="BK40" s="61" t="inlineStr"/>
      <c r="BL40" s="61" t="inlineStr">
        <is>
          <t>SU corner unverified</t>
        </is>
      </c>
      <c r="BM40" s="61">
        <f>INDEX('Scoring Method'!$B$358:$B$363,MATCH(BL40,'Scoring Method'!$A$358:$A$363,0))</f>
        <v/>
      </c>
    </row>
    <row r="41" ht="15" customHeight="1" s="62">
      <c r="A41" s="92" t="n">
        <v>40</v>
      </c>
      <c r="B41" s="92" t="inlineStr">
        <is>
          <t>055-31-16-006.00</t>
        </is>
      </c>
      <c r="C41" s="92" t="inlineStr">
        <is>
          <t>417 E 17TH ST</t>
        </is>
      </c>
      <c r="D41" s="92" t="inlineStr">
        <is>
          <t>WIGGINS DANNY T &amp; VICKI J</t>
        </is>
      </c>
      <c r="E41" s="92" t="inlineStr">
        <is>
          <t>1308 ASHFORD PL</t>
        </is>
      </c>
      <c r="F41" s="92" t="inlineStr">
        <is>
          <t>FLORENCE</t>
        </is>
      </c>
      <c r="G41" s="92" t="inlineStr">
        <is>
          <t>KY</t>
        </is>
      </c>
      <c r="H41" s="92" t="inlineStr">
        <is>
          <t>SMALL SHOP</t>
        </is>
      </c>
      <c r="I41" s="93" t="n">
        <v>9238</v>
      </c>
      <c r="J41" s="94">
        <f>I41/43560</f>
        <v/>
      </c>
      <c r="K41" s="93" t="n">
        <v>385.4</v>
      </c>
      <c r="L41" s="95">
        <f>I41/(K41^2)</f>
        <v/>
      </c>
      <c r="M41" s="92" t="inlineStr">
        <is>
          <t>Poor &lt;10k/&gt;60k</t>
        </is>
      </c>
      <c r="N41" s="92" t="inlineStr">
        <is>
          <t>A</t>
        </is>
      </c>
      <c r="O41" s="92" t="inlineStr">
        <is>
          <t>Compact &gt;=.055</t>
        </is>
      </c>
      <c r="P41" s="92" t="inlineStr">
        <is>
          <t>Low</t>
        </is>
      </c>
      <c r="Q41" s="92" t="inlineStr">
        <is>
          <t>Out-of-city KY</t>
        </is>
      </c>
      <c r="R41" s="92" t="inlineStr">
        <is>
          <t>Individual</t>
        </is>
      </c>
      <c r="S41" s="92" t="n">
        <v>1</v>
      </c>
      <c r="T41" s="96">
        <f>INDEX('Scoring Method'!$B$6:$B$9,MATCH(M41,'Scoring Method'!$A$6:$A$9,0))+INDEX('Scoring Method'!$B$12:$B$16,MATCH(N41,'Scoring Method'!$A$12:$A$16,0))+INDEX('Scoring Method'!$B$19:$B$22,MATCH(O41,'Scoring Method'!$A$19:$A$22,0))+INDEX('Scoring Method'!$B$25:$B$27,MATCH(P41,'Scoring Method'!$A$25:$A$27,0))</f>
        <v/>
      </c>
      <c r="U41" s="96">
        <f>(INDEX('Scoring Method'!$B$30:$B$33,MATCH(Q41,'Scoring Method'!$A$30:$A$33,0))+INDEX('Scoring Method'!$B$36:$B$42,MATCH(R41,'Scoring Method'!$A$36:$A$42,0))+INDEX('Scoring Method'!$B$45:$B$47,MATCH(IF(S41=1,"1",IF(S41=2,"2","3+")),'Scoring Method'!$A$45:$A$47,0)))/90*100</f>
        <v/>
      </c>
      <c r="V41" s="96">
        <f>T41*U41/100</f>
        <v/>
      </c>
      <c r="W41" s="93" t="n">
        <v>5677</v>
      </c>
      <c r="X41" s="92" t="inlineStr">
        <is>
          <t>X (minimal hazard)</t>
        </is>
      </c>
      <c r="Y41" s="93" t="n">
        <v>3550</v>
      </c>
      <c r="Z41" s="97">
        <f>W41/I41</f>
        <v/>
      </c>
      <c r="AA41" s="98">
        <f>MAX(0,(Y41-5000)/300)</f>
        <v/>
      </c>
      <c r="AB41" s="92" t="n"/>
      <c r="AC41" s="92" t="n">
        <v>0.2</v>
      </c>
      <c r="AD41" s="92" t="inlineStr">
        <is>
          <t>ok</t>
        </is>
      </c>
      <c r="AE41" s="92" t="inlineStr">
        <is>
          <t>Large 4-6k</t>
        </is>
      </c>
      <c r="AF41" s="96">
        <f>INDEX('Scoring Method'!$B$63:$B$71,MATCH(AE41,'Scoring Method'!$A$63:$A$71,0))+INDEX('Scoring Method'!$B$75:$B$79,MATCH("Tight 2-5k",'Scoring Method'!$A$75:$A$79,0))+INDEX('Scoring Method'!$B$343:$B$347,MATCH(X41,'Scoring Method'!$A$343:$A$347,0))+INDEX('Scoring Method'!$B$25:$B$27,MATCH(P41,'Scoring Method'!$A$25:$A$27,0))</f>
        <v/>
      </c>
      <c r="AG41" s="96">
        <f>AF41*U41/100</f>
        <v/>
      </c>
      <c r="AH41" s="92" t="inlineStr">
        <is>
          <t>LINK-GIS + LoopNet</t>
        </is>
      </c>
      <c r="AI41" s="99" t="n">
        <v>39.07126</v>
      </c>
      <c r="AJ41" s="99" t="n">
        <v>-84.49888</v>
      </c>
      <c r="AK41" s="94" t="n">
        <v>1.36</v>
      </c>
      <c r="AL41" s="94" t="n">
        <v>1.45</v>
      </c>
      <c r="AM41" s="94" t="n">
        <v>2.21</v>
      </c>
      <c r="AN41" s="94" t="n">
        <v>1.09</v>
      </c>
      <c r="AO41" s="92" t="inlineStr">
        <is>
          <t>Fringe 0.75-1.25mi</t>
        </is>
      </c>
      <c r="AP41" s="92" t="inlineStr">
        <is>
          <t>Open span</t>
        </is>
      </c>
      <c r="AQ41" s="92" t="inlineStr">
        <is>
          <t>Tight 2-5k</t>
        </is>
      </c>
      <c r="AR41" s="100" t="n"/>
      <c r="AS41" s="96">
        <f>ROUND(INDEX('Scoring Method'!$B$63:$B$70,MATCH(AE41,'Scoring Method'!$A$63:$A$70,0))*0.625+INDEX('Scoring Method'!$B$105:$B$113,MATCH(AP41,'Scoring Method'!$A$105:$A$113,0))+INDEX('Scoring Method'!$B$74:$B$78,MATCH(AQ41,'Scoring Method'!$A$74:$A$78,0))*0.6667+INDEX('Scoring Method'!$B$96:$B$101,MATCH(AO41,'Scoring Method'!$A$96:$A$101,0))+INDEX('Scoring Method'!$B$343:$B$347,MATCH(X41,'Scoring Method'!$A$343:$A$347,0))*0.3333+INDEX('Scoring Method'!$B$25:$B$27,MATCH(P41,'Scoring Method'!$A$25:$A$27,0))*0.3333,1)</f>
        <v/>
      </c>
      <c r="AT41" s="96">
        <f>AS41*U41/100</f>
        <v/>
      </c>
      <c r="AU41" s="92" t="inlineStr">
        <is>
          <t>Austinburg</t>
        </is>
      </c>
      <c r="AV41" s="92" t="n">
        <v>32</v>
      </c>
      <c r="AW41" s="101" t="inlineStr">
        <is>
          <t>ESTIMATED</t>
        </is>
      </c>
      <c r="AX41" s="92" t="inlineStr">
        <is>
          <t>High &lt;35</t>
        </is>
      </c>
      <c r="AY41" s="96">
        <f>ROUND(INDEX('Scoring Method'!$B$132:$B$140,MATCH(AE41,'Scoring Method'!$A$132:$A$140,0))+INDEX('Scoring Method'!$B$144:$B$152,MATCH(AP41,'Scoring Method'!$A$144:$A$152,0))+INDEX('Scoring Method'!$B$156:$B$160,MATCH(AQ41,'Scoring Method'!$A$156:$A$160,0))+INDEX('Scoring Method'!$B$164:$B$169,MATCH(AO41,'Scoring Method'!$A$164:$A$169,0))+INDEX('Scoring Method'!$B$173:$B$178,MATCH(AX41,'Scoring Method'!$A$173:$A$178,0))+INDEX('Scoring Method'!$B$349:$B$353,MATCH(X41,'Scoring Method'!$A$349:$A$353,0))+INDEX('Scoring Method'!$B$188:$B$190,MATCH(P41,'Scoring Method'!$A$188:$A$190,0)),1)</f>
        <v/>
      </c>
      <c r="AZ41" s="96">
        <f>AY41*U41/100</f>
        <v/>
      </c>
      <c r="BA41" s="92" t="inlineStr">
        <is>
          <t>No chain signal</t>
        </is>
      </c>
      <c r="BB41" s="94" t="n">
        <v>1</v>
      </c>
      <c r="BC41" s="103" t="inlineStr">
        <is>
          <t>Extra small 0.15-0.25 AC</t>
        </is>
      </c>
      <c r="BD41" s="94" t="n">
        <v>0.8</v>
      </c>
      <c r="BE41" s="96">
        <f>ROUND(INDEX('Scoring Method'!$B$268:$B$276,MATCH(AE41,'Scoring Method'!$A$268:$A$276,0))+INDEX('Scoring Method'!$B$280:$B$288,MATCH(AP41,'Scoring Method'!$A$280:$A$288,0))+INDEX('Scoring Method'!$B$292:$B$296,MATCH(AQ41,'Scoring Method'!$A$292:$A$296,0))+INDEX('Scoring Method'!$B$300:$B$305,MATCH(AO41,'Scoring Method'!$A$300:$A$305,0))+INDEX('Scoring Method'!$B$309:$B$314,MATCH(AX41,'Scoring Method'!$A$309:$A$314,0))+INDEX('Scoring Method'!$B$337:$B$341,MATCH(X41,'Scoring Method'!$A$337:$A$341,0))+INDEX('Scoring Method'!$B$324:$B$326,MATCH(P41,'Scoring Method'!$A$324:$A$326,0)),1)</f>
        <v/>
      </c>
      <c r="BF41" s="96">
        <f>ROUND(INDEX('Scoring Method'!$B$268:$B$276,MATCH(AE41,'Scoring Method'!$A$268:$A$276,0))*BB41*BD41+INDEX('Scoring Method'!$B$280:$B$288,MATCH(AP41,'Scoring Method'!$A$280:$A$288,0))*BM41*BB41*BD41+INDEX('Scoring Method'!$B$292:$B$296,MATCH(AQ41,'Scoring Method'!$A$292:$A$296,0))*BD41+INDEX('Scoring Method'!$B$300:$B$305,MATCH(AO41,'Scoring Method'!$A$300:$A$305,0))*BM41*BB41+INDEX('Scoring Method'!$B$309:$B$314,MATCH(AX41,'Scoring Method'!$A$309:$A$314,0))+INDEX('Scoring Method'!$B$337:$B$341,MATCH(X41,'Scoring Method'!$A$337:$A$341,0))+INDEX('Scoring Method'!$B$324:$B$326,MATCH(P41,'Scoring Method'!$A$324:$A$326,0)),1)</f>
        <v/>
      </c>
      <c r="BG41" s="92" t="inlineStr">
        <is>
          <t>Fits (~$5,204/mo)</t>
        </is>
      </c>
      <c r="BH41" s="61" t="inlineStr">
        <is>
          <t>CMU</t>
        </is>
      </c>
      <c r="BI41" s="61" t="inlineStr">
        <is>
          <t>Commercial Mixed Use</t>
        </is>
      </c>
      <c r="BJ41" s="61" t="inlineStr"/>
      <c r="BK41" s="61" t="inlineStr"/>
      <c r="BL41" s="61" t="inlineStr">
        <is>
          <t>Bar permitted</t>
        </is>
      </c>
      <c r="BM41" s="61">
        <f>INDEX('Scoring Method'!$B$358:$B$363,MATCH(BL41,'Scoring Method'!$A$358:$A$363,0))</f>
        <v/>
      </c>
    </row>
    <row r="42" ht="15" customHeight="1" s="62">
      <c r="A42" s="92" t="n">
        <v>41</v>
      </c>
      <c r="B42" s="92" t="inlineStr">
        <is>
          <t>055-23-13-001.00</t>
        </is>
      </c>
      <c r="C42" s="92" t="inlineStr">
        <is>
          <t>2401 MADISON AVE</t>
        </is>
      </c>
      <c r="D42" s="92" t="inlineStr">
        <is>
          <t>KENA PROPERTIES LLC</t>
        </is>
      </c>
      <c r="E42" s="92" t="inlineStr">
        <is>
          <t>303 RENN CT</t>
        </is>
      </c>
      <c r="F42" s="92" t="inlineStr">
        <is>
          <t>LOUISVILLE</t>
        </is>
      </c>
      <c r="G42" s="92" t="inlineStr">
        <is>
          <t>KY</t>
        </is>
      </c>
      <c r="H42" s="92" t="inlineStr">
        <is>
          <t>OTHER RETAIL</t>
        </is>
      </c>
      <c r="I42" s="93" t="n">
        <v>32987</v>
      </c>
      <c r="J42" s="94">
        <f>I42/43560</f>
        <v/>
      </c>
      <c r="K42" s="93" t="n">
        <v>739</v>
      </c>
      <c r="L42" s="95">
        <f>I42/(K42^2)</f>
        <v/>
      </c>
      <c r="M42" s="92" t="inlineStr">
        <is>
          <t>Near 14-18k/32-45k</t>
        </is>
      </c>
      <c r="N42" s="92" t="inlineStr">
        <is>
          <t>C</t>
        </is>
      </c>
      <c r="O42" s="92" t="inlineStr">
        <is>
          <t>Compact &gt;=.055</t>
        </is>
      </c>
      <c r="P42" s="92" t="inlineStr">
        <is>
          <t>Low</t>
        </is>
      </c>
      <c r="Q42" s="92" t="inlineStr">
        <is>
          <t>Out-of-city KY</t>
        </is>
      </c>
      <c r="R42" s="92" t="inlineStr">
        <is>
          <t>Passive vehicle</t>
        </is>
      </c>
      <c r="S42" s="92" t="n">
        <v>1</v>
      </c>
      <c r="T42" s="96">
        <f>INDEX('Scoring Method'!$B$6:$B$9,MATCH(M42,'Scoring Method'!$A$6:$A$9,0))+INDEX('Scoring Method'!$B$12:$B$16,MATCH(N42,'Scoring Method'!$A$12:$A$16,0))+INDEX('Scoring Method'!$B$19:$B$22,MATCH(O42,'Scoring Method'!$A$19:$A$22,0))+INDEX('Scoring Method'!$B$25:$B$27,MATCH(P42,'Scoring Method'!$A$25:$A$27,0))</f>
        <v/>
      </c>
      <c r="U42" s="96">
        <f>(INDEX('Scoring Method'!$B$30:$B$33,MATCH(Q42,'Scoring Method'!$A$30:$A$33,0))+INDEX('Scoring Method'!$B$36:$B$42,MATCH(R42,'Scoring Method'!$A$36:$A$42,0))+INDEX('Scoring Method'!$B$45:$B$47,MATCH(IF(S42=1,"1",IF(S42=2,"2","3+")),'Scoring Method'!$A$45:$A$47,0)))/90*100</f>
        <v/>
      </c>
      <c r="V42" s="96">
        <f>T42*U42/100</f>
        <v/>
      </c>
      <c r="W42" s="93" t="n">
        <v>7000</v>
      </c>
      <c r="X42" s="92" t="inlineStr">
        <is>
          <t>X (minimal hazard)</t>
        </is>
      </c>
      <c r="Y42" s="93" t="n">
        <v>23025</v>
      </c>
      <c r="Z42" s="97">
        <f>W42/I42</f>
        <v/>
      </c>
      <c r="AA42" s="98">
        <f>MAX(0,(Y42-5000)/300)</f>
        <v/>
      </c>
      <c r="AB42" s="92" t="n"/>
      <c r="AC42" s="92" t="n">
        <v>0.8</v>
      </c>
      <c r="AD42" s="92" t="inlineStr">
        <is>
          <t>ok</t>
        </is>
      </c>
      <c r="AE42" s="92" t="inlineStr">
        <is>
          <t>Oversize 6-12k</t>
        </is>
      </c>
      <c r="AF42" s="96">
        <f>INDEX('Scoring Method'!$B$63:$B$71,MATCH(AE42,'Scoring Method'!$A$63:$A$71,0))+INDEX('Scoring Method'!$B$75:$B$79,MATCH("Ample &gt;=15k",'Scoring Method'!$A$75:$A$79,0))+INDEX('Scoring Method'!$B$343:$B$347,MATCH(X42,'Scoring Method'!$A$343:$A$347,0))+INDEX('Scoring Method'!$B$25:$B$27,MATCH(P42,'Scoring Method'!$A$25:$A$27,0))</f>
        <v/>
      </c>
      <c r="AG42" s="96">
        <f>AF42*U42/100</f>
        <v/>
      </c>
      <c r="AH42" s="92" t="inlineStr">
        <is>
          <t>LINK-GIS + LoopNet</t>
        </is>
      </c>
      <c r="AI42" s="99" t="n">
        <v>39.06256</v>
      </c>
      <c r="AJ42" s="99" t="n">
        <v>-84.50521999999999</v>
      </c>
      <c r="AK42" s="94" t="n">
        <v>1.65</v>
      </c>
      <c r="AL42" s="94" t="n">
        <v>1.96</v>
      </c>
      <c r="AM42" s="94" t="n">
        <v>2.72</v>
      </c>
      <c r="AN42" s="94" t="n">
        <v>1.51</v>
      </c>
      <c r="AO42" s="92" t="inlineStr">
        <is>
          <t>Outer 1.25-2mi</t>
        </is>
      </c>
      <c r="AP42" s="92" t="inlineStr">
        <is>
          <t>Retail shell</t>
        </is>
      </c>
      <c r="AQ42" s="92" t="inlineStr">
        <is>
          <t>Ample &gt;=15k</t>
        </is>
      </c>
      <c r="AR42" s="100" t="n"/>
      <c r="AS42" s="96">
        <f>ROUND(INDEX('Scoring Method'!$B$63:$B$70,MATCH(AE42,'Scoring Method'!$A$63:$A$70,0))*0.625+INDEX('Scoring Method'!$B$105:$B$113,MATCH(AP42,'Scoring Method'!$A$105:$A$113,0))+INDEX('Scoring Method'!$B$74:$B$78,MATCH(AQ42,'Scoring Method'!$A$74:$A$78,0))*0.6667+INDEX('Scoring Method'!$B$96:$B$101,MATCH(AO42,'Scoring Method'!$A$96:$A$101,0))+INDEX('Scoring Method'!$B$343:$B$347,MATCH(X42,'Scoring Method'!$A$343:$A$347,0))*0.3333+INDEX('Scoring Method'!$B$25:$B$27,MATCH(P42,'Scoring Method'!$A$25:$A$27,0))*0.3333,1)</f>
        <v/>
      </c>
      <c r="AT42" s="96">
        <f>AS42*U42/100</f>
        <v/>
      </c>
      <c r="AU42" s="92" t="inlineStr">
        <is>
          <t>Levassor Park</t>
        </is>
      </c>
      <c r="AV42" s="92" t="n">
        <v>42</v>
      </c>
      <c r="AW42" s="101" t="inlineStr">
        <is>
          <t>ESTIMATED</t>
        </is>
      </c>
      <c r="AX42" s="92" t="inlineStr">
        <is>
          <t>Elevated 35-44</t>
        </is>
      </c>
      <c r="AY42" s="96">
        <f>ROUND(INDEX('Scoring Method'!$B$132:$B$140,MATCH(AE42,'Scoring Method'!$A$132:$A$140,0))+INDEX('Scoring Method'!$B$144:$B$152,MATCH(AP42,'Scoring Method'!$A$144:$A$152,0))+INDEX('Scoring Method'!$B$156:$B$160,MATCH(AQ42,'Scoring Method'!$A$156:$A$160,0))+INDEX('Scoring Method'!$B$164:$B$169,MATCH(AO42,'Scoring Method'!$A$164:$A$169,0))+INDEX('Scoring Method'!$B$173:$B$178,MATCH(AX42,'Scoring Method'!$A$173:$A$178,0))+INDEX('Scoring Method'!$B$349:$B$353,MATCH(X42,'Scoring Method'!$A$349:$A$353,0))+INDEX('Scoring Method'!$B$188:$B$190,MATCH(P42,'Scoring Method'!$A$188:$A$190,0)),1)</f>
        <v/>
      </c>
      <c r="AZ42" s="96">
        <f>AY42*U42/100</f>
        <v/>
      </c>
      <c r="BA42" s="92" t="inlineStr">
        <is>
          <t>No chain signal</t>
        </is>
      </c>
      <c r="BB42" s="94" t="n">
        <v>1</v>
      </c>
      <c r="BC42" s="102" t="inlineStr">
        <is>
          <t>Large 0.75-1.25 AC</t>
        </is>
      </c>
      <c r="BD42" s="94" t="n">
        <v>0.9</v>
      </c>
      <c r="BE42" s="96">
        <f>ROUND(INDEX('Scoring Method'!$B$268:$B$276,MATCH(AE42,'Scoring Method'!$A$268:$A$276,0))+INDEX('Scoring Method'!$B$280:$B$288,MATCH(AP42,'Scoring Method'!$A$280:$A$288,0))+INDEX('Scoring Method'!$B$292:$B$296,MATCH(AQ42,'Scoring Method'!$A$292:$A$296,0))+INDEX('Scoring Method'!$B$300:$B$305,MATCH(AO42,'Scoring Method'!$A$300:$A$305,0))+INDEX('Scoring Method'!$B$309:$B$314,MATCH(AX42,'Scoring Method'!$A$309:$A$314,0))+INDEX('Scoring Method'!$B$337:$B$341,MATCH(X42,'Scoring Method'!$A$337:$A$341,0))+INDEX('Scoring Method'!$B$324:$B$326,MATCH(P42,'Scoring Method'!$A$324:$A$326,0)),1)</f>
        <v/>
      </c>
      <c r="BF42" s="96">
        <f>ROUND(INDEX('Scoring Method'!$B$268:$B$276,MATCH(AE42,'Scoring Method'!$A$268:$A$276,0))*BB42*BD42+INDEX('Scoring Method'!$B$280:$B$288,MATCH(AP42,'Scoring Method'!$A$280:$A$288,0))*BM42*BB42*BD42+INDEX('Scoring Method'!$B$292:$B$296,MATCH(AQ42,'Scoring Method'!$A$292:$A$296,0))*BD42+INDEX('Scoring Method'!$B$300:$B$305,MATCH(AO42,'Scoring Method'!$A$300:$A$305,0))*BM42*BB42+INDEX('Scoring Method'!$B$309:$B$314,MATCH(AX42,'Scoring Method'!$A$309:$A$314,0))+INDEX('Scoring Method'!$B$337:$B$341,MATCH(X42,'Scoring Method'!$A$337:$A$341,0))+INDEX('Scoring Method'!$B$324:$B$326,MATCH(P42,'Scoring Method'!$A$324:$A$326,0)),1)</f>
        <v/>
      </c>
      <c r="BG42" s="92" t="inlineStr">
        <is>
          <t>Fits (~$6,417/mo)</t>
        </is>
      </c>
      <c r="BH42" s="61" t="inlineStr">
        <is>
          <t>AUC</t>
        </is>
      </c>
      <c r="BI42" s="61" t="inlineStr">
        <is>
          <t>Auto-Urban Commercial</t>
        </is>
      </c>
      <c r="BJ42" s="61" t="inlineStr"/>
      <c r="BK42" s="61" t="inlineStr"/>
      <c r="BL42" s="61" t="inlineStr">
        <is>
          <t>Bar permitted</t>
        </is>
      </c>
      <c r="BM42" s="61">
        <f>INDEX('Scoring Method'!$B$358:$B$363,MATCH(BL42,'Scoring Method'!$A$358:$A$363,0))</f>
        <v/>
      </c>
    </row>
    <row r="43" ht="15" customHeight="1" s="62">
      <c r="A43" s="92" t="n">
        <v>42</v>
      </c>
      <c r="B43" s="92" t="inlineStr">
        <is>
          <t>040-43-07-001.00</t>
        </is>
      </c>
      <c r="C43" s="92" t="inlineStr">
        <is>
          <t>410 PHILADELPHIA ST</t>
        </is>
      </c>
      <c r="D43" s="92" t="inlineStr">
        <is>
          <t>SINKULA INVESTMENTS LTD CO</t>
        </is>
      </c>
      <c r="E43" s="92" t="inlineStr">
        <is>
          <t>3005 DIXIE HWY STE 150</t>
        </is>
      </c>
      <c r="F43" s="92" t="inlineStr">
        <is>
          <t>EDGEWOOD</t>
        </is>
      </c>
      <c r="G43" s="92" t="inlineStr">
        <is>
          <t>KY</t>
        </is>
      </c>
      <c r="H43" s="92" t="inlineStr">
        <is>
          <t>FAST FOOD-DRIVE THRU REST</t>
        </is>
      </c>
      <c r="I43" s="93" t="n">
        <v>34491</v>
      </c>
      <c r="J43" s="94">
        <f>I43/43560</f>
        <v/>
      </c>
      <c r="K43" s="93" t="n">
        <v>746</v>
      </c>
      <c r="L43" s="95">
        <f>I43/(K43^2)</f>
        <v/>
      </c>
      <c r="M43" s="92" t="inlineStr">
        <is>
          <t>Near 14-18k/32-45k</t>
        </is>
      </c>
      <c r="N43" s="92" t="inlineStr">
        <is>
          <t>C</t>
        </is>
      </c>
      <c r="O43" s="92" t="inlineStr">
        <is>
          <t>Compact &gt;=.055</t>
        </is>
      </c>
      <c r="P43" s="92" t="inlineStr">
        <is>
          <t>Low</t>
        </is>
      </c>
      <c r="Q43" s="92" t="inlineStr">
        <is>
          <t>Out-of-city KY</t>
        </is>
      </c>
      <c r="R43" s="92" t="inlineStr">
        <is>
          <t>Passive vehicle</t>
        </is>
      </c>
      <c r="S43" s="92" t="n">
        <v>1</v>
      </c>
      <c r="T43" s="96">
        <f>INDEX('Scoring Method'!$B$6:$B$9,MATCH(M43,'Scoring Method'!$A$6:$A$9,0))+INDEX('Scoring Method'!$B$12:$B$16,MATCH(N43,'Scoring Method'!$A$12:$A$16,0))+INDEX('Scoring Method'!$B$19:$B$22,MATCH(O43,'Scoring Method'!$A$19:$A$22,0))+INDEX('Scoring Method'!$B$25:$B$27,MATCH(P43,'Scoring Method'!$A$25:$A$27,0))</f>
        <v/>
      </c>
      <c r="U43" s="96">
        <f>(INDEX('Scoring Method'!$B$30:$B$33,MATCH(Q43,'Scoring Method'!$A$30:$A$33,0))+INDEX('Scoring Method'!$B$36:$B$42,MATCH(R43,'Scoring Method'!$A$36:$A$42,0))+INDEX('Scoring Method'!$B$45:$B$47,MATCH(IF(S43=1,"1",IF(S43=2,"2","3+")),'Scoring Method'!$A$45:$A$47,0)))/90*100</f>
        <v/>
      </c>
      <c r="V43" s="96">
        <f>T43*U43/100</f>
        <v/>
      </c>
      <c r="W43" s="93" t="n">
        <v>2560</v>
      </c>
      <c r="X43" s="92" t="inlineStr">
        <is>
          <t>X (minimal hazard)</t>
        </is>
      </c>
      <c r="Y43" s="93" t="n">
        <v>30000</v>
      </c>
      <c r="Z43" s="97">
        <f>W43/I43</f>
        <v/>
      </c>
      <c r="AA43" s="98">
        <f>MAX(0,(Y43-5000)/300)</f>
        <v/>
      </c>
      <c r="AB43" s="92" t="n"/>
      <c r="AC43" s="92" t="n">
        <v>0.79</v>
      </c>
      <c r="AD43" s="92" t="inlineStr">
        <is>
          <t>ok</t>
        </is>
      </c>
      <c r="AE43" s="92" t="inlineStr">
        <is>
          <t>Above 2.5-4k</t>
        </is>
      </c>
      <c r="AF43" s="96">
        <f>INDEX('Scoring Method'!$B$63:$B$71,MATCH(AE43,'Scoring Method'!$A$63:$A$71,0))+INDEX('Scoring Method'!$B$75:$B$79,MATCH("Ample &gt;=15k",'Scoring Method'!$A$75:$A$79,0))+INDEX('Scoring Method'!$B$343:$B$347,MATCH(X43,'Scoring Method'!$A$343:$A$347,0))+INDEX('Scoring Method'!$B$25:$B$27,MATCH(P43,'Scoring Method'!$A$25:$A$27,0))</f>
        <v/>
      </c>
      <c r="AG43" s="96">
        <f>AF43*U43/100</f>
        <v/>
      </c>
      <c r="AH43" s="92" t="inlineStr">
        <is>
          <t>LINK-GIS + LoopNet</t>
        </is>
      </c>
      <c r="AI43" s="99" t="n">
        <v>39.08611</v>
      </c>
      <c r="AJ43" s="99" t="n">
        <v>-84.51947</v>
      </c>
      <c r="AK43" s="94" t="n">
        <v>0.15</v>
      </c>
      <c r="AL43" s="94" t="n">
        <v>0.68</v>
      </c>
      <c r="AM43" s="94" t="n">
        <v>1.13</v>
      </c>
      <c r="AN43" s="94" t="n">
        <v>0.15</v>
      </c>
      <c r="AO43" s="92" t="inlineStr">
        <is>
          <t>Core &lt;=0.35mi</t>
        </is>
      </c>
      <c r="AP43" s="92" t="inlineStr">
        <is>
          <t>Built-out kitchen</t>
        </is>
      </c>
      <c r="AQ43" s="92" t="inlineStr">
        <is>
          <t>Ample &gt;=15k</t>
        </is>
      </c>
      <c r="AR43" s="100" t="n"/>
      <c r="AS43" s="96">
        <f>ROUND(INDEX('Scoring Method'!$B$63:$B$70,MATCH(AE43,'Scoring Method'!$A$63:$A$70,0))*0.625+INDEX('Scoring Method'!$B$105:$B$113,MATCH(AP43,'Scoring Method'!$A$105:$A$113,0))+INDEX('Scoring Method'!$B$74:$B$78,MATCH(AQ43,'Scoring Method'!$A$74:$A$78,0))*0.6667+INDEX('Scoring Method'!$B$96:$B$101,MATCH(AO43,'Scoring Method'!$A$96:$A$101,0))+INDEX('Scoring Method'!$B$343:$B$347,MATCH(X43,'Scoring Method'!$A$343:$A$347,0))*0.3333+INDEX('Scoring Method'!$B$25:$B$27,MATCH(P43,'Scoring Method'!$A$25:$A$27,0))*0.3333,1)</f>
        <v/>
      </c>
      <c r="AT43" s="96">
        <f>AS43*U43/100</f>
        <v/>
      </c>
      <c r="AU43" s="92" t="inlineStr">
        <is>
          <t>Botany Hills / Riverfront West</t>
        </is>
      </c>
      <c r="AV43" s="92" t="n">
        <v>45</v>
      </c>
      <c r="AW43" s="101" t="inlineStr">
        <is>
          <t>ESTIMATED</t>
        </is>
      </c>
      <c r="AX43" s="92" t="inlineStr">
        <is>
          <t>Mixed 45-59</t>
        </is>
      </c>
      <c r="AY43" s="96">
        <f>ROUND(INDEX('Scoring Method'!$B$132:$B$140,MATCH(AE43,'Scoring Method'!$A$132:$A$140,0))+INDEX('Scoring Method'!$B$144:$B$152,MATCH(AP43,'Scoring Method'!$A$144:$A$152,0))+INDEX('Scoring Method'!$B$156:$B$160,MATCH(AQ43,'Scoring Method'!$A$156:$A$160,0))+INDEX('Scoring Method'!$B$164:$B$169,MATCH(AO43,'Scoring Method'!$A$164:$A$169,0))+INDEX('Scoring Method'!$B$173:$B$178,MATCH(AX43,'Scoring Method'!$A$173:$A$178,0))+INDEX('Scoring Method'!$B$349:$B$353,MATCH(X43,'Scoring Method'!$A$349:$A$353,0))+INDEX('Scoring Method'!$B$188:$B$190,MATCH(P43,'Scoring Method'!$A$188:$A$190,0)),1)</f>
        <v/>
      </c>
      <c r="AZ43" s="96">
        <f>AY43*U43/100</f>
        <v/>
      </c>
      <c r="BA43" s="103" t="inlineStr">
        <is>
          <t>Chain format + investor</t>
        </is>
      </c>
      <c r="BB43" s="94" t="n">
        <v>0.45</v>
      </c>
      <c r="BC43" s="102" t="inlineStr">
        <is>
          <t>Large 0.75-1.25 AC</t>
        </is>
      </c>
      <c r="BD43" s="94" t="n">
        <v>0.9</v>
      </c>
      <c r="BE43" s="96">
        <f>ROUND(INDEX('Scoring Method'!$B$268:$B$276,MATCH(AE43,'Scoring Method'!$A$268:$A$276,0))+INDEX('Scoring Method'!$B$280:$B$288,MATCH(AP43,'Scoring Method'!$A$280:$A$288,0))+INDEX('Scoring Method'!$B$292:$B$296,MATCH(AQ43,'Scoring Method'!$A$292:$A$296,0))+INDEX('Scoring Method'!$B$300:$B$305,MATCH(AO43,'Scoring Method'!$A$300:$A$305,0))+INDEX('Scoring Method'!$B$309:$B$314,MATCH(AX43,'Scoring Method'!$A$309:$A$314,0))+INDEX('Scoring Method'!$B$337:$B$341,MATCH(X43,'Scoring Method'!$A$337:$A$341,0))+INDEX('Scoring Method'!$B$324:$B$326,MATCH(P43,'Scoring Method'!$A$324:$A$326,0)),1)</f>
        <v/>
      </c>
      <c r="BF43" s="96">
        <f>ROUND(INDEX('Scoring Method'!$B$268:$B$276,MATCH(AE43,'Scoring Method'!$A$268:$A$276,0))*BB43*BD43+INDEX('Scoring Method'!$B$280:$B$288,MATCH(AP43,'Scoring Method'!$A$280:$A$288,0))*BM43*BB43*BD43+INDEX('Scoring Method'!$B$292:$B$296,MATCH(AQ43,'Scoring Method'!$A$292:$A$296,0))*BD43+INDEX('Scoring Method'!$B$300:$B$305,MATCH(AO43,'Scoring Method'!$A$300:$A$305,0))*BM43*BB43+INDEX('Scoring Method'!$B$309:$B$314,MATCH(AX43,'Scoring Method'!$A$309:$A$314,0))+INDEX('Scoring Method'!$B$337:$B$341,MATCH(X43,'Scoring Method'!$A$337:$A$341,0))+INDEX('Scoring Method'!$B$324:$B$326,MATCH(P43,'Scoring Method'!$A$324:$A$326,0)),1)</f>
        <v/>
      </c>
      <c r="BG43" s="92" t="inlineStr">
        <is>
          <t>Fits (~$2,347/mo)</t>
        </is>
      </c>
      <c r="BH43" s="61" t="inlineStr">
        <is>
          <t>AUC</t>
        </is>
      </c>
      <c r="BI43" s="61" t="inlineStr">
        <is>
          <t>Auto-Urban Commercial</t>
        </is>
      </c>
      <c r="BJ43" s="61" t="inlineStr"/>
      <c r="BK43" s="61" t="inlineStr"/>
      <c r="BL43" s="61" t="inlineStr">
        <is>
          <t>Bar permitted</t>
        </is>
      </c>
      <c r="BM43" s="61">
        <f>INDEX('Scoring Method'!$B$358:$B$363,MATCH(BL43,'Scoring Method'!$A$358:$A$363,0))</f>
        <v/>
      </c>
    </row>
    <row r="44" ht="15" customHeight="1" s="62">
      <c r="A44" s="92" t="n">
        <v>43</v>
      </c>
      <c r="B44" s="92" t="inlineStr">
        <is>
          <t>054-22-40-002.00</t>
        </is>
      </c>
      <c r="C44" s="92" t="inlineStr">
        <is>
          <t>1204 RUSSELL ST</t>
        </is>
      </c>
      <c r="D44" s="92" t="inlineStr">
        <is>
          <t>KIRN RONALD C &amp; MELISSA</t>
        </is>
      </c>
      <c r="E44" s="92" t="inlineStr">
        <is>
          <t>408 OLIVIA LN</t>
        </is>
      </c>
      <c r="F44" s="92" t="inlineStr">
        <is>
          <t>FT WRIGHT</t>
        </is>
      </c>
      <c r="G44" s="92" t="inlineStr">
        <is>
          <t>KY</t>
        </is>
      </c>
      <c r="H44" s="92" t="inlineStr">
        <is>
          <t>AUTO SERVICE/REPAIR</t>
        </is>
      </c>
      <c r="I44" s="93" t="n">
        <v>10393</v>
      </c>
      <c r="J44" s="94">
        <f>I44/43560</f>
        <v/>
      </c>
      <c r="K44" s="93" t="n">
        <v>495.8</v>
      </c>
      <c r="L44" s="95">
        <f>I44/(K44^2)</f>
        <v/>
      </c>
      <c r="M44" s="92" t="inlineStr">
        <is>
          <t>Marginal 10-14k/45-60k</t>
        </is>
      </c>
      <c r="N44" s="92" t="inlineStr">
        <is>
          <t>A</t>
        </is>
      </c>
      <c r="O44" s="92" t="inlineStr">
        <is>
          <t>Elongated .035-.045</t>
        </is>
      </c>
      <c r="P44" s="92" t="inlineStr">
        <is>
          <t>Moderate</t>
        </is>
      </c>
      <c r="Q44" s="92" t="inlineStr">
        <is>
          <t>Out-of-city KY</t>
        </is>
      </c>
      <c r="R44" s="92" t="inlineStr">
        <is>
          <t>Individual</t>
        </is>
      </c>
      <c r="S44" s="92" t="n">
        <v>2</v>
      </c>
      <c r="T44" s="96">
        <f>INDEX('Scoring Method'!$B$6:$B$9,MATCH(M44,'Scoring Method'!$A$6:$A$9,0))+INDEX('Scoring Method'!$B$12:$B$16,MATCH(N44,'Scoring Method'!$A$12:$A$16,0))+INDEX('Scoring Method'!$B$19:$B$22,MATCH(O44,'Scoring Method'!$A$19:$A$22,0))+INDEX('Scoring Method'!$B$25:$B$27,MATCH(P44,'Scoring Method'!$A$25:$A$27,0))</f>
        <v/>
      </c>
      <c r="U44" s="96">
        <f>(INDEX('Scoring Method'!$B$30:$B$33,MATCH(Q44,'Scoring Method'!$A$30:$A$33,0))+INDEX('Scoring Method'!$B$36:$B$42,MATCH(R44,'Scoring Method'!$A$36:$A$42,0))+INDEX('Scoring Method'!$B$45:$B$47,MATCH(IF(S44=1,"1",IF(S44=2,"2","3+")),'Scoring Method'!$A$45:$A$47,0)))/90*100</f>
        <v/>
      </c>
      <c r="V44" s="96">
        <f>T44*U44/100</f>
        <v/>
      </c>
      <c r="W44" s="93" t="n">
        <v>9650</v>
      </c>
      <c r="X44" s="92" t="inlineStr">
        <is>
          <t>X (minimal hazard)</t>
        </is>
      </c>
      <c r="Y44" s="93" t="n">
        <v>1050</v>
      </c>
      <c r="Z44" s="97">
        <f>W44/I44</f>
        <v/>
      </c>
      <c r="AA44" s="98">
        <f>MAX(0,(Y44-5000)/300)</f>
        <v/>
      </c>
      <c r="AB44" s="92" t="n"/>
      <c r="AC44" s="92" t="n">
        <v>0.12</v>
      </c>
      <c r="AD44" s="102" t="inlineStr">
        <is>
          <t>CHECK</t>
        </is>
      </c>
      <c r="AE44" s="92" t="inlineStr">
        <is>
          <t>Oversize 6-12k</t>
        </is>
      </c>
      <c r="AF44" s="96">
        <f>INDEX('Scoring Method'!$B$63:$B$71,MATCH(AE44,'Scoring Method'!$A$63:$A$71,0))+INDEX('Scoring Method'!$B$75:$B$79,MATCH("Insufficient &lt;2k",'Scoring Method'!$A$75:$A$79,0))+INDEX('Scoring Method'!$B$343:$B$347,MATCH(X44,'Scoring Method'!$A$343:$A$347,0))+INDEX('Scoring Method'!$B$25:$B$27,MATCH(P44,'Scoring Method'!$A$25:$A$27,0))</f>
        <v/>
      </c>
      <c r="AG44" s="96">
        <f>AF44*U44/100</f>
        <v/>
      </c>
      <c r="AH44" s="92" t="inlineStr">
        <is>
          <t>LINK-GIS + LoopNet</t>
        </is>
      </c>
      <c r="AI44" s="99" t="n">
        <v>39.07697</v>
      </c>
      <c r="AJ44" s="99" t="n">
        <v>-84.51123</v>
      </c>
      <c r="AK44" s="94" t="n">
        <v>0.62</v>
      </c>
      <c r="AL44" s="94" t="n">
        <v>0.97</v>
      </c>
      <c r="AM44" s="94" t="n">
        <v>1.7</v>
      </c>
      <c r="AN44" s="94" t="n">
        <v>0.48</v>
      </c>
      <c r="AO44" s="92" t="inlineStr">
        <is>
          <t>Near 0.35-0.75mi</t>
        </is>
      </c>
      <c r="AP44" s="92" t="inlineStr">
        <is>
          <t>Open span</t>
        </is>
      </c>
      <c r="AQ44" s="92" t="inlineStr">
        <is>
          <t>Insufficient &lt;2k</t>
        </is>
      </c>
      <c r="AR44" s="100" t="n"/>
      <c r="AS44" s="96">
        <f>ROUND(INDEX('Scoring Method'!$B$63:$B$70,MATCH(AE44,'Scoring Method'!$A$63:$A$70,0))*0.625+INDEX('Scoring Method'!$B$105:$B$113,MATCH(AP44,'Scoring Method'!$A$105:$A$113,0))+INDEX('Scoring Method'!$B$74:$B$78,MATCH(AQ44,'Scoring Method'!$A$74:$A$78,0))*0.6667+INDEX('Scoring Method'!$B$96:$B$101,MATCH(AO44,'Scoring Method'!$A$96:$A$101,0))+INDEX('Scoring Method'!$B$343:$B$347,MATCH(X44,'Scoring Method'!$A$343:$A$347,0))*0.3333+INDEX('Scoring Method'!$B$25:$B$27,MATCH(P44,'Scoring Method'!$A$25:$A$27,0))*0.3333,1)</f>
        <v/>
      </c>
      <c r="AT44" s="96">
        <f>AS44*U44/100</f>
        <v/>
      </c>
      <c r="AU44" s="92" t="inlineStr">
        <is>
          <t>Old Seminary Square</t>
        </is>
      </c>
      <c r="AV44" s="92" t="n">
        <v>35</v>
      </c>
      <c r="AW44" s="101" t="inlineStr">
        <is>
          <t>ESTIMATED</t>
        </is>
      </c>
      <c r="AX44" s="92" t="inlineStr">
        <is>
          <t>Elevated 35-44</t>
        </is>
      </c>
      <c r="AY44" s="96">
        <f>ROUND(INDEX('Scoring Method'!$B$132:$B$140,MATCH(AE44,'Scoring Method'!$A$132:$A$140,0))+INDEX('Scoring Method'!$B$144:$B$152,MATCH(AP44,'Scoring Method'!$A$144:$A$152,0))+INDEX('Scoring Method'!$B$156:$B$160,MATCH(AQ44,'Scoring Method'!$A$156:$A$160,0))+INDEX('Scoring Method'!$B$164:$B$169,MATCH(AO44,'Scoring Method'!$A$164:$A$169,0))+INDEX('Scoring Method'!$B$173:$B$178,MATCH(AX44,'Scoring Method'!$A$173:$A$178,0))+INDEX('Scoring Method'!$B$349:$B$353,MATCH(X44,'Scoring Method'!$A$349:$A$353,0))+INDEX('Scoring Method'!$B$188:$B$190,MATCH(P44,'Scoring Method'!$A$188:$A$190,0)),1)</f>
        <v/>
      </c>
      <c r="AZ44" s="96">
        <f>AY44*U44/100</f>
        <v/>
      </c>
      <c r="BA44" s="92" t="inlineStr">
        <is>
          <t>No chain signal</t>
        </is>
      </c>
      <c r="BB44" s="94" t="n">
        <v>1</v>
      </c>
      <c r="BC44" s="103" t="inlineStr">
        <is>
          <t>Extra small 0.15-0.25 AC</t>
        </is>
      </c>
      <c r="BD44" s="94" t="n">
        <v>0.8</v>
      </c>
      <c r="BE44" s="96">
        <f>ROUND(INDEX('Scoring Method'!$B$268:$B$276,MATCH(AE44,'Scoring Method'!$A$268:$A$276,0))+INDEX('Scoring Method'!$B$280:$B$288,MATCH(AP44,'Scoring Method'!$A$280:$A$288,0))+INDEX('Scoring Method'!$B$292:$B$296,MATCH(AQ44,'Scoring Method'!$A$292:$A$296,0))+INDEX('Scoring Method'!$B$300:$B$305,MATCH(AO44,'Scoring Method'!$A$300:$A$305,0))+INDEX('Scoring Method'!$B$309:$B$314,MATCH(AX44,'Scoring Method'!$A$309:$A$314,0))+INDEX('Scoring Method'!$B$337:$B$341,MATCH(X44,'Scoring Method'!$A$337:$A$341,0))+INDEX('Scoring Method'!$B$324:$B$326,MATCH(P44,'Scoring Method'!$A$324:$A$326,0)),1)</f>
        <v/>
      </c>
      <c r="BF44" s="96">
        <f>ROUND(INDEX('Scoring Method'!$B$268:$B$276,MATCH(AE44,'Scoring Method'!$A$268:$A$276,0))*BB44*BD44+INDEX('Scoring Method'!$B$280:$B$288,MATCH(AP44,'Scoring Method'!$A$280:$A$288,0))*BM44*BB44*BD44+INDEX('Scoring Method'!$B$292:$B$296,MATCH(AQ44,'Scoring Method'!$A$292:$A$296,0))*BD44+INDEX('Scoring Method'!$B$300:$B$305,MATCH(AO44,'Scoring Method'!$A$300:$A$305,0))*BM44*BB44+INDEX('Scoring Method'!$B$309:$B$314,MATCH(AX44,'Scoring Method'!$A$309:$A$314,0))+INDEX('Scoring Method'!$B$337:$B$341,MATCH(X44,'Scoring Method'!$A$337:$A$341,0))+INDEX('Scoring Method'!$B$324:$B$326,MATCH(P44,'Scoring Method'!$A$324:$A$326,0)),1)</f>
        <v/>
      </c>
      <c r="BG44" s="92" t="inlineStr">
        <is>
          <t>Fits (~$8,846/mo)</t>
        </is>
      </c>
      <c r="BH44" s="61" t="inlineStr">
        <is>
          <t>TUMU (TS)</t>
        </is>
      </c>
      <c r="BI44" s="61" t="inlineStr">
        <is>
          <t>Traditional Urban Mixed Use</t>
        </is>
      </c>
      <c r="BJ44" s="61" t="inlineStr"/>
      <c r="BK44" s="61" t="inlineStr">
        <is>
          <t>Yes</t>
        </is>
      </c>
      <c r="BL44" s="61" t="inlineStr">
        <is>
          <t>Bar permitted</t>
        </is>
      </c>
      <c r="BM44" s="61">
        <f>INDEX('Scoring Method'!$B$358:$B$363,MATCH(BL44,'Scoring Method'!$A$358:$A$363,0))</f>
        <v/>
      </c>
    </row>
    <row r="45" ht="15" customHeight="1" s="62">
      <c r="A45" s="92" t="n">
        <v>44</v>
      </c>
      <c r="B45" s="92" t="inlineStr">
        <is>
          <t>056-20-00-059.04</t>
        </is>
      </c>
      <c r="C45" s="92" t="inlineStr">
        <is>
          <t>1 W 43RD ST</t>
        </is>
      </c>
      <c r="D45" s="92" t="inlineStr">
        <is>
          <t>J &amp; S LATONIA CENTRE KY LLC</t>
        </is>
      </c>
      <c r="E45" s="92" t="inlineStr">
        <is>
          <t>PO BOX 24550</t>
        </is>
      </c>
      <c r="F45" s="92" t="inlineStr">
        <is>
          <t>COLUMBUS</t>
        </is>
      </c>
      <c r="G45" s="92" t="inlineStr">
        <is>
          <t>OH</t>
        </is>
      </c>
      <c r="H45" s="92" t="inlineStr">
        <is>
          <t>PAVED LOT</t>
        </is>
      </c>
      <c r="I45" s="93" t="n">
        <v>43556</v>
      </c>
      <c r="J45" s="94">
        <f>I45/43560</f>
        <v/>
      </c>
      <c r="K45" s="93" t="n">
        <v>835.6</v>
      </c>
      <c r="L45" s="95">
        <f>I45/(K45^2)</f>
        <v/>
      </c>
      <c r="M45" s="92" t="inlineStr">
        <is>
          <t>Near 14-18k/32-45k</t>
        </is>
      </c>
      <c r="N45" s="92" t="inlineStr">
        <is>
          <t>D</t>
        </is>
      </c>
      <c r="O45" s="92" t="inlineStr">
        <is>
          <t>Compact &gt;=.055</t>
        </is>
      </c>
      <c r="P45" s="92" t="inlineStr">
        <is>
          <t>Low</t>
        </is>
      </c>
      <c r="Q45" s="92" t="inlineStr">
        <is>
          <t>Out-of-state</t>
        </is>
      </c>
      <c r="R45" s="92" t="inlineStr">
        <is>
          <t>Operating entity</t>
        </is>
      </c>
      <c r="S45" s="92" t="n">
        <v>4</v>
      </c>
      <c r="T45" s="96">
        <f>INDEX('Scoring Method'!$B$6:$B$9,MATCH(M45,'Scoring Method'!$A$6:$A$9,0))+INDEX('Scoring Method'!$B$12:$B$16,MATCH(N45,'Scoring Method'!$A$12:$A$16,0))+INDEX('Scoring Method'!$B$19:$B$22,MATCH(O45,'Scoring Method'!$A$19:$A$22,0))+INDEX('Scoring Method'!$B$25:$B$27,MATCH(P45,'Scoring Method'!$A$25:$A$27,0))</f>
        <v/>
      </c>
      <c r="U45" s="96">
        <f>(INDEX('Scoring Method'!$B$30:$B$33,MATCH(Q45,'Scoring Method'!$A$30:$A$33,0))+INDEX('Scoring Method'!$B$36:$B$42,MATCH(R45,'Scoring Method'!$A$36:$A$42,0))+INDEX('Scoring Method'!$B$45:$B$47,MATCH(IF(S45=1,"1",IF(S45=2,"2","3+")),'Scoring Method'!$A$45:$A$47,0)))/90*100</f>
        <v/>
      </c>
      <c r="V45" s="96">
        <f>T45*U45/100</f>
        <v/>
      </c>
      <c r="W45" s="93" t="n">
        <v>31</v>
      </c>
      <c r="X45" s="92" t="inlineStr">
        <is>
          <t>X (minimal hazard)</t>
        </is>
      </c>
      <c r="Y45" s="93" t="n">
        <v>43275</v>
      </c>
      <c r="Z45" s="97" t="n"/>
      <c r="AA45" s="98">
        <f>MAX(0,(Y45-5000)/300)</f>
        <v/>
      </c>
      <c r="AB45" s="92" t="n"/>
      <c r="AC45" s="92" t="n"/>
      <c r="AD45" s="92" t="n"/>
      <c r="AE45" s="92" t="inlineStr">
        <is>
          <t>Too small &lt;1.2k</t>
        </is>
      </c>
      <c r="AF45" s="96">
        <f>INDEX('Scoring Method'!$B$63:$B$71,MATCH(AE45,'Scoring Method'!$A$63:$A$71,0))+INDEX('Scoring Method'!$B$75:$B$79,MATCH("Ample &gt;=15k",'Scoring Method'!$A$75:$A$79,0))+INDEX('Scoring Method'!$B$343:$B$347,MATCH(X45,'Scoring Method'!$A$343:$A$347,0))+INDEX('Scoring Method'!$B$25:$B$27,MATCH(P45,'Scoring Method'!$A$25:$A$27,0))</f>
        <v/>
      </c>
      <c r="AG45" s="96">
        <f>AF45*U45/100</f>
        <v/>
      </c>
      <c r="AH45" s="92" t="inlineStr">
        <is>
          <t>LINK-GIS only</t>
        </is>
      </c>
      <c r="AI45" s="99" t="n">
        <v>39.0413</v>
      </c>
      <c r="AJ45" s="99" t="n">
        <v>-84.50776</v>
      </c>
      <c r="AK45" s="94" t="n">
        <v>3.03</v>
      </c>
      <c r="AL45" s="94" t="n">
        <v>3.42</v>
      </c>
      <c r="AM45" s="94" t="n">
        <v>4.17</v>
      </c>
      <c r="AN45" s="94" t="n">
        <v>2.95</v>
      </c>
      <c r="AO45" s="92" t="inlineStr">
        <is>
          <t>Distant 2-3mi</t>
        </is>
      </c>
      <c r="AP45" s="92" t="inlineStr">
        <is>
          <t>Lot / minimal bldg</t>
        </is>
      </c>
      <c r="AQ45" s="92" t="inlineStr">
        <is>
          <t>Ample &gt;=15k</t>
        </is>
      </c>
      <c r="AR45" s="100" t="n"/>
      <c r="AS45" s="96">
        <f>ROUND(INDEX('Scoring Method'!$B$63:$B$70,MATCH(AE45,'Scoring Method'!$A$63:$A$70,0))*0.625+INDEX('Scoring Method'!$B$105:$B$113,MATCH(AP45,'Scoring Method'!$A$105:$A$113,0))+INDEX('Scoring Method'!$B$74:$B$78,MATCH(AQ45,'Scoring Method'!$A$74:$A$78,0))*0.6667+INDEX('Scoring Method'!$B$96:$B$101,MATCH(AO45,'Scoring Method'!$A$96:$A$101,0))+INDEX('Scoring Method'!$B$343:$B$347,MATCH(X45,'Scoring Method'!$A$343:$A$347,0))*0.3333+INDEX('Scoring Method'!$B$25:$B$27,MATCH(P45,'Scoring Method'!$A$25:$A$27,0))*0.3333,1)</f>
        <v/>
      </c>
      <c r="AT45" s="96">
        <f>AS45*U45/100</f>
        <v/>
      </c>
      <c r="AU45" s="92" t="inlineStr">
        <is>
          <t>Rittes East / Winston Park</t>
        </is>
      </c>
      <c r="AV45" s="92" t="n">
        <v>82</v>
      </c>
      <c r="AW45" s="92" t="inlineStr">
        <is>
          <t>Sourced</t>
        </is>
      </c>
      <c r="AX45" s="92" t="inlineStr">
        <is>
          <t>Very safe 80+</t>
        </is>
      </c>
      <c r="AY45" s="96">
        <f>ROUND(INDEX('Scoring Method'!$B$132:$B$140,MATCH(AE45,'Scoring Method'!$A$132:$A$140,0))+INDEX('Scoring Method'!$B$144:$B$152,MATCH(AP45,'Scoring Method'!$A$144:$A$152,0))+INDEX('Scoring Method'!$B$156:$B$160,MATCH(AQ45,'Scoring Method'!$A$156:$A$160,0))+INDEX('Scoring Method'!$B$164:$B$169,MATCH(AO45,'Scoring Method'!$A$164:$A$169,0))+INDEX('Scoring Method'!$B$173:$B$178,MATCH(AX45,'Scoring Method'!$A$173:$A$178,0))+INDEX('Scoring Method'!$B$349:$B$353,MATCH(X45,'Scoring Method'!$A$349:$A$353,0))+INDEX('Scoring Method'!$B$188:$B$190,MATCH(P45,'Scoring Method'!$A$188:$A$190,0)),1)</f>
        <v/>
      </c>
      <c r="AZ45" s="96">
        <f>AY45*U45/100</f>
        <v/>
      </c>
      <c r="BA45" s="92" t="inlineStr">
        <is>
          <t>No chain signal</t>
        </is>
      </c>
      <c r="BB45" s="94" t="n">
        <v>1</v>
      </c>
      <c r="BC45" s="102" t="inlineStr">
        <is>
          <t>Large 0.75-1.25 AC</t>
        </is>
      </c>
      <c r="BD45" s="94" t="n">
        <v>0.9</v>
      </c>
      <c r="BE45" s="96">
        <f>ROUND(INDEX('Scoring Method'!$B$268:$B$276,MATCH(AE45,'Scoring Method'!$A$268:$A$276,0))+INDEX('Scoring Method'!$B$280:$B$288,MATCH(AP45,'Scoring Method'!$A$280:$A$288,0))+INDEX('Scoring Method'!$B$292:$B$296,MATCH(AQ45,'Scoring Method'!$A$292:$A$296,0))+INDEX('Scoring Method'!$B$300:$B$305,MATCH(AO45,'Scoring Method'!$A$300:$A$305,0))+INDEX('Scoring Method'!$B$309:$B$314,MATCH(AX45,'Scoring Method'!$A$309:$A$314,0))+INDEX('Scoring Method'!$B$337:$B$341,MATCH(X45,'Scoring Method'!$A$337:$A$341,0))+INDEX('Scoring Method'!$B$324:$B$326,MATCH(P45,'Scoring Method'!$A$324:$A$326,0)),1)</f>
        <v/>
      </c>
      <c r="BF45" s="96">
        <f>ROUND(INDEX('Scoring Method'!$B$268:$B$276,MATCH(AE45,'Scoring Method'!$A$268:$A$276,0))*BB45*BD45+INDEX('Scoring Method'!$B$280:$B$288,MATCH(AP45,'Scoring Method'!$A$280:$A$288,0))*BM45*BB45*BD45+INDEX('Scoring Method'!$B$292:$B$296,MATCH(AQ45,'Scoring Method'!$A$292:$A$296,0))*BD45+INDEX('Scoring Method'!$B$300:$B$305,MATCH(AO45,'Scoring Method'!$A$300:$A$305,0))*BM45*BB45+INDEX('Scoring Method'!$B$309:$B$314,MATCH(AX45,'Scoring Method'!$A$309:$A$314,0))+INDEX('Scoring Method'!$B$337:$B$341,MATCH(X45,'Scoring Method'!$A$337:$A$341,0))+INDEX('Scoring Method'!$B$324:$B$326,MATCH(P45,'Scoring Method'!$A$324:$A$326,0)),1)</f>
        <v/>
      </c>
      <c r="BG45" s="92" t="inlineStr">
        <is>
          <t>Fits (~$28/mo)</t>
        </is>
      </c>
      <c r="BH45" s="61" t="inlineStr">
        <is>
          <t>AUC</t>
        </is>
      </c>
      <c r="BI45" s="61" t="inlineStr">
        <is>
          <t>Auto-Urban Commercial</t>
        </is>
      </c>
      <c r="BJ45" s="61" t="inlineStr"/>
      <c r="BK45" s="61" t="inlineStr"/>
      <c r="BL45" s="61" t="inlineStr">
        <is>
          <t>Bar permitted</t>
        </is>
      </c>
      <c r="BM45" s="61">
        <f>INDEX('Scoring Method'!$B$358:$B$363,MATCH(BL45,'Scoring Method'!$A$358:$A$363,0))</f>
        <v/>
      </c>
    </row>
    <row r="46" ht="15" customHeight="1" s="62">
      <c r="A46" s="92" t="n">
        <v>45</v>
      </c>
      <c r="B46" s="92" t="inlineStr">
        <is>
          <t>055-14-11-007.00</t>
        </is>
      </c>
      <c r="C46" s="92" t="inlineStr">
        <is>
          <t>1833 MADISON AVE</t>
        </is>
      </c>
      <c r="D46" s="92" t="inlineStr">
        <is>
          <t>BANK OF KENTUCKY</t>
        </is>
      </c>
      <c r="E46" s="92" t="inlineStr">
        <is>
          <t>PROPERTY TAX COMPLIANCE</t>
        </is>
      </c>
      <c r="F46" s="92" t="inlineStr">
        <is>
          <t>WINSTON SALEM</t>
        </is>
      </c>
      <c r="G46" s="92" t="inlineStr">
        <is>
          <t>NC</t>
        </is>
      </c>
      <c r="H46" s="92" t="inlineStr">
        <is>
          <t>FULL SERVICE BANK</t>
        </is>
      </c>
      <c r="I46" s="93" t="n">
        <v>17615</v>
      </c>
      <c r="J46" s="94">
        <f>I46/43560</f>
        <v/>
      </c>
      <c r="K46" s="93" t="n">
        <v>558</v>
      </c>
      <c r="L46" s="95">
        <f>I46/(K46^2)</f>
        <v/>
      </c>
      <c r="M46" s="92" t="inlineStr">
        <is>
          <t>Near 14-18k/32-45k</t>
        </is>
      </c>
      <c r="N46" s="92" t="inlineStr">
        <is>
          <t>E</t>
        </is>
      </c>
      <c r="O46" s="92" t="inlineStr">
        <is>
          <t>Compact &gt;=.055</t>
        </is>
      </c>
      <c r="P46" s="92" t="inlineStr">
        <is>
          <t>Low</t>
        </is>
      </c>
      <c r="Q46" s="92" t="inlineStr">
        <is>
          <t>Out-of-state</t>
        </is>
      </c>
      <c r="R46" s="92" t="inlineStr">
        <is>
          <t>Individual</t>
        </is>
      </c>
      <c r="S46" s="92" t="n">
        <v>1</v>
      </c>
      <c r="T46" s="96">
        <f>INDEX('Scoring Method'!$B$6:$B$9,MATCH(M46,'Scoring Method'!$A$6:$A$9,0))+INDEX('Scoring Method'!$B$12:$B$16,MATCH(N46,'Scoring Method'!$A$12:$A$16,0))+INDEX('Scoring Method'!$B$19:$B$22,MATCH(O46,'Scoring Method'!$A$19:$A$22,0))+INDEX('Scoring Method'!$B$25:$B$27,MATCH(P46,'Scoring Method'!$A$25:$A$27,0))</f>
        <v/>
      </c>
      <c r="U46" s="96">
        <f>(INDEX('Scoring Method'!$B$30:$B$33,MATCH(Q46,'Scoring Method'!$A$30:$A$33,0))+INDEX('Scoring Method'!$B$36:$B$42,MATCH(R46,'Scoring Method'!$A$36:$A$42,0))+INDEX('Scoring Method'!$B$45:$B$47,MATCH(IF(S46=1,"1",IF(S46=2,"2","3+")),'Scoring Method'!$A$45:$A$47,0)))/90*100</f>
        <v/>
      </c>
      <c r="V46" s="96">
        <f>T46*U46/100</f>
        <v/>
      </c>
      <c r="W46" s="93" t="n">
        <v>2900</v>
      </c>
      <c r="X46" s="92" t="inlineStr">
        <is>
          <t>X (minimal hazard)</t>
        </is>
      </c>
      <c r="Y46" s="93" t="n">
        <v>11525</v>
      </c>
      <c r="Z46" s="97" t="n"/>
      <c r="AA46" s="98">
        <f>MAX(0,(Y46-5000)/300)</f>
        <v/>
      </c>
      <c r="AB46" s="92" t="n"/>
      <c r="AC46" s="92" t="n"/>
      <c r="AD46" s="92" t="n"/>
      <c r="AE46" s="92" t="inlineStr">
        <is>
          <t>Above 2.5-4k</t>
        </is>
      </c>
      <c r="AF46" s="96">
        <f>INDEX('Scoring Method'!$B$63:$B$71,MATCH(AE46,'Scoring Method'!$A$63:$A$71,0))+INDEX('Scoring Method'!$B$75:$B$79,MATCH("Good 8-15k",'Scoring Method'!$A$75:$A$79,0))+INDEX('Scoring Method'!$B$343:$B$347,MATCH(X46,'Scoring Method'!$A$343:$A$347,0))+INDEX('Scoring Method'!$B$25:$B$27,MATCH(P46,'Scoring Method'!$A$25:$A$27,0))</f>
        <v/>
      </c>
      <c r="AG46" s="96">
        <f>AF46*U46/100</f>
        <v/>
      </c>
      <c r="AH46" s="92" t="inlineStr">
        <is>
          <t>LINK-GIS + LoopNet (2026-08-03)</t>
        </is>
      </c>
      <c r="AI46" s="99" t="n">
        <v>39.06812</v>
      </c>
      <c r="AJ46" s="99" t="n">
        <v>-84.50660000000001</v>
      </c>
      <c r="AK46" s="94" t="n">
        <v>1.28</v>
      </c>
      <c r="AL46" s="94" t="n">
        <v>1.57</v>
      </c>
      <c r="AM46" s="94" t="n">
        <v>2.33</v>
      </c>
      <c r="AN46" s="94" t="n">
        <v>1.12</v>
      </c>
      <c r="AO46" s="92" t="inlineStr">
        <is>
          <t>Fringe 0.75-1.25mi</t>
        </is>
      </c>
      <c r="AP46" s="92" t="inlineStr">
        <is>
          <t>Office/institutional</t>
        </is>
      </c>
      <c r="AQ46" s="92" t="inlineStr">
        <is>
          <t>Good 8-15k</t>
        </is>
      </c>
      <c r="AR46" s="100" t="n"/>
      <c r="AS46" s="96">
        <f>ROUND(INDEX('Scoring Method'!$B$63:$B$70,MATCH(AE46,'Scoring Method'!$A$63:$A$70,0))*0.625+INDEX('Scoring Method'!$B$105:$B$113,MATCH(AP46,'Scoring Method'!$A$105:$A$113,0))+INDEX('Scoring Method'!$B$74:$B$78,MATCH(AQ46,'Scoring Method'!$A$74:$A$78,0))*0.6667+INDEX('Scoring Method'!$B$96:$B$101,MATCH(AO46,'Scoring Method'!$A$96:$A$101,0))+INDEX('Scoring Method'!$B$343:$B$347,MATCH(X46,'Scoring Method'!$A$343:$A$347,0))*0.3333+INDEX('Scoring Method'!$B$25:$B$27,MATCH(P46,'Scoring Method'!$A$25:$A$27,0))*0.3333,1)</f>
        <v/>
      </c>
      <c r="AT46" s="96">
        <f>AS46*U46/100</f>
        <v/>
      </c>
      <c r="AU46" s="92" t="inlineStr">
        <is>
          <t>Levassor Park</t>
        </is>
      </c>
      <c r="AV46" s="92" t="n">
        <v>42</v>
      </c>
      <c r="AW46" s="101" t="inlineStr">
        <is>
          <t>ESTIMATED</t>
        </is>
      </c>
      <c r="AX46" s="92" t="inlineStr">
        <is>
          <t>Elevated 35-44</t>
        </is>
      </c>
      <c r="AY46" s="96">
        <f>ROUND(INDEX('Scoring Method'!$B$132:$B$140,MATCH(AE46,'Scoring Method'!$A$132:$A$140,0))+INDEX('Scoring Method'!$B$144:$B$152,MATCH(AP46,'Scoring Method'!$A$144:$A$152,0))+INDEX('Scoring Method'!$B$156:$B$160,MATCH(AQ46,'Scoring Method'!$A$156:$A$160,0))+INDEX('Scoring Method'!$B$164:$B$169,MATCH(AO46,'Scoring Method'!$A$164:$A$169,0))+INDEX('Scoring Method'!$B$173:$B$178,MATCH(AX46,'Scoring Method'!$A$173:$A$178,0))+INDEX('Scoring Method'!$B$349:$B$353,MATCH(X46,'Scoring Method'!$A$349:$A$353,0))+INDEX('Scoring Method'!$B$188:$B$190,MATCH(P46,'Scoring Method'!$A$188:$A$190,0)),1)</f>
        <v/>
      </c>
      <c r="AZ46" s="96">
        <f>AY46*U46/100</f>
        <v/>
      </c>
      <c r="BA46" s="103" t="inlineStr">
        <is>
          <t>Brand-owned / net lease</t>
        </is>
      </c>
      <c r="BB46" s="94" t="n">
        <v>0.3</v>
      </c>
      <c r="BC46" s="92" t="inlineStr">
        <is>
          <t>Right-sized 0.35-0.75 AC</t>
        </is>
      </c>
      <c r="BD46" s="94" t="n">
        <v>1</v>
      </c>
      <c r="BE46" s="96">
        <f>ROUND(INDEX('Scoring Method'!$B$268:$B$276,MATCH(AE46,'Scoring Method'!$A$268:$A$276,0))+INDEX('Scoring Method'!$B$280:$B$288,MATCH(AP46,'Scoring Method'!$A$280:$A$288,0))+INDEX('Scoring Method'!$B$292:$B$296,MATCH(AQ46,'Scoring Method'!$A$292:$A$296,0))+INDEX('Scoring Method'!$B$300:$B$305,MATCH(AO46,'Scoring Method'!$A$300:$A$305,0))+INDEX('Scoring Method'!$B$309:$B$314,MATCH(AX46,'Scoring Method'!$A$309:$A$314,0))+INDEX('Scoring Method'!$B$337:$B$341,MATCH(X46,'Scoring Method'!$A$337:$A$341,0))+INDEX('Scoring Method'!$B$324:$B$326,MATCH(P46,'Scoring Method'!$A$324:$A$326,0)),1)</f>
        <v/>
      </c>
      <c r="BF46" s="96">
        <f>ROUND(INDEX('Scoring Method'!$B$268:$B$276,MATCH(AE46,'Scoring Method'!$A$268:$A$276,0))*BB46*BD46+INDEX('Scoring Method'!$B$280:$B$288,MATCH(AP46,'Scoring Method'!$A$280:$A$288,0))*BM46*BB46*BD46+INDEX('Scoring Method'!$B$292:$B$296,MATCH(AQ46,'Scoring Method'!$A$292:$A$296,0))*BD46+INDEX('Scoring Method'!$B$300:$B$305,MATCH(AO46,'Scoring Method'!$A$300:$A$305,0))*BM46*BB46+INDEX('Scoring Method'!$B$309:$B$314,MATCH(AX46,'Scoring Method'!$A$309:$A$314,0))+INDEX('Scoring Method'!$B$337:$B$341,MATCH(X46,'Scoring Method'!$A$337:$A$341,0))+INDEX('Scoring Method'!$B$324:$B$326,MATCH(P46,'Scoring Method'!$A$324:$A$326,0)),1)</f>
        <v/>
      </c>
      <c r="BG46" s="92" t="inlineStr">
        <is>
          <t>Fits (~$2,658/mo)</t>
        </is>
      </c>
      <c r="BH46" s="61" t="inlineStr">
        <is>
          <t>AUC</t>
        </is>
      </c>
      <c r="BI46" s="61" t="inlineStr">
        <is>
          <t>Auto-Urban Commercial</t>
        </is>
      </c>
      <c r="BJ46" s="61" t="inlineStr"/>
      <c r="BK46" s="61" t="inlineStr"/>
      <c r="BL46" s="61" t="inlineStr">
        <is>
          <t>Bar permitted</t>
        </is>
      </c>
      <c r="BM46" s="61">
        <f>INDEX('Scoring Method'!$B$358:$B$363,MATCH(BL46,'Scoring Method'!$A$358:$A$363,0))</f>
        <v/>
      </c>
    </row>
    <row r="47" ht="15" customHeight="1" s="62">
      <c r="A47" s="92" t="n">
        <v>46</v>
      </c>
      <c r="B47" s="92" t="inlineStr">
        <is>
          <t>054-21-08-001.00</t>
        </is>
      </c>
      <c r="C47" s="92" t="inlineStr">
        <is>
          <t>428 JOHNSON ST</t>
        </is>
      </c>
      <c r="D47" s="92" t="inlineStr">
        <is>
          <t>PFLP LLC</t>
        </is>
      </c>
      <c r="E47" s="92" t="inlineStr">
        <is>
          <t>7450 INDUSTRIAL RD</t>
        </is>
      </c>
      <c r="F47" s="92" t="inlineStr">
        <is>
          <t>FLORENCE</t>
        </is>
      </c>
      <c r="G47" s="92" t="inlineStr">
        <is>
          <t>KY</t>
        </is>
      </c>
      <c r="H47" s="92" t="inlineStr">
        <is>
          <t>OTHER RETAIL</t>
        </is>
      </c>
      <c r="I47" s="93" t="n">
        <v>15071</v>
      </c>
      <c r="J47" s="94">
        <f>I47/43560</f>
        <v/>
      </c>
      <c r="K47" s="93" t="n">
        <v>516.2</v>
      </c>
      <c r="L47" s="95">
        <f>I47/(K47^2)</f>
        <v/>
      </c>
      <c r="M47" s="92" t="inlineStr">
        <is>
          <t>Near 14-18k/32-45k</t>
        </is>
      </c>
      <c r="N47" s="92" t="inlineStr">
        <is>
          <t>C</t>
        </is>
      </c>
      <c r="O47" s="92" t="inlineStr">
        <is>
          <t>Compact &gt;=.055</t>
        </is>
      </c>
      <c r="P47" s="92" t="inlineStr">
        <is>
          <t>Low</t>
        </is>
      </c>
      <c r="Q47" s="92" t="inlineStr">
        <is>
          <t>Out-of-city KY</t>
        </is>
      </c>
      <c r="R47" s="92" t="inlineStr">
        <is>
          <t>Operating entity</t>
        </is>
      </c>
      <c r="S47" s="92" t="n">
        <v>3</v>
      </c>
      <c r="T47" s="96">
        <f>INDEX('Scoring Method'!$B$6:$B$9,MATCH(M47,'Scoring Method'!$A$6:$A$9,0))+INDEX('Scoring Method'!$B$12:$B$16,MATCH(N47,'Scoring Method'!$A$12:$A$16,0))+INDEX('Scoring Method'!$B$19:$B$22,MATCH(O47,'Scoring Method'!$A$19:$A$22,0))+INDEX('Scoring Method'!$B$25:$B$27,MATCH(P47,'Scoring Method'!$A$25:$A$27,0))</f>
        <v/>
      </c>
      <c r="U47" s="96">
        <f>(INDEX('Scoring Method'!$B$30:$B$33,MATCH(Q47,'Scoring Method'!$A$30:$A$33,0))+INDEX('Scoring Method'!$B$36:$B$42,MATCH(R47,'Scoring Method'!$A$36:$A$42,0))+INDEX('Scoring Method'!$B$45:$B$47,MATCH(IF(S47=1,"1",IF(S47=2,"2","3+")),'Scoring Method'!$A$45:$A$47,0)))/90*100</f>
        <v/>
      </c>
      <c r="V47" s="96">
        <f>T47*U47/100</f>
        <v/>
      </c>
      <c r="W47" s="93" t="n">
        <v>448</v>
      </c>
      <c r="X47" s="92" t="inlineStr">
        <is>
          <t>X (minimal hazard)</t>
        </is>
      </c>
      <c r="Y47" s="93" t="n">
        <v>14225</v>
      </c>
      <c r="Z47" s="97">
        <f>W47/I47</f>
        <v/>
      </c>
      <c r="AA47" s="98">
        <f>MAX(0,(Y47-5000)/300)</f>
        <v/>
      </c>
      <c r="AB47" s="92" t="n"/>
      <c r="AC47" s="92" t="n">
        <v>0.35</v>
      </c>
      <c r="AD47" s="92" t="inlineStr">
        <is>
          <t>ok</t>
        </is>
      </c>
      <c r="AE47" s="92" t="inlineStr">
        <is>
          <t>Too small &lt;1.2k</t>
        </is>
      </c>
      <c r="AF47" s="96">
        <f>INDEX('Scoring Method'!$B$63:$B$71,MATCH(AE47,'Scoring Method'!$A$63:$A$71,0))+INDEX('Scoring Method'!$B$75:$B$79,MATCH("Good 8-15k",'Scoring Method'!$A$75:$A$79,0))+INDEX('Scoring Method'!$B$343:$B$347,MATCH(X47,'Scoring Method'!$A$343:$A$347,0))+INDEX('Scoring Method'!$B$25:$B$27,MATCH(P47,'Scoring Method'!$A$25:$A$27,0))</f>
        <v/>
      </c>
      <c r="AG47" s="96">
        <f>AF47*U47/100</f>
        <v/>
      </c>
      <c r="AH47" s="92" t="inlineStr">
        <is>
          <t>LINK-GIS + LoopNet</t>
        </is>
      </c>
      <c r="AI47" s="99" t="n">
        <v>39.08566</v>
      </c>
      <c r="AJ47" s="99" t="n">
        <v>-84.51557</v>
      </c>
      <c r="AK47" s="94" t="n">
        <v>0.15</v>
      </c>
      <c r="AL47" s="94" t="n">
        <v>0.53</v>
      </c>
      <c r="AM47" s="94" t="n">
        <v>1.11</v>
      </c>
      <c r="AN47" s="94" t="n">
        <v>0.15</v>
      </c>
      <c r="AO47" s="92" t="inlineStr">
        <is>
          <t>Core &lt;=0.35mi</t>
        </is>
      </c>
      <c r="AP47" s="92" t="inlineStr">
        <is>
          <t>Retail shell</t>
        </is>
      </c>
      <c r="AQ47" s="92" t="inlineStr">
        <is>
          <t>Good 8-15k</t>
        </is>
      </c>
      <c r="AR47" s="100" t="n"/>
      <c r="AS47" s="96">
        <f>ROUND(INDEX('Scoring Method'!$B$63:$B$70,MATCH(AE47,'Scoring Method'!$A$63:$A$70,0))*0.625+INDEX('Scoring Method'!$B$105:$B$113,MATCH(AP47,'Scoring Method'!$A$105:$A$113,0))+INDEX('Scoring Method'!$B$74:$B$78,MATCH(AQ47,'Scoring Method'!$A$74:$A$78,0))*0.6667+INDEX('Scoring Method'!$B$96:$B$101,MATCH(AO47,'Scoring Method'!$A$96:$A$101,0))+INDEX('Scoring Method'!$B$343:$B$347,MATCH(X47,'Scoring Method'!$A$343:$A$347,0))*0.3333+INDEX('Scoring Method'!$B$25:$B$27,MATCH(P47,'Scoring Method'!$A$25:$A$27,0))*0.3333,1)</f>
        <v/>
      </c>
      <c r="AT47" s="96">
        <f>AS47*U47/100</f>
        <v/>
      </c>
      <c r="AU47" s="92" t="inlineStr">
        <is>
          <t>MainStrasse</t>
        </is>
      </c>
      <c r="AV47" s="92" t="n">
        <v>75</v>
      </c>
      <c r="AW47" s="92" t="inlineStr">
        <is>
          <t>Sourced</t>
        </is>
      </c>
      <c r="AX47" s="92" t="inlineStr">
        <is>
          <t>Safe 70-79</t>
        </is>
      </c>
      <c r="AY47" s="96">
        <f>ROUND(INDEX('Scoring Method'!$B$132:$B$140,MATCH(AE47,'Scoring Method'!$A$132:$A$140,0))+INDEX('Scoring Method'!$B$144:$B$152,MATCH(AP47,'Scoring Method'!$A$144:$A$152,0))+INDEX('Scoring Method'!$B$156:$B$160,MATCH(AQ47,'Scoring Method'!$A$156:$A$160,0))+INDEX('Scoring Method'!$B$164:$B$169,MATCH(AO47,'Scoring Method'!$A$164:$A$169,0))+INDEX('Scoring Method'!$B$173:$B$178,MATCH(AX47,'Scoring Method'!$A$173:$A$178,0))+INDEX('Scoring Method'!$B$349:$B$353,MATCH(X47,'Scoring Method'!$A$349:$A$353,0))+INDEX('Scoring Method'!$B$188:$B$190,MATCH(P47,'Scoring Method'!$A$188:$A$190,0)),1)</f>
        <v/>
      </c>
      <c r="AZ47" s="96">
        <f>AY47*U47/100</f>
        <v/>
      </c>
      <c r="BA47" s="92" t="inlineStr">
        <is>
          <t>No chain signal</t>
        </is>
      </c>
      <c r="BB47" s="94" t="n">
        <v>1</v>
      </c>
      <c r="BC47" s="102" t="inlineStr">
        <is>
          <t>Small 0.25-0.35 AC</t>
        </is>
      </c>
      <c r="BD47" s="94" t="n">
        <v>0.9</v>
      </c>
      <c r="BE47" s="96">
        <f>ROUND(INDEX('Scoring Method'!$B$268:$B$276,MATCH(AE47,'Scoring Method'!$A$268:$A$276,0))+INDEX('Scoring Method'!$B$280:$B$288,MATCH(AP47,'Scoring Method'!$A$280:$A$288,0))+INDEX('Scoring Method'!$B$292:$B$296,MATCH(AQ47,'Scoring Method'!$A$292:$A$296,0))+INDEX('Scoring Method'!$B$300:$B$305,MATCH(AO47,'Scoring Method'!$A$300:$A$305,0))+INDEX('Scoring Method'!$B$309:$B$314,MATCH(AX47,'Scoring Method'!$A$309:$A$314,0))+INDEX('Scoring Method'!$B$337:$B$341,MATCH(X47,'Scoring Method'!$A$337:$A$341,0))+INDEX('Scoring Method'!$B$324:$B$326,MATCH(P47,'Scoring Method'!$A$324:$A$326,0)),1)</f>
        <v/>
      </c>
      <c r="BF47" s="96">
        <f>ROUND(INDEX('Scoring Method'!$B$268:$B$276,MATCH(AE47,'Scoring Method'!$A$268:$A$276,0))*BB47*BD47+INDEX('Scoring Method'!$B$280:$B$288,MATCH(AP47,'Scoring Method'!$A$280:$A$288,0))*BM47*BB47*BD47+INDEX('Scoring Method'!$B$292:$B$296,MATCH(AQ47,'Scoring Method'!$A$292:$A$296,0))*BD47+INDEX('Scoring Method'!$B$300:$B$305,MATCH(AO47,'Scoring Method'!$A$300:$A$305,0))*BM47*BB47+INDEX('Scoring Method'!$B$309:$B$314,MATCH(AX47,'Scoring Method'!$A$309:$A$314,0))+INDEX('Scoring Method'!$B$337:$B$341,MATCH(X47,'Scoring Method'!$A$337:$A$341,0))+INDEX('Scoring Method'!$B$324:$B$326,MATCH(P47,'Scoring Method'!$A$324:$A$326,0)),1)</f>
        <v/>
      </c>
      <c r="BG47" s="92" t="inlineStr">
        <is>
          <t>Fits (~$411/mo)</t>
        </is>
      </c>
      <c r="BH47" s="61" t="inlineStr">
        <is>
          <t>TUR (HP)</t>
        </is>
      </c>
      <c r="BI47" s="61" t="inlineStr">
        <is>
          <t>Traditional Urban Residential</t>
        </is>
      </c>
      <c r="BJ47" s="61" t="inlineStr">
        <is>
          <t>HP</t>
        </is>
      </c>
      <c r="BK47" s="61" t="inlineStr"/>
      <c r="BL47" s="61" t="inlineStr">
        <is>
          <t>Bar prohibited, alt-path</t>
        </is>
      </c>
      <c r="BM47" s="61">
        <f>INDEX('Scoring Method'!$B$358:$B$363,MATCH(BL47,'Scoring Method'!$A$358:$A$363,0))</f>
        <v/>
      </c>
    </row>
    <row r="48" ht="15" customHeight="1" s="62">
      <c r="A48" s="92" t="n">
        <v>47</v>
      </c>
      <c r="B48" s="92" t="inlineStr">
        <is>
          <t>056-14-10-001.00</t>
        </is>
      </c>
      <c r="C48" s="92" t="inlineStr">
        <is>
          <t>29 W SOUTHERN AVE</t>
        </is>
      </c>
      <c r="D48" s="92" t="inlineStr">
        <is>
          <t>CALVARY BAPTIST CHURCH OF</t>
        </is>
      </c>
      <c r="E48" s="92" t="inlineStr">
        <is>
          <t>3711 TIBBATTS ST</t>
        </is>
      </c>
      <c r="F48" s="92" t="inlineStr">
        <is>
          <t>COVINGTON</t>
        </is>
      </c>
      <c r="G48" s="92" t="inlineStr">
        <is>
          <t>KY</t>
        </is>
      </c>
      <c r="H48" s="92" t="inlineStr">
        <is>
          <t>ORGANIZATIONAL MEETING HALL</t>
        </is>
      </c>
      <c r="I48" s="93" t="n">
        <v>24038</v>
      </c>
      <c r="J48" s="94">
        <f>I48/43560</f>
        <v/>
      </c>
      <c r="K48" s="93" t="n">
        <v>744</v>
      </c>
      <c r="L48" s="95">
        <f>I48/(K48^2)</f>
        <v/>
      </c>
      <c r="M48" s="92" t="inlineStr">
        <is>
          <t>Ideal 18-32k</t>
        </is>
      </c>
      <c r="N48" s="92" t="inlineStr">
        <is>
          <t>B</t>
        </is>
      </c>
      <c r="O48" s="92" t="inlineStr">
        <is>
          <t>Elongated .035-.045</t>
        </is>
      </c>
      <c r="P48" s="92" t="inlineStr">
        <is>
          <t>Low</t>
        </is>
      </c>
      <c r="Q48" s="92" t="inlineStr">
        <is>
          <t>Local absentee</t>
        </is>
      </c>
      <c r="R48" s="92" t="inlineStr">
        <is>
          <t>Religious</t>
        </is>
      </c>
      <c r="S48" s="92" t="n">
        <v>4</v>
      </c>
      <c r="T48" s="96">
        <f>INDEX('Scoring Method'!$B$6:$B$9,MATCH(M48,'Scoring Method'!$A$6:$A$9,0))+INDEX('Scoring Method'!$B$12:$B$16,MATCH(N48,'Scoring Method'!$A$12:$A$16,0))+INDEX('Scoring Method'!$B$19:$B$22,MATCH(O48,'Scoring Method'!$A$19:$A$22,0))+INDEX('Scoring Method'!$B$25:$B$27,MATCH(P48,'Scoring Method'!$A$25:$A$27,0))</f>
        <v/>
      </c>
      <c r="U48" s="96">
        <f>(INDEX('Scoring Method'!$B$30:$B$33,MATCH(Q48,'Scoring Method'!$A$30:$A$33,0))+INDEX('Scoring Method'!$B$36:$B$42,MATCH(R48,'Scoring Method'!$A$36:$A$42,0))+INDEX('Scoring Method'!$B$45:$B$47,MATCH(IF(S48=1,"1",IF(S48=2,"2","3+")),'Scoring Method'!$A$45:$A$47,0)))/90*100</f>
        <v/>
      </c>
      <c r="V48" s="96">
        <f>T48*U48/100</f>
        <v/>
      </c>
      <c r="W48" s="93" t="n"/>
      <c r="X48" s="92" t="inlineStr">
        <is>
          <t>X (minimal hazard)</t>
        </is>
      </c>
      <c r="Y48" s="93" t="n">
        <v>4000</v>
      </c>
      <c r="Z48" s="97" t="n"/>
      <c r="AA48" s="98" t="n"/>
      <c r="AB48" s="92" t="n"/>
      <c r="AC48" s="92" t="n">
        <v>0.98</v>
      </c>
      <c r="AD48" s="102" t="inlineStr">
        <is>
          <t>CHECK</t>
        </is>
      </c>
      <c r="AE48" s="92" t="inlineStr">
        <is>
          <t>No building</t>
        </is>
      </c>
      <c r="AF48" s="96">
        <f>INDEX('Scoring Method'!$B$63:$B$71,MATCH(AE48,'Scoring Method'!$A$63:$A$71,0))+INDEX('Scoring Method'!$B$75:$B$79,MATCH("Tight 2-5k",'Scoring Method'!$A$75:$A$79,0))+INDEX('Scoring Method'!$B$343:$B$347,MATCH(X48,'Scoring Method'!$A$343:$A$347,0))+INDEX('Scoring Method'!$B$25:$B$27,MATCH(P48,'Scoring Method'!$A$25:$A$27,0))</f>
        <v/>
      </c>
      <c r="AG48" s="96">
        <f>AF48*U48/100</f>
        <v/>
      </c>
      <c r="AH48" s="92" t="inlineStr">
        <is>
          <t>LINK-GIS + LoopNet</t>
        </is>
      </c>
      <c r="AI48" s="99" t="n">
        <v>39.04702</v>
      </c>
      <c r="AJ48" s="99" t="n">
        <v>-84.50466</v>
      </c>
      <c r="AK48" s="94" t="n">
        <v>2.68</v>
      </c>
      <c r="AL48" s="94" t="n">
        <v>3.03</v>
      </c>
      <c r="AM48" s="94" t="n">
        <v>3.79</v>
      </c>
      <c r="AN48" s="94" t="n">
        <v>2.58</v>
      </c>
      <c r="AO48" s="92" t="inlineStr">
        <is>
          <t>Distant 2-3mi</t>
        </is>
      </c>
      <c r="AP48" s="92" t="inlineStr">
        <is>
          <t>Assembly hall</t>
        </is>
      </c>
      <c r="AQ48" s="92" t="inlineStr">
        <is>
          <t>Tight 2-5k</t>
        </is>
      </c>
      <c r="AR48" s="100" t="n"/>
      <c r="AS48" s="96">
        <f>ROUND(INDEX('Scoring Method'!$B$63:$B$70,MATCH(AE48,'Scoring Method'!$A$63:$A$70,0))*0.625+INDEX('Scoring Method'!$B$105:$B$113,MATCH(AP48,'Scoring Method'!$A$105:$A$113,0))+INDEX('Scoring Method'!$B$74:$B$78,MATCH(AQ48,'Scoring Method'!$A$74:$A$78,0))*0.6667+INDEX('Scoring Method'!$B$96:$B$101,MATCH(AO48,'Scoring Method'!$A$96:$A$101,0))+INDEX('Scoring Method'!$B$343:$B$347,MATCH(X48,'Scoring Method'!$A$343:$A$347,0))*0.3333+INDEX('Scoring Method'!$B$25:$B$27,MATCH(P48,'Scoring Method'!$A$25:$A$27,0))*0.3333,1)</f>
        <v/>
      </c>
      <c r="AT48" s="96">
        <f>AS48*U48/100</f>
        <v/>
      </c>
      <c r="AU48" s="92" t="inlineStr">
        <is>
          <t>Latonia</t>
        </is>
      </c>
      <c r="AV48" s="92" t="n">
        <v>78</v>
      </c>
      <c r="AW48" s="92" t="inlineStr">
        <is>
          <t>Sourced</t>
        </is>
      </c>
      <c r="AX48" s="92" t="inlineStr">
        <is>
          <t>Safe 70-79</t>
        </is>
      </c>
      <c r="AY48" s="96">
        <f>ROUND(INDEX('Scoring Method'!$B$132:$B$140,MATCH(AE48,'Scoring Method'!$A$132:$A$140,0))+INDEX('Scoring Method'!$B$144:$B$152,MATCH(AP48,'Scoring Method'!$A$144:$A$152,0))+INDEX('Scoring Method'!$B$156:$B$160,MATCH(AQ48,'Scoring Method'!$A$156:$A$160,0))+INDEX('Scoring Method'!$B$164:$B$169,MATCH(AO48,'Scoring Method'!$A$164:$A$169,0))+INDEX('Scoring Method'!$B$173:$B$178,MATCH(AX48,'Scoring Method'!$A$173:$A$178,0))+INDEX('Scoring Method'!$B$349:$B$353,MATCH(X48,'Scoring Method'!$A$349:$A$353,0))+INDEX('Scoring Method'!$B$188:$B$190,MATCH(P48,'Scoring Method'!$A$188:$A$190,0)),1)</f>
        <v/>
      </c>
      <c r="AZ48" s="96">
        <f>AY48*U48/100</f>
        <v/>
      </c>
      <c r="BA48" s="92" t="inlineStr">
        <is>
          <t>No chain signal</t>
        </is>
      </c>
      <c r="BB48" s="94" t="n">
        <v>1</v>
      </c>
      <c r="BC48" s="92" t="inlineStr">
        <is>
          <t>Right-sized 0.35-0.75 AC</t>
        </is>
      </c>
      <c r="BD48" s="94" t="n">
        <v>1</v>
      </c>
      <c r="BE48" s="96">
        <f>ROUND(INDEX('Scoring Method'!$B$268:$B$276,MATCH(AE48,'Scoring Method'!$A$268:$A$276,0))+INDEX('Scoring Method'!$B$280:$B$288,MATCH(AP48,'Scoring Method'!$A$280:$A$288,0))+INDEX('Scoring Method'!$B$292:$B$296,MATCH(AQ48,'Scoring Method'!$A$292:$A$296,0))+INDEX('Scoring Method'!$B$300:$B$305,MATCH(AO48,'Scoring Method'!$A$300:$A$305,0))+INDEX('Scoring Method'!$B$309:$B$314,MATCH(AX48,'Scoring Method'!$A$309:$A$314,0))+INDEX('Scoring Method'!$B$337:$B$341,MATCH(X48,'Scoring Method'!$A$337:$A$341,0))+INDEX('Scoring Method'!$B$324:$B$326,MATCH(P48,'Scoring Method'!$A$324:$A$326,0)),1)</f>
        <v/>
      </c>
      <c r="BF48" s="96">
        <f>ROUND(INDEX('Scoring Method'!$B$268:$B$276,MATCH(AE48,'Scoring Method'!$A$268:$A$276,0))*BB48*BD48+INDEX('Scoring Method'!$B$280:$B$288,MATCH(AP48,'Scoring Method'!$A$280:$A$288,0))*BM48*BB48*BD48+INDEX('Scoring Method'!$B$292:$B$296,MATCH(AQ48,'Scoring Method'!$A$292:$A$296,0))*BD48+INDEX('Scoring Method'!$B$300:$B$305,MATCH(AO48,'Scoring Method'!$A$300:$A$305,0))*BM48*BB48+INDEX('Scoring Method'!$B$309:$B$314,MATCH(AX48,'Scoring Method'!$A$309:$A$314,0))+INDEX('Scoring Method'!$B$337:$B$341,MATCH(X48,'Scoring Method'!$A$337:$A$341,0))+INDEX('Scoring Method'!$B$324:$B$326,MATCH(P48,'Scoring Method'!$A$324:$A$326,0)),1)</f>
        <v/>
      </c>
      <c r="BG48" s="92" t="n"/>
      <c r="BH48" s="61" t="inlineStr">
        <is>
          <t>TUMU</t>
        </is>
      </c>
      <c r="BI48" s="61" t="inlineStr">
        <is>
          <t>Traditional Urban Mixed Use</t>
        </is>
      </c>
      <c r="BJ48" s="61" t="inlineStr"/>
      <c r="BK48" s="61" t="inlineStr"/>
      <c r="BL48" s="61" t="inlineStr">
        <is>
          <t>Bar permitted</t>
        </is>
      </c>
      <c r="BM48" s="61">
        <f>INDEX('Scoring Method'!$B$358:$B$363,MATCH(BL48,'Scoring Method'!$A$358:$A$363,0))</f>
        <v/>
      </c>
    </row>
    <row r="49" ht="15" customHeight="1" s="62">
      <c r="A49" s="92" t="n">
        <v>48</v>
      </c>
      <c r="B49" s="92" t="inlineStr">
        <is>
          <t>055-23-13-005.00</t>
        </is>
      </c>
      <c r="C49" s="92" t="inlineStr">
        <is>
          <t>2459 MADISON AVE</t>
        </is>
      </c>
      <c r="D49" s="92" t="inlineStr">
        <is>
          <t>PEAK ONE HOLDINGS LLC</t>
        </is>
      </c>
      <c r="E49" s="92" t="inlineStr">
        <is>
          <t>3000 READING RD</t>
        </is>
      </c>
      <c r="F49" s="92" t="inlineStr">
        <is>
          <t>CINCINNATI</t>
        </is>
      </c>
      <c r="G49" s="92" t="inlineStr">
        <is>
          <t>OH</t>
        </is>
      </c>
      <c r="H49" s="92" t="inlineStr">
        <is>
          <t>USED CAR LOT</t>
        </is>
      </c>
      <c r="I49" s="93" t="n">
        <v>14942</v>
      </c>
      <c r="J49" s="94">
        <f>I49/43560</f>
        <v/>
      </c>
      <c r="K49" s="93" t="n">
        <v>608.1</v>
      </c>
      <c r="L49" s="95">
        <f>I49/(K49^2)</f>
        <v/>
      </c>
      <c r="M49" s="92" t="inlineStr">
        <is>
          <t>Near 14-18k/32-45k</t>
        </is>
      </c>
      <c r="N49" s="92" t="inlineStr">
        <is>
          <t>C</t>
        </is>
      </c>
      <c r="O49" s="92" t="inlineStr">
        <is>
          <t>Elongated .035-.045</t>
        </is>
      </c>
      <c r="P49" s="92" t="inlineStr">
        <is>
          <t>Moderate</t>
        </is>
      </c>
      <c r="Q49" s="92" t="inlineStr">
        <is>
          <t>Out-of-state</t>
        </is>
      </c>
      <c r="R49" s="92" t="inlineStr">
        <is>
          <t>Passive vehicle</t>
        </is>
      </c>
      <c r="S49" s="92" t="n">
        <v>2</v>
      </c>
      <c r="T49" s="96">
        <f>INDEX('Scoring Method'!$B$6:$B$9,MATCH(M49,'Scoring Method'!$A$6:$A$9,0))+INDEX('Scoring Method'!$B$12:$B$16,MATCH(N49,'Scoring Method'!$A$12:$A$16,0))+INDEX('Scoring Method'!$B$19:$B$22,MATCH(O49,'Scoring Method'!$A$19:$A$22,0))+INDEX('Scoring Method'!$B$25:$B$27,MATCH(P49,'Scoring Method'!$A$25:$A$27,0))</f>
        <v/>
      </c>
      <c r="U49" s="96">
        <f>(INDEX('Scoring Method'!$B$30:$B$33,MATCH(Q49,'Scoring Method'!$A$30:$A$33,0))+INDEX('Scoring Method'!$B$36:$B$42,MATCH(R49,'Scoring Method'!$A$36:$A$42,0))+INDEX('Scoring Method'!$B$45:$B$47,MATCH(IF(S49=1,"1",IF(S49=2,"2","3+")),'Scoring Method'!$A$45:$A$47,0)))/90*100</f>
        <v/>
      </c>
      <c r="V49" s="96">
        <f>T49*U49/100</f>
        <v/>
      </c>
      <c r="W49" s="93" t="n">
        <v>5192</v>
      </c>
      <c r="X49" s="92" t="inlineStr">
        <is>
          <t>X (minimal hazard)</t>
        </is>
      </c>
      <c r="Y49" s="93" t="n">
        <v>9100</v>
      </c>
      <c r="Z49" s="97" t="n"/>
      <c r="AA49" s="98">
        <f>MAX(0,(Y49-5000)/300)</f>
        <v/>
      </c>
      <c r="AB49" s="92" t="n"/>
      <c r="AC49" s="92" t="n"/>
      <c r="AD49" s="92" t="n"/>
      <c r="AE49" s="92" t="inlineStr">
        <is>
          <t>Large 4-6k</t>
        </is>
      </c>
      <c r="AF49" s="96">
        <f>INDEX('Scoring Method'!$B$63:$B$71,MATCH(AE49,'Scoring Method'!$A$63:$A$71,0))+INDEX('Scoring Method'!$B$75:$B$79,MATCH("Good 8-15k",'Scoring Method'!$A$75:$A$79,0))+INDEX('Scoring Method'!$B$343:$B$347,MATCH(X49,'Scoring Method'!$A$343:$A$347,0))+INDEX('Scoring Method'!$B$25:$B$27,MATCH(P49,'Scoring Method'!$A$25:$A$27,0))</f>
        <v/>
      </c>
      <c r="AG49" s="96">
        <f>AF49*U49/100</f>
        <v/>
      </c>
      <c r="AH49" s="92" t="inlineStr">
        <is>
          <t>LINK-GIS (no LoopNet record)</t>
        </is>
      </c>
      <c r="AI49" s="99" t="n">
        <v>39.06107</v>
      </c>
      <c r="AJ49" s="99" t="n">
        <v>-84.50436999999999</v>
      </c>
      <c r="AK49" s="94" t="n">
        <v>1.77</v>
      </c>
      <c r="AL49" s="94" t="n">
        <v>2.07</v>
      </c>
      <c r="AM49" s="94" t="n">
        <v>2.83</v>
      </c>
      <c r="AN49" s="94" t="n">
        <v>1.62</v>
      </c>
      <c r="AO49" s="92" t="inlineStr">
        <is>
          <t>Outer 1.25-2mi</t>
        </is>
      </c>
      <c r="AP49" s="92" t="inlineStr">
        <is>
          <t>Lot / minimal bldg</t>
        </is>
      </c>
      <c r="AQ49" s="92" t="inlineStr">
        <is>
          <t>Good 8-15k</t>
        </is>
      </c>
      <c r="AR49" s="100" t="n"/>
      <c r="AS49" s="96">
        <f>ROUND(INDEX('Scoring Method'!$B$63:$B$70,MATCH(AE49,'Scoring Method'!$A$63:$A$70,0))*0.625+INDEX('Scoring Method'!$B$105:$B$113,MATCH(AP49,'Scoring Method'!$A$105:$A$113,0))+INDEX('Scoring Method'!$B$74:$B$78,MATCH(AQ49,'Scoring Method'!$A$74:$A$78,0))*0.6667+INDEX('Scoring Method'!$B$96:$B$101,MATCH(AO49,'Scoring Method'!$A$96:$A$101,0))+INDEX('Scoring Method'!$B$343:$B$347,MATCH(X49,'Scoring Method'!$A$343:$A$347,0))*0.3333+INDEX('Scoring Method'!$B$25:$B$27,MATCH(P49,'Scoring Method'!$A$25:$A$27,0))*0.3333,1)</f>
        <v/>
      </c>
      <c r="AT49" s="96">
        <f>AS49*U49/100</f>
        <v/>
      </c>
      <c r="AU49" s="92" t="inlineStr">
        <is>
          <t>Levassor Park</t>
        </is>
      </c>
      <c r="AV49" s="92" t="n">
        <v>42</v>
      </c>
      <c r="AW49" s="101" t="inlineStr">
        <is>
          <t>ESTIMATED</t>
        </is>
      </c>
      <c r="AX49" s="92" t="inlineStr">
        <is>
          <t>Elevated 35-44</t>
        </is>
      </c>
      <c r="AY49" s="96">
        <f>ROUND(INDEX('Scoring Method'!$B$132:$B$140,MATCH(AE49,'Scoring Method'!$A$132:$A$140,0))+INDEX('Scoring Method'!$B$144:$B$152,MATCH(AP49,'Scoring Method'!$A$144:$A$152,0))+INDEX('Scoring Method'!$B$156:$B$160,MATCH(AQ49,'Scoring Method'!$A$156:$A$160,0))+INDEX('Scoring Method'!$B$164:$B$169,MATCH(AO49,'Scoring Method'!$A$164:$A$169,0))+INDEX('Scoring Method'!$B$173:$B$178,MATCH(AX49,'Scoring Method'!$A$173:$A$178,0))+INDEX('Scoring Method'!$B$349:$B$353,MATCH(X49,'Scoring Method'!$A$349:$A$353,0))+INDEX('Scoring Method'!$B$188:$B$190,MATCH(P49,'Scoring Method'!$A$188:$A$190,0)),1)</f>
        <v/>
      </c>
      <c r="AZ49" s="96">
        <f>AY49*U49/100</f>
        <v/>
      </c>
      <c r="BA49" s="92" t="inlineStr">
        <is>
          <t>No chain signal</t>
        </is>
      </c>
      <c r="BB49" s="94" t="n">
        <v>1</v>
      </c>
      <c r="BC49" s="102" t="inlineStr">
        <is>
          <t>Small 0.25-0.35 AC</t>
        </is>
      </c>
      <c r="BD49" s="94" t="n">
        <v>0.9</v>
      </c>
      <c r="BE49" s="96">
        <f>ROUND(INDEX('Scoring Method'!$B$268:$B$276,MATCH(AE49,'Scoring Method'!$A$268:$A$276,0))+INDEX('Scoring Method'!$B$280:$B$288,MATCH(AP49,'Scoring Method'!$A$280:$A$288,0))+INDEX('Scoring Method'!$B$292:$B$296,MATCH(AQ49,'Scoring Method'!$A$292:$A$296,0))+INDEX('Scoring Method'!$B$300:$B$305,MATCH(AO49,'Scoring Method'!$A$300:$A$305,0))+INDEX('Scoring Method'!$B$309:$B$314,MATCH(AX49,'Scoring Method'!$A$309:$A$314,0))+INDEX('Scoring Method'!$B$337:$B$341,MATCH(X49,'Scoring Method'!$A$337:$A$341,0))+INDEX('Scoring Method'!$B$324:$B$326,MATCH(P49,'Scoring Method'!$A$324:$A$326,0)),1)</f>
        <v/>
      </c>
      <c r="BF49" s="96">
        <f>ROUND(INDEX('Scoring Method'!$B$268:$B$276,MATCH(AE49,'Scoring Method'!$A$268:$A$276,0))*BB49*BD49+INDEX('Scoring Method'!$B$280:$B$288,MATCH(AP49,'Scoring Method'!$A$280:$A$288,0))*BM49*BB49*BD49+INDEX('Scoring Method'!$B$292:$B$296,MATCH(AQ49,'Scoring Method'!$A$292:$A$296,0))*BD49+INDEX('Scoring Method'!$B$300:$B$305,MATCH(AO49,'Scoring Method'!$A$300:$A$305,0))*BM49*BB49+INDEX('Scoring Method'!$B$309:$B$314,MATCH(AX49,'Scoring Method'!$A$309:$A$314,0))+INDEX('Scoring Method'!$B$337:$B$341,MATCH(X49,'Scoring Method'!$A$337:$A$341,0))+INDEX('Scoring Method'!$B$324:$B$326,MATCH(P49,'Scoring Method'!$A$324:$A$326,0)),1)</f>
        <v/>
      </c>
      <c r="BG49" s="92" t="inlineStr">
        <is>
          <t>Fits (~$4,759/mo)</t>
        </is>
      </c>
      <c r="BH49" s="61" t="inlineStr">
        <is>
          <t>AUC</t>
        </is>
      </c>
      <c r="BI49" s="61" t="inlineStr">
        <is>
          <t>Auto-Urban Commercial</t>
        </is>
      </c>
      <c r="BJ49" s="61" t="inlineStr"/>
      <c r="BK49" s="61" t="inlineStr"/>
      <c r="BL49" s="61" t="inlineStr">
        <is>
          <t>Bar permitted</t>
        </is>
      </c>
      <c r="BM49" s="61">
        <f>INDEX('Scoring Method'!$B$358:$B$363,MATCH(BL49,'Scoring Method'!$A$358:$A$363,0))</f>
        <v/>
      </c>
    </row>
    <row r="50" ht="15" customHeight="1" s="62">
      <c r="A50" s="92" t="n">
        <v>49</v>
      </c>
      <c r="B50" s="92" t="inlineStr">
        <is>
          <t>055-23-15-007.00</t>
        </is>
      </c>
      <c r="C50" s="92" t="inlineStr">
        <is>
          <t>2325 MADISON AVE</t>
        </is>
      </c>
      <c r="D50" s="92" t="inlineStr">
        <is>
          <t>PEAK ONE HOLDINGS LLC</t>
        </is>
      </c>
      <c r="E50" s="92" t="inlineStr">
        <is>
          <t>3000 READING RD</t>
        </is>
      </c>
      <c r="F50" s="92" t="inlineStr">
        <is>
          <t>CINCINNATI</t>
        </is>
      </c>
      <c r="G50" s="92" t="inlineStr">
        <is>
          <t>OH</t>
        </is>
      </c>
      <c r="H50" s="92" t="inlineStr">
        <is>
          <t>USED CAR LOT</t>
        </is>
      </c>
      <c r="I50" s="93" t="n">
        <v>12637</v>
      </c>
      <c r="J50" s="94">
        <f>I50/43560</f>
        <v/>
      </c>
      <c r="K50" s="93" t="n">
        <v>452.6</v>
      </c>
      <c r="L50" s="95">
        <f>I50/(K50^2)</f>
        <v/>
      </c>
      <c r="M50" s="92" t="inlineStr">
        <is>
          <t>Marginal 10-14k/45-60k</t>
        </is>
      </c>
      <c r="N50" s="92" t="inlineStr">
        <is>
          <t>C</t>
        </is>
      </c>
      <c r="O50" s="92" t="inlineStr">
        <is>
          <t>Compact &gt;=.055</t>
        </is>
      </c>
      <c r="P50" s="92" t="inlineStr">
        <is>
          <t>Moderate</t>
        </is>
      </c>
      <c r="Q50" s="92" t="inlineStr">
        <is>
          <t>Out-of-state</t>
        </is>
      </c>
      <c r="R50" s="92" t="inlineStr">
        <is>
          <t>Passive vehicle</t>
        </is>
      </c>
      <c r="S50" s="92" t="n">
        <v>2</v>
      </c>
      <c r="T50" s="96">
        <f>INDEX('Scoring Method'!$B$6:$B$9,MATCH(M50,'Scoring Method'!$A$6:$A$9,0))+INDEX('Scoring Method'!$B$12:$B$16,MATCH(N50,'Scoring Method'!$A$12:$A$16,0))+INDEX('Scoring Method'!$B$19:$B$22,MATCH(O50,'Scoring Method'!$A$19:$A$22,0))+INDEX('Scoring Method'!$B$25:$B$27,MATCH(P50,'Scoring Method'!$A$25:$A$27,0))</f>
        <v/>
      </c>
      <c r="U50" s="96">
        <f>(INDEX('Scoring Method'!$B$30:$B$33,MATCH(Q50,'Scoring Method'!$A$30:$A$33,0))+INDEX('Scoring Method'!$B$36:$B$42,MATCH(R50,'Scoring Method'!$A$36:$A$42,0))+INDEX('Scoring Method'!$B$45:$B$47,MATCH(IF(S50=1,"1",IF(S50=2,"2","3+")),'Scoring Method'!$A$45:$A$47,0)))/90*100</f>
        <v/>
      </c>
      <c r="V50" s="96">
        <f>T50*U50/100</f>
        <v/>
      </c>
      <c r="W50" s="93" t="n">
        <v>1920</v>
      </c>
      <c r="X50" s="92" t="inlineStr">
        <is>
          <t>X (minimal hazard)</t>
        </is>
      </c>
      <c r="Y50" s="93" t="n">
        <v>9850</v>
      </c>
      <c r="Z50" s="97">
        <f>W50/I50</f>
        <v/>
      </c>
      <c r="AA50" s="98">
        <f>MAX(0,(Y50-5000)/300)</f>
        <v/>
      </c>
      <c r="AB50" s="92" t="n"/>
      <c r="AC50" s="92" t="n">
        <v>0.29</v>
      </c>
      <c r="AD50" s="92" t="inlineStr">
        <is>
          <t>ok</t>
        </is>
      </c>
      <c r="AE50" s="92" t="inlineStr">
        <is>
          <t>Target 1.5-2.5k</t>
        </is>
      </c>
      <c r="AF50" s="96">
        <f>INDEX('Scoring Method'!$B$63:$B$71,MATCH(AE50,'Scoring Method'!$A$63:$A$71,0))+INDEX('Scoring Method'!$B$75:$B$79,MATCH("Good 8-15k",'Scoring Method'!$A$75:$A$79,0))+INDEX('Scoring Method'!$B$343:$B$347,MATCH(X50,'Scoring Method'!$A$343:$A$347,0))+INDEX('Scoring Method'!$B$25:$B$27,MATCH(P50,'Scoring Method'!$A$25:$A$27,0))</f>
        <v/>
      </c>
      <c r="AG50" s="96">
        <f>AF50*U50/100</f>
        <v/>
      </c>
      <c r="AH50" s="92" t="inlineStr">
        <is>
          <t>LINK-GIS + LoopNet</t>
        </is>
      </c>
      <c r="AI50" s="99" t="n">
        <v>39.06311</v>
      </c>
      <c r="AJ50" s="99" t="n">
        <v>-84.50528</v>
      </c>
      <c r="AK50" s="94" t="n">
        <v>1.62</v>
      </c>
      <c r="AL50" s="94" t="n">
        <v>1.92</v>
      </c>
      <c r="AM50" s="94" t="n">
        <v>2.68</v>
      </c>
      <c r="AN50" s="94" t="n">
        <v>1.47</v>
      </c>
      <c r="AO50" s="92" t="inlineStr">
        <is>
          <t>Outer 1.25-2mi</t>
        </is>
      </c>
      <c r="AP50" s="92" t="inlineStr">
        <is>
          <t>Lot / minimal bldg</t>
        </is>
      </c>
      <c r="AQ50" s="92" t="inlineStr">
        <is>
          <t>Good 8-15k</t>
        </is>
      </c>
      <c r="AR50" s="100" t="n"/>
      <c r="AS50" s="96">
        <f>ROUND(INDEX('Scoring Method'!$B$63:$B$70,MATCH(AE50,'Scoring Method'!$A$63:$A$70,0))*0.625+INDEX('Scoring Method'!$B$105:$B$113,MATCH(AP50,'Scoring Method'!$A$105:$A$113,0))+INDEX('Scoring Method'!$B$74:$B$78,MATCH(AQ50,'Scoring Method'!$A$74:$A$78,0))*0.6667+INDEX('Scoring Method'!$B$96:$B$101,MATCH(AO50,'Scoring Method'!$A$96:$A$101,0))+INDEX('Scoring Method'!$B$343:$B$347,MATCH(X50,'Scoring Method'!$A$343:$A$347,0))*0.3333+INDEX('Scoring Method'!$B$25:$B$27,MATCH(P50,'Scoring Method'!$A$25:$A$27,0))*0.3333,1)</f>
        <v/>
      </c>
      <c r="AT50" s="96">
        <f>AS50*U50/100</f>
        <v/>
      </c>
      <c r="AU50" s="92" t="inlineStr">
        <is>
          <t>Levassor Park</t>
        </is>
      </c>
      <c r="AV50" s="92" t="n">
        <v>42</v>
      </c>
      <c r="AW50" s="101" t="inlineStr">
        <is>
          <t>ESTIMATED</t>
        </is>
      </c>
      <c r="AX50" s="92" t="inlineStr">
        <is>
          <t>Elevated 35-44</t>
        </is>
      </c>
      <c r="AY50" s="96">
        <f>ROUND(INDEX('Scoring Method'!$B$132:$B$140,MATCH(AE50,'Scoring Method'!$A$132:$A$140,0))+INDEX('Scoring Method'!$B$144:$B$152,MATCH(AP50,'Scoring Method'!$A$144:$A$152,0))+INDEX('Scoring Method'!$B$156:$B$160,MATCH(AQ50,'Scoring Method'!$A$156:$A$160,0))+INDEX('Scoring Method'!$B$164:$B$169,MATCH(AO50,'Scoring Method'!$A$164:$A$169,0))+INDEX('Scoring Method'!$B$173:$B$178,MATCH(AX50,'Scoring Method'!$A$173:$A$178,0))+INDEX('Scoring Method'!$B$349:$B$353,MATCH(X50,'Scoring Method'!$A$349:$A$353,0))+INDEX('Scoring Method'!$B$188:$B$190,MATCH(P50,'Scoring Method'!$A$188:$A$190,0)),1)</f>
        <v/>
      </c>
      <c r="AZ50" s="96">
        <f>AY50*U50/100</f>
        <v/>
      </c>
      <c r="BA50" s="92" t="inlineStr">
        <is>
          <t>No chain signal</t>
        </is>
      </c>
      <c r="BB50" s="94" t="n">
        <v>1</v>
      </c>
      <c r="BC50" s="102" t="inlineStr">
        <is>
          <t>Small 0.25-0.35 AC</t>
        </is>
      </c>
      <c r="BD50" s="94" t="n">
        <v>0.9</v>
      </c>
      <c r="BE50" s="96">
        <f>ROUND(INDEX('Scoring Method'!$B$268:$B$276,MATCH(AE50,'Scoring Method'!$A$268:$A$276,0))+INDEX('Scoring Method'!$B$280:$B$288,MATCH(AP50,'Scoring Method'!$A$280:$A$288,0))+INDEX('Scoring Method'!$B$292:$B$296,MATCH(AQ50,'Scoring Method'!$A$292:$A$296,0))+INDEX('Scoring Method'!$B$300:$B$305,MATCH(AO50,'Scoring Method'!$A$300:$A$305,0))+INDEX('Scoring Method'!$B$309:$B$314,MATCH(AX50,'Scoring Method'!$A$309:$A$314,0))+INDEX('Scoring Method'!$B$337:$B$341,MATCH(X50,'Scoring Method'!$A$337:$A$341,0))+INDEX('Scoring Method'!$B$324:$B$326,MATCH(P50,'Scoring Method'!$A$324:$A$326,0)),1)</f>
        <v/>
      </c>
      <c r="BF50" s="96">
        <f>ROUND(INDEX('Scoring Method'!$B$268:$B$276,MATCH(AE50,'Scoring Method'!$A$268:$A$276,0))*BB50*BD50+INDEX('Scoring Method'!$B$280:$B$288,MATCH(AP50,'Scoring Method'!$A$280:$A$288,0))*BM50*BB50*BD50+INDEX('Scoring Method'!$B$292:$B$296,MATCH(AQ50,'Scoring Method'!$A$292:$A$296,0))*BD50+INDEX('Scoring Method'!$B$300:$B$305,MATCH(AO50,'Scoring Method'!$A$300:$A$305,0))*BM50*BB50+INDEX('Scoring Method'!$B$309:$B$314,MATCH(AX50,'Scoring Method'!$A$309:$A$314,0))+INDEX('Scoring Method'!$B$337:$B$341,MATCH(X50,'Scoring Method'!$A$337:$A$341,0))+INDEX('Scoring Method'!$B$324:$B$326,MATCH(P50,'Scoring Method'!$A$324:$A$326,0)),1)</f>
        <v/>
      </c>
      <c r="BG50" s="92" t="inlineStr">
        <is>
          <t>Fits (~$1,760/mo)</t>
        </is>
      </c>
      <c r="BH50" s="61" t="inlineStr">
        <is>
          <t>SU</t>
        </is>
      </c>
      <c r="BI50" s="61" t="inlineStr">
        <is>
          <t>Semi-Urban Residential</t>
        </is>
      </c>
      <c r="BJ50" s="61" t="inlineStr"/>
      <c r="BK50" s="61" t="inlineStr"/>
      <c r="BL50" s="61" t="inlineStr">
        <is>
          <t>SU corner unverified</t>
        </is>
      </c>
      <c r="BM50" s="61">
        <f>INDEX('Scoring Method'!$B$358:$B$363,MATCH(BL50,'Scoring Method'!$A$358:$A$363,0))</f>
        <v/>
      </c>
    </row>
    <row r="51" ht="15" customHeight="1" s="62">
      <c r="A51" s="92" t="n">
        <v>50</v>
      </c>
      <c r="B51" s="92" t="inlineStr">
        <is>
          <t>055-42-01-001.00</t>
        </is>
      </c>
      <c r="C51" s="92" t="inlineStr">
        <is>
          <t>2601 MADISON AVE</t>
        </is>
      </c>
      <c r="D51" s="92" t="inlineStr">
        <is>
          <t>WIRELESS COMMUNICATIONS INC</t>
        </is>
      </c>
      <c r="E51" s="92" t="inlineStr">
        <is>
          <t>3000 READING RD</t>
        </is>
      </c>
      <c r="F51" s="92" t="inlineStr">
        <is>
          <t>CINCINNATI</t>
        </is>
      </c>
      <c r="G51" s="92" t="inlineStr">
        <is>
          <t>OH</t>
        </is>
      </c>
      <c r="H51" s="92" t="inlineStr">
        <is>
          <t>OTHER RETAIL</t>
        </is>
      </c>
      <c r="I51" s="93" t="n">
        <v>26514</v>
      </c>
      <c r="J51" s="94">
        <f>I51/43560</f>
        <v/>
      </c>
      <c r="K51" s="93" t="n">
        <v>686.1</v>
      </c>
      <c r="L51" s="95">
        <f>I51/(K51^2)</f>
        <v/>
      </c>
      <c r="M51" s="92" t="inlineStr">
        <is>
          <t>Ideal 18-32k</t>
        </is>
      </c>
      <c r="N51" s="92" t="inlineStr">
        <is>
          <t>C</t>
        </is>
      </c>
      <c r="O51" s="92" t="inlineStr">
        <is>
          <t>Compact &gt;=.055</t>
        </is>
      </c>
      <c r="P51" s="92" t="inlineStr">
        <is>
          <t>Low</t>
        </is>
      </c>
      <c r="Q51" s="92" t="inlineStr">
        <is>
          <t>Out-of-state</t>
        </is>
      </c>
      <c r="R51" s="92" t="inlineStr">
        <is>
          <t>Operating entity</t>
        </is>
      </c>
      <c r="S51" s="92" t="n">
        <v>1</v>
      </c>
      <c r="T51" s="96">
        <f>INDEX('Scoring Method'!$B$6:$B$9,MATCH(M51,'Scoring Method'!$A$6:$A$9,0))+INDEX('Scoring Method'!$B$12:$B$16,MATCH(N51,'Scoring Method'!$A$12:$A$16,0))+INDEX('Scoring Method'!$B$19:$B$22,MATCH(O51,'Scoring Method'!$A$19:$A$22,0))+INDEX('Scoring Method'!$B$25:$B$27,MATCH(P51,'Scoring Method'!$A$25:$A$27,0))</f>
        <v/>
      </c>
      <c r="U51" s="96">
        <f>(INDEX('Scoring Method'!$B$30:$B$33,MATCH(Q51,'Scoring Method'!$A$30:$A$33,0))+INDEX('Scoring Method'!$B$36:$B$42,MATCH(R51,'Scoring Method'!$A$36:$A$42,0))+INDEX('Scoring Method'!$B$45:$B$47,MATCH(IF(S51=1,"1",IF(S51=2,"2","3+")),'Scoring Method'!$A$45:$A$47,0)))/90*100</f>
        <v/>
      </c>
      <c r="V51" s="96">
        <f>T51*U51/100</f>
        <v/>
      </c>
      <c r="W51" s="93" t="n">
        <v>6480</v>
      </c>
      <c r="X51" s="92" t="inlineStr">
        <is>
          <t>X (minimal hazard)</t>
        </is>
      </c>
      <c r="Y51" s="93" t="n">
        <v>18900</v>
      </c>
      <c r="Z51" s="97">
        <f>W51/I51</f>
        <v/>
      </c>
      <c r="AA51" s="98">
        <f>MAX(0,(Y51-5000)/300)</f>
        <v/>
      </c>
      <c r="AB51" s="92" t="n"/>
      <c r="AC51" s="92" t="n">
        <v>0.61</v>
      </c>
      <c r="AD51" s="92" t="inlineStr">
        <is>
          <t>ok</t>
        </is>
      </c>
      <c r="AE51" s="92" t="inlineStr">
        <is>
          <t>Oversize 6-12k</t>
        </is>
      </c>
      <c r="AF51" s="96">
        <f>INDEX('Scoring Method'!$B$63:$B$71,MATCH(AE51,'Scoring Method'!$A$63:$A$71,0))+INDEX('Scoring Method'!$B$75:$B$79,MATCH("Ample &gt;=15k",'Scoring Method'!$A$75:$A$79,0))+INDEX('Scoring Method'!$B$343:$B$347,MATCH(X51,'Scoring Method'!$A$343:$A$347,0))+INDEX('Scoring Method'!$B$25:$B$27,MATCH(P51,'Scoring Method'!$A$25:$A$27,0))</f>
        <v/>
      </c>
      <c r="AG51" s="96">
        <f>AF51*U51/100</f>
        <v/>
      </c>
      <c r="AH51" s="92" t="inlineStr">
        <is>
          <t>LINK-GIS + LoopNet</t>
        </is>
      </c>
      <c r="AI51" s="99" t="n">
        <v>39.05912</v>
      </c>
      <c r="AJ51" s="99" t="n">
        <v>-84.50266000000001</v>
      </c>
      <c r="AK51" s="94" t="n">
        <v>1.93</v>
      </c>
      <c r="AL51" s="94" t="n">
        <v>2.21</v>
      </c>
      <c r="AM51" s="94" t="n">
        <v>2.97</v>
      </c>
      <c r="AN51" s="94" t="n">
        <v>1.78</v>
      </c>
      <c r="AO51" s="92" t="inlineStr">
        <is>
          <t>Outer 1.25-2mi</t>
        </is>
      </c>
      <c r="AP51" s="92" t="inlineStr">
        <is>
          <t>Retail shell</t>
        </is>
      </c>
      <c r="AQ51" s="92" t="inlineStr">
        <is>
          <t>Ample &gt;=15k</t>
        </is>
      </c>
      <c r="AR51" s="100" t="n"/>
      <c r="AS51" s="96">
        <f>ROUND(INDEX('Scoring Method'!$B$63:$B$70,MATCH(AE51,'Scoring Method'!$A$63:$A$70,0))*0.625+INDEX('Scoring Method'!$B$105:$B$113,MATCH(AP51,'Scoring Method'!$A$105:$A$113,0))+INDEX('Scoring Method'!$B$74:$B$78,MATCH(AQ51,'Scoring Method'!$A$74:$A$78,0))*0.6667+INDEX('Scoring Method'!$B$96:$B$101,MATCH(AO51,'Scoring Method'!$A$96:$A$101,0))+INDEX('Scoring Method'!$B$343:$B$347,MATCH(X51,'Scoring Method'!$A$343:$A$347,0))*0.3333+INDEX('Scoring Method'!$B$25:$B$27,MATCH(P51,'Scoring Method'!$A$25:$A$27,0))*0.3333,1)</f>
        <v/>
      </c>
      <c r="AT51" s="96">
        <f>AS51*U51/100</f>
        <v/>
      </c>
      <c r="AU51" s="92" t="inlineStr">
        <is>
          <t>Levassor Park</t>
        </is>
      </c>
      <c r="AV51" s="92" t="n">
        <v>42</v>
      </c>
      <c r="AW51" s="101" t="inlineStr">
        <is>
          <t>ESTIMATED</t>
        </is>
      </c>
      <c r="AX51" s="92" t="inlineStr">
        <is>
          <t>Elevated 35-44</t>
        </is>
      </c>
      <c r="AY51" s="96">
        <f>ROUND(INDEX('Scoring Method'!$B$132:$B$140,MATCH(AE51,'Scoring Method'!$A$132:$A$140,0))+INDEX('Scoring Method'!$B$144:$B$152,MATCH(AP51,'Scoring Method'!$A$144:$A$152,0))+INDEX('Scoring Method'!$B$156:$B$160,MATCH(AQ51,'Scoring Method'!$A$156:$A$160,0))+INDEX('Scoring Method'!$B$164:$B$169,MATCH(AO51,'Scoring Method'!$A$164:$A$169,0))+INDEX('Scoring Method'!$B$173:$B$178,MATCH(AX51,'Scoring Method'!$A$173:$A$178,0))+INDEX('Scoring Method'!$B$349:$B$353,MATCH(X51,'Scoring Method'!$A$349:$A$353,0))+INDEX('Scoring Method'!$B$188:$B$190,MATCH(P51,'Scoring Method'!$A$188:$A$190,0)),1)</f>
        <v/>
      </c>
      <c r="AZ51" s="96">
        <f>AY51*U51/100</f>
        <v/>
      </c>
      <c r="BA51" s="92" t="inlineStr">
        <is>
          <t>No chain signal</t>
        </is>
      </c>
      <c r="BB51" s="94" t="n">
        <v>1</v>
      </c>
      <c r="BC51" s="92" t="inlineStr">
        <is>
          <t>Right-sized 0.35-0.75 AC</t>
        </is>
      </c>
      <c r="BD51" s="94" t="n">
        <v>1</v>
      </c>
      <c r="BE51" s="96">
        <f>ROUND(INDEX('Scoring Method'!$B$268:$B$276,MATCH(AE51,'Scoring Method'!$A$268:$A$276,0))+INDEX('Scoring Method'!$B$280:$B$288,MATCH(AP51,'Scoring Method'!$A$280:$A$288,0))+INDEX('Scoring Method'!$B$292:$B$296,MATCH(AQ51,'Scoring Method'!$A$292:$A$296,0))+INDEX('Scoring Method'!$B$300:$B$305,MATCH(AO51,'Scoring Method'!$A$300:$A$305,0))+INDEX('Scoring Method'!$B$309:$B$314,MATCH(AX51,'Scoring Method'!$A$309:$A$314,0))+INDEX('Scoring Method'!$B$337:$B$341,MATCH(X51,'Scoring Method'!$A$337:$A$341,0))+INDEX('Scoring Method'!$B$324:$B$326,MATCH(P51,'Scoring Method'!$A$324:$A$326,0)),1)</f>
        <v/>
      </c>
      <c r="BF51" s="96">
        <f>ROUND(INDEX('Scoring Method'!$B$268:$B$276,MATCH(AE51,'Scoring Method'!$A$268:$A$276,0))*BB51*BD51+INDEX('Scoring Method'!$B$280:$B$288,MATCH(AP51,'Scoring Method'!$A$280:$A$288,0))*BM51*BB51*BD51+INDEX('Scoring Method'!$B$292:$B$296,MATCH(AQ51,'Scoring Method'!$A$292:$A$296,0))*BD51+INDEX('Scoring Method'!$B$300:$B$305,MATCH(AO51,'Scoring Method'!$A$300:$A$305,0))*BM51*BB51+INDEX('Scoring Method'!$B$309:$B$314,MATCH(AX51,'Scoring Method'!$A$309:$A$314,0))+INDEX('Scoring Method'!$B$337:$B$341,MATCH(X51,'Scoring Method'!$A$337:$A$341,0))+INDEX('Scoring Method'!$B$324:$B$326,MATCH(P51,'Scoring Method'!$A$324:$A$326,0)),1)</f>
        <v/>
      </c>
      <c r="BG51" s="92" t="inlineStr">
        <is>
          <t>Fits (~$5,940/mo)</t>
        </is>
      </c>
      <c r="BH51" s="61" t="inlineStr">
        <is>
          <t>AUC</t>
        </is>
      </c>
      <c r="BI51" s="61" t="inlineStr">
        <is>
          <t>Auto-Urban Commercial</t>
        </is>
      </c>
      <c r="BJ51" s="61" t="inlineStr"/>
      <c r="BK51" s="61" t="inlineStr"/>
      <c r="BL51" s="61" t="inlineStr">
        <is>
          <t>Bar permitted</t>
        </is>
      </c>
      <c r="BM51" s="61">
        <f>INDEX('Scoring Method'!$B$358:$B$363,MATCH(BL51,'Scoring Method'!$A$358:$A$363,0))</f>
        <v/>
      </c>
    </row>
    <row r="52" ht="15" customHeight="1" s="62">
      <c r="A52" s="92" t="n">
        <v>51</v>
      </c>
      <c r="B52" s="92" t="inlineStr">
        <is>
          <t>056-14-10-012.00</t>
        </is>
      </c>
      <c r="C52" s="92" t="inlineStr">
        <is>
          <t>3719 WINSTON AVE</t>
        </is>
      </c>
      <c r="D52" s="92" t="inlineStr">
        <is>
          <t>PEOPLES LIBERTY BANK &amp; TRUST C</t>
        </is>
      </c>
      <c r="E52" s="92" t="inlineStr">
        <is>
          <t>3638 ROUND BOTTOM RD</t>
        </is>
      </c>
      <c r="F52" s="92" t="inlineStr">
        <is>
          <t>CINCINNATI</t>
        </is>
      </c>
      <c r="G52" s="92" t="inlineStr">
        <is>
          <t>OH</t>
        </is>
      </c>
      <c r="H52" s="92" t="inlineStr">
        <is>
          <t>FAST FOOD-DRIVE THRU REST</t>
        </is>
      </c>
      <c r="I52" s="93" t="n">
        <v>19322</v>
      </c>
      <c r="J52" s="94">
        <f>I52/43560</f>
        <v/>
      </c>
      <c r="K52" s="93" t="n">
        <v>588</v>
      </c>
      <c r="L52" s="95">
        <f>I52/(K52^2)</f>
        <v/>
      </c>
      <c r="M52" s="92" t="inlineStr">
        <is>
          <t>Ideal 18-32k</t>
        </is>
      </c>
      <c r="N52" s="92" t="inlineStr">
        <is>
          <t>C</t>
        </is>
      </c>
      <c r="O52" s="92" t="inlineStr">
        <is>
          <t>Compact &gt;=.055</t>
        </is>
      </c>
      <c r="P52" s="92" t="inlineStr">
        <is>
          <t>Low</t>
        </is>
      </c>
      <c r="Q52" s="92" t="inlineStr">
        <is>
          <t>Out-of-state</t>
        </is>
      </c>
      <c r="R52" s="92" t="inlineStr">
        <is>
          <t>Operating entity</t>
        </is>
      </c>
      <c r="S52" s="92" t="n">
        <v>1</v>
      </c>
      <c r="T52" s="96">
        <f>INDEX('Scoring Method'!$B$6:$B$9,MATCH(M52,'Scoring Method'!$A$6:$A$9,0))+INDEX('Scoring Method'!$B$12:$B$16,MATCH(N52,'Scoring Method'!$A$12:$A$16,0))+INDEX('Scoring Method'!$B$19:$B$22,MATCH(O52,'Scoring Method'!$A$19:$A$22,0))+INDEX('Scoring Method'!$B$25:$B$27,MATCH(P52,'Scoring Method'!$A$25:$A$27,0))</f>
        <v/>
      </c>
      <c r="U52" s="96">
        <f>(INDEX('Scoring Method'!$B$30:$B$33,MATCH(Q52,'Scoring Method'!$A$30:$A$33,0))+INDEX('Scoring Method'!$B$36:$B$42,MATCH(R52,'Scoring Method'!$A$36:$A$42,0))+INDEX('Scoring Method'!$B$45:$B$47,MATCH(IF(S52=1,"1",IF(S52=2,"2","3+")),'Scoring Method'!$A$45:$A$47,0)))/90*100</f>
        <v/>
      </c>
      <c r="V52" s="96">
        <f>T52*U52/100</f>
        <v/>
      </c>
      <c r="W52" s="93" t="n">
        <v>2347</v>
      </c>
      <c r="X52" s="92" t="inlineStr">
        <is>
          <t>X (minimal hazard)</t>
        </is>
      </c>
      <c r="Y52" s="93" t="n">
        <v>15375</v>
      </c>
      <c r="Z52" s="97">
        <f>W52/I52</f>
        <v/>
      </c>
      <c r="AA52" s="98">
        <f>MAX(0,(Y52-5000)/300)</f>
        <v/>
      </c>
      <c r="AB52" s="92" t="n"/>
      <c r="AC52" s="92" t="n">
        <v>0.44</v>
      </c>
      <c r="AD52" s="92" t="inlineStr">
        <is>
          <t>ok</t>
        </is>
      </c>
      <c r="AE52" s="92" t="inlineStr">
        <is>
          <t>Target 1.5-2.5k</t>
        </is>
      </c>
      <c r="AF52" s="96">
        <f>INDEX('Scoring Method'!$B$63:$B$71,MATCH(AE52,'Scoring Method'!$A$63:$A$71,0))+INDEX('Scoring Method'!$B$75:$B$79,MATCH("Ample &gt;=15k",'Scoring Method'!$A$75:$A$79,0))+INDEX('Scoring Method'!$B$343:$B$347,MATCH(X52,'Scoring Method'!$A$343:$A$347,0))+INDEX('Scoring Method'!$B$25:$B$27,MATCH(P52,'Scoring Method'!$A$25:$A$27,0))</f>
        <v/>
      </c>
      <c r="AG52" s="96">
        <f>AF52*U52/100</f>
        <v/>
      </c>
      <c r="AH52" s="92" t="inlineStr">
        <is>
          <t>LINK-GIS + LoopNet</t>
        </is>
      </c>
      <c r="AI52" s="99" t="n">
        <v>39.04686</v>
      </c>
      <c r="AJ52" s="99" t="n">
        <v>-84.50409000000001</v>
      </c>
      <c r="AK52" s="94" t="n">
        <v>2.7</v>
      </c>
      <c r="AL52" s="94" t="n">
        <v>3.05</v>
      </c>
      <c r="AM52" s="94" t="n">
        <v>3.8</v>
      </c>
      <c r="AN52" s="94" t="n">
        <v>2.59</v>
      </c>
      <c r="AO52" s="92" t="inlineStr">
        <is>
          <t>Distant 2-3mi</t>
        </is>
      </c>
      <c r="AP52" s="92" t="inlineStr">
        <is>
          <t>Built-out kitchen</t>
        </is>
      </c>
      <c r="AQ52" s="92" t="inlineStr">
        <is>
          <t>Ample &gt;=15k</t>
        </is>
      </c>
      <c r="AR52" s="100" t="n"/>
      <c r="AS52" s="96">
        <f>ROUND(INDEX('Scoring Method'!$B$63:$B$70,MATCH(AE52,'Scoring Method'!$A$63:$A$70,0))*0.625+INDEX('Scoring Method'!$B$105:$B$113,MATCH(AP52,'Scoring Method'!$A$105:$A$113,0))+INDEX('Scoring Method'!$B$74:$B$78,MATCH(AQ52,'Scoring Method'!$A$74:$A$78,0))*0.6667+INDEX('Scoring Method'!$B$96:$B$101,MATCH(AO52,'Scoring Method'!$A$96:$A$101,0))+INDEX('Scoring Method'!$B$343:$B$347,MATCH(X52,'Scoring Method'!$A$343:$A$347,0))*0.3333+INDEX('Scoring Method'!$B$25:$B$27,MATCH(P52,'Scoring Method'!$A$25:$A$27,0))*0.3333,1)</f>
        <v/>
      </c>
      <c r="AT52" s="96">
        <f>AS52*U52/100</f>
        <v/>
      </c>
      <c r="AU52" s="92" t="inlineStr">
        <is>
          <t>Latonia</t>
        </is>
      </c>
      <c r="AV52" s="92" t="n">
        <v>78</v>
      </c>
      <c r="AW52" s="92" t="inlineStr">
        <is>
          <t>Sourced</t>
        </is>
      </c>
      <c r="AX52" s="92" t="inlineStr">
        <is>
          <t>Safe 70-79</t>
        </is>
      </c>
      <c r="AY52" s="96">
        <f>ROUND(INDEX('Scoring Method'!$B$132:$B$140,MATCH(AE52,'Scoring Method'!$A$132:$A$140,0))+INDEX('Scoring Method'!$B$144:$B$152,MATCH(AP52,'Scoring Method'!$A$144:$A$152,0))+INDEX('Scoring Method'!$B$156:$B$160,MATCH(AQ52,'Scoring Method'!$A$156:$A$160,0))+INDEX('Scoring Method'!$B$164:$B$169,MATCH(AO52,'Scoring Method'!$A$164:$A$169,0))+INDEX('Scoring Method'!$B$173:$B$178,MATCH(AX52,'Scoring Method'!$A$173:$A$178,0))+INDEX('Scoring Method'!$B$349:$B$353,MATCH(X52,'Scoring Method'!$A$349:$A$353,0))+INDEX('Scoring Method'!$B$188:$B$190,MATCH(P52,'Scoring Method'!$A$188:$A$190,0)),1)</f>
        <v/>
      </c>
      <c r="AZ52" s="96">
        <f>AY52*U52/100</f>
        <v/>
      </c>
      <c r="BA52" s="103" t="inlineStr">
        <is>
          <t>Brand-owned / net lease</t>
        </is>
      </c>
      <c r="BB52" s="94" t="n">
        <v>0.3</v>
      </c>
      <c r="BC52" s="92" t="inlineStr">
        <is>
          <t>Right-sized 0.35-0.75 AC</t>
        </is>
      </c>
      <c r="BD52" s="94" t="n">
        <v>1</v>
      </c>
      <c r="BE52" s="96">
        <f>ROUND(INDEX('Scoring Method'!$B$268:$B$276,MATCH(AE52,'Scoring Method'!$A$268:$A$276,0))+INDEX('Scoring Method'!$B$280:$B$288,MATCH(AP52,'Scoring Method'!$A$280:$A$288,0))+INDEX('Scoring Method'!$B$292:$B$296,MATCH(AQ52,'Scoring Method'!$A$292:$A$296,0))+INDEX('Scoring Method'!$B$300:$B$305,MATCH(AO52,'Scoring Method'!$A$300:$A$305,0))+INDEX('Scoring Method'!$B$309:$B$314,MATCH(AX52,'Scoring Method'!$A$309:$A$314,0))+INDEX('Scoring Method'!$B$337:$B$341,MATCH(X52,'Scoring Method'!$A$337:$A$341,0))+INDEX('Scoring Method'!$B$324:$B$326,MATCH(P52,'Scoring Method'!$A$324:$A$326,0)),1)</f>
        <v/>
      </c>
      <c r="BF52" s="96">
        <f>ROUND(INDEX('Scoring Method'!$B$268:$B$276,MATCH(AE52,'Scoring Method'!$A$268:$A$276,0))*BB52*BD52+INDEX('Scoring Method'!$B$280:$B$288,MATCH(AP52,'Scoring Method'!$A$280:$A$288,0))*BM52*BB52*BD52+INDEX('Scoring Method'!$B$292:$B$296,MATCH(AQ52,'Scoring Method'!$A$292:$A$296,0))*BD52+INDEX('Scoring Method'!$B$300:$B$305,MATCH(AO52,'Scoring Method'!$A$300:$A$305,0))*BM52*BB52+INDEX('Scoring Method'!$B$309:$B$314,MATCH(AX52,'Scoring Method'!$A$309:$A$314,0))+INDEX('Scoring Method'!$B$337:$B$341,MATCH(X52,'Scoring Method'!$A$337:$A$341,0))+INDEX('Scoring Method'!$B$324:$B$326,MATCH(P52,'Scoring Method'!$A$324:$A$326,0)),1)</f>
        <v/>
      </c>
      <c r="BG52" s="92" t="inlineStr">
        <is>
          <t>Fits (~$2,151/mo)</t>
        </is>
      </c>
      <c r="BH52" s="61" t="inlineStr">
        <is>
          <t>TUMU</t>
        </is>
      </c>
      <c r="BI52" s="61" t="inlineStr">
        <is>
          <t>Traditional Urban Mixed Use</t>
        </is>
      </c>
      <c r="BJ52" s="61" t="inlineStr"/>
      <c r="BK52" s="61" t="inlineStr"/>
      <c r="BL52" s="61" t="inlineStr">
        <is>
          <t>Bar permitted</t>
        </is>
      </c>
      <c r="BM52" s="61">
        <f>INDEX('Scoring Method'!$B$358:$B$363,MATCH(BL52,'Scoring Method'!$A$358:$A$363,0))</f>
        <v/>
      </c>
    </row>
    <row r="53" ht="15" customHeight="1" s="62">
      <c r="A53" s="92" t="n">
        <v>52</v>
      </c>
      <c r="B53" s="92" t="inlineStr">
        <is>
          <t>044-00-00-044.00</t>
        </is>
      </c>
      <c r="C53" s="92" t="inlineStr">
        <is>
          <t>1004 MARY LAIDLEY DR</t>
        </is>
      </c>
      <c r="D53" s="92" t="inlineStr">
        <is>
          <t>CRONE PROPERTIES LLC</t>
        </is>
      </c>
      <c r="E53" s="92" t="inlineStr">
        <is>
          <t>1008 MARY LAIDLEY DR</t>
        </is>
      </c>
      <c r="F53" s="92" t="inlineStr">
        <is>
          <t>COVINGTON</t>
        </is>
      </c>
      <c r="G53" s="92" t="inlineStr">
        <is>
          <t>KY</t>
        </is>
      </c>
      <c r="H53" s="92" t="inlineStr">
        <is>
          <t>AUTO SERVICE/REPAIR</t>
        </is>
      </c>
      <c r="I53" s="93" t="n">
        <v>49693</v>
      </c>
      <c r="J53" s="94">
        <f>I53/43560</f>
        <v/>
      </c>
      <c r="K53" s="93" t="n">
        <v>917.6</v>
      </c>
      <c r="L53" s="95">
        <f>I53/(K53^2)</f>
        <v/>
      </c>
      <c r="M53" s="92" t="inlineStr">
        <is>
          <t>Marginal 10-14k/45-60k</t>
        </is>
      </c>
      <c r="N53" s="92" t="inlineStr">
        <is>
          <t>A</t>
        </is>
      </c>
      <c r="O53" s="92" t="inlineStr">
        <is>
          <t>Compact &gt;=.055</t>
        </is>
      </c>
      <c r="P53" s="92" t="inlineStr">
        <is>
          <t>Moderate</t>
        </is>
      </c>
      <c r="Q53" s="92" t="inlineStr">
        <is>
          <t>Local absentee</t>
        </is>
      </c>
      <c r="R53" s="92" t="inlineStr">
        <is>
          <t>Passive vehicle</t>
        </is>
      </c>
      <c r="S53" s="92" t="n">
        <v>2</v>
      </c>
      <c r="T53" s="96">
        <f>INDEX('Scoring Method'!$B$6:$B$9,MATCH(M53,'Scoring Method'!$A$6:$A$9,0))+INDEX('Scoring Method'!$B$12:$B$16,MATCH(N53,'Scoring Method'!$A$12:$A$16,0))+INDEX('Scoring Method'!$B$19:$B$22,MATCH(O53,'Scoring Method'!$A$19:$A$22,0))+INDEX('Scoring Method'!$B$25:$B$27,MATCH(P53,'Scoring Method'!$A$25:$A$27,0))</f>
        <v/>
      </c>
      <c r="U53" s="96">
        <f>(INDEX('Scoring Method'!$B$30:$B$33,MATCH(Q53,'Scoring Method'!$A$30:$A$33,0))+INDEX('Scoring Method'!$B$36:$B$42,MATCH(R53,'Scoring Method'!$A$36:$A$42,0))+INDEX('Scoring Method'!$B$45:$B$47,MATCH(IF(S53=1,"1",IF(S53=2,"2","3+")),'Scoring Method'!$A$45:$A$47,0)))/90*100</f>
        <v/>
      </c>
      <c r="V53" s="96">
        <f>T53*U53/100</f>
        <v/>
      </c>
      <c r="W53" s="93" t="n">
        <v>5000</v>
      </c>
      <c r="X53" s="92" t="inlineStr">
        <is>
          <t>X (minimal hazard)</t>
        </is>
      </c>
      <c r="Y53" s="93" t="n">
        <v>37875</v>
      </c>
      <c r="Z53" s="97">
        <f>W53/I53</f>
        <v/>
      </c>
      <c r="AA53" s="98">
        <f>MAX(0,(Y53-5000)/300)</f>
        <v/>
      </c>
      <c r="AB53" s="92" t="n"/>
      <c r="AC53" s="92" t="n">
        <v>1.13</v>
      </c>
      <c r="AD53" s="92" t="inlineStr">
        <is>
          <t>ok</t>
        </is>
      </c>
      <c r="AE53" s="92" t="inlineStr">
        <is>
          <t>Large 4-6k</t>
        </is>
      </c>
      <c r="AF53" s="96">
        <f>INDEX('Scoring Method'!$B$63:$B$71,MATCH(AE53,'Scoring Method'!$A$63:$A$71,0))+INDEX('Scoring Method'!$B$75:$B$79,MATCH("Ample &gt;=15k",'Scoring Method'!$A$75:$A$79,0))+INDEX('Scoring Method'!$B$343:$B$347,MATCH(X53,'Scoring Method'!$A$343:$A$347,0))+INDEX('Scoring Method'!$B$25:$B$27,MATCH(P53,'Scoring Method'!$A$25:$A$27,0))</f>
        <v/>
      </c>
      <c r="AG53" s="96">
        <f>AF53*U53/100</f>
        <v/>
      </c>
      <c r="AH53" s="92" t="inlineStr">
        <is>
          <t>LINK-GIS + LoopNet</t>
        </is>
      </c>
      <c r="AI53" s="99" t="n">
        <v>39.00344</v>
      </c>
      <c r="AJ53" s="99" t="n">
        <v>-84.53597000000001</v>
      </c>
      <c r="AK53" s="94" t="n">
        <v>5.68</v>
      </c>
      <c r="AL53" s="94" t="n">
        <v>6.22</v>
      </c>
      <c r="AM53" s="94" t="n">
        <v>6.89</v>
      </c>
      <c r="AN53" s="94" t="n">
        <v>5.68</v>
      </c>
      <c r="AO53" s="92" t="inlineStr">
        <is>
          <t>Remote &gt;3mi</t>
        </is>
      </c>
      <c r="AP53" s="92" t="inlineStr">
        <is>
          <t>Open span</t>
        </is>
      </c>
      <c r="AQ53" s="92" t="inlineStr">
        <is>
          <t>Ample &gt;=15k</t>
        </is>
      </c>
      <c r="AR53" s="100" t="n"/>
      <c r="AS53" s="96">
        <f>ROUND(INDEX('Scoring Method'!$B$63:$B$70,MATCH(AE53,'Scoring Method'!$A$63:$A$70,0))*0.625+INDEX('Scoring Method'!$B$105:$B$113,MATCH(AP53,'Scoring Method'!$A$105:$A$113,0))+INDEX('Scoring Method'!$B$74:$B$78,MATCH(AQ53,'Scoring Method'!$A$74:$A$78,0))*0.6667+INDEX('Scoring Method'!$B$96:$B$101,MATCH(AO53,'Scoring Method'!$A$96:$A$101,0))+INDEX('Scoring Method'!$B$343:$B$347,MATCH(X53,'Scoring Method'!$A$343:$A$347,0))*0.3333+INDEX('Scoring Method'!$B$25:$B$27,MATCH(P53,'Scoring Method'!$A$25:$A$27,0))*0.3333,1)</f>
        <v/>
      </c>
      <c r="AT53" s="96">
        <f>AS53*U53/100</f>
        <v/>
      </c>
      <c r="AU53" s="92" t="inlineStr">
        <is>
          <t>South Covington</t>
        </is>
      </c>
      <c r="AV53" s="92" t="n">
        <v>88</v>
      </c>
      <c r="AW53" s="92" t="inlineStr">
        <is>
          <t>Sourced</t>
        </is>
      </c>
      <c r="AX53" s="92" t="inlineStr">
        <is>
          <t>Very safe 80+</t>
        </is>
      </c>
      <c r="AY53" s="96">
        <f>ROUND(INDEX('Scoring Method'!$B$132:$B$140,MATCH(AE53,'Scoring Method'!$A$132:$A$140,0))+INDEX('Scoring Method'!$B$144:$B$152,MATCH(AP53,'Scoring Method'!$A$144:$A$152,0))+INDEX('Scoring Method'!$B$156:$B$160,MATCH(AQ53,'Scoring Method'!$A$156:$A$160,0))+INDEX('Scoring Method'!$B$164:$B$169,MATCH(AO53,'Scoring Method'!$A$164:$A$169,0))+INDEX('Scoring Method'!$B$173:$B$178,MATCH(AX53,'Scoring Method'!$A$173:$A$178,0))+INDEX('Scoring Method'!$B$349:$B$353,MATCH(X53,'Scoring Method'!$A$349:$A$353,0))+INDEX('Scoring Method'!$B$188:$B$190,MATCH(P53,'Scoring Method'!$A$188:$A$190,0)),1)</f>
        <v/>
      </c>
      <c r="AZ53" s="96">
        <f>AY53*U53/100</f>
        <v/>
      </c>
      <c r="BA53" s="92" t="inlineStr">
        <is>
          <t>No chain signal</t>
        </is>
      </c>
      <c r="BB53" s="94" t="n">
        <v>1</v>
      </c>
      <c r="BC53" s="102" t="inlineStr">
        <is>
          <t>Large 0.75-1.25 AC</t>
        </is>
      </c>
      <c r="BD53" s="94" t="n">
        <v>0.9</v>
      </c>
      <c r="BE53" s="96">
        <f>ROUND(INDEX('Scoring Method'!$B$268:$B$276,MATCH(AE53,'Scoring Method'!$A$268:$A$276,0))+INDEX('Scoring Method'!$B$280:$B$288,MATCH(AP53,'Scoring Method'!$A$280:$A$288,0))+INDEX('Scoring Method'!$B$292:$B$296,MATCH(AQ53,'Scoring Method'!$A$292:$A$296,0))+INDEX('Scoring Method'!$B$300:$B$305,MATCH(AO53,'Scoring Method'!$A$300:$A$305,0))+INDEX('Scoring Method'!$B$309:$B$314,MATCH(AX53,'Scoring Method'!$A$309:$A$314,0))+INDEX('Scoring Method'!$B$337:$B$341,MATCH(X53,'Scoring Method'!$A$337:$A$341,0))+INDEX('Scoring Method'!$B$324:$B$326,MATCH(P53,'Scoring Method'!$A$324:$A$326,0)),1)</f>
        <v/>
      </c>
      <c r="BF53" s="96">
        <f>ROUND(INDEX('Scoring Method'!$B$268:$B$276,MATCH(AE53,'Scoring Method'!$A$268:$A$276,0))*BB53*BD53+INDEX('Scoring Method'!$B$280:$B$288,MATCH(AP53,'Scoring Method'!$A$280:$A$288,0))*BM53*BB53*BD53+INDEX('Scoring Method'!$B$292:$B$296,MATCH(AQ53,'Scoring Method'!$A$292:$A$296,0))*BD53+INDEX('Scoring Method'!$B$300:$B$305,MATCH(AO53,'Scoring Method'!$A$300:$A$305,0))*BM53*BB53+INDEX('Scoring Method'!$B$309:$B$314,MATCH(AX53,'Scoring Method'!$A$309:$A$314,0))+INDEX('Scoring Method'!$B$337:$B$341,MATCH(X53,'Scoring Method'!$A$337:$A$341,0))+INDEX('Scoring Method'!$B$324:$B$326,MATCH(P53,'Scoring Method'!$A$324:$A$326,0)),1)</f>
        <v/>
      </c>
      <c r="BG53" s="92" t="inlineStr">
        <is>
          <t>Fits (~$4,583/mo)</t>
        </is>
      </c>
      <c r="BH53" s="61" t="inlineStr">
        <is>
          <t>SI</t>
        </is>
      </c>
      <c r="BI53" s="61" t="inlineStr">
        <is>
          <t>Suburban Industrial</t>
        </is>
      </c>
      <c r="BJ53" s="61" t="inlineStr"/>
      <c r="BK53" s="61" t="inlineStr"/>
      <c r="BL53" s="61" t="inlineStr">
        <is>
          <t>Bar permitted</t>
        </is>
      </c>
      <c r="BM53" s="61">
        <f>INDEX('Scoring Method'!$B$358:$B$363,MATCH(BL53,'Scoring Method'!$A$358:$A$363,0))</f>
        <v/>
      </c>
    </row>
    <row r="54" ht="15" customHeight="1" s="62">
      <c r="A54" s="92" t="n">
        <v>53</v>
      </c>
      <c r="B54" s="92" t="inlineStr">
        <is>
          <t>044-00-00-046.00</t>
        </is>
      </c>
      <c r="C54" s="92" t="inlineStr">
        <is>
          <t>1012 MARY LAIDLEY DR</t>
        </is>
      </c>
      <c r="D54" s="92" t="inlineStr">
        <is>
          <t>BARNETT HOLDINGS LLC</t>
        </is>
      </c>
      <c r="E54" s="92" t="inlineStr">
        <is>
          <t>1012 MARY LAIDLEY DR</t>
        </is>
      </c>
      <c r="F54" s="92" t="inlineStr">
        <is>
          <t>COVINGTON</t>
        </is>
      </c>
      <c r="G54" s="92" t="inlineStr">
        <is>
          <t>KY</t>
        </is>
      </c>
      <c r="H54" s="92" t="inlineStr">
        <is>
          <t>SMALL SHOP</t>
        </is>
      </c>
      <c r="I54" s="93" t="n">
        <v>44096</v>
      </c>
      <c r="J54" s="94">
        <f>I54/43560</f>
        <v/>
      </c>
      <c r="K54" s="93" t="n">
        <v>871.2</v>
      </c>
      <c r="L54" s="95">
        <f>I54/(K54^2)</f>
        <v/>
      </c>
      <c r="M54" s="92" t="inlineStr">
        <is>
          <t>Near 14-18k/32-45k</t>
        </is>
      </c>
      <c r="N54" s="92" t="inlineStr">
        <is>
          <t>A</t>
        </is>
      </c>
      <c r="O54" s="92" t="inlineStr">
        <is>
          <t>Compact &gt;=.055</t>
        </is>
      </c>
      <c r="P54" s="92" t="inlineStr">
        <is>
          <t>Low</t>
        </is>
      </c>
      <c r="Q54" s="92" t="inlineStr">
        <is>
          <t>Owner-occupied</t>
        </is>
      </c>
      <c r="R54" s="92" t="inlineStr">
        <is>
          <t>Passive vehicle</t>
        </is>
      </c>
      <c r="S54" s="92" t="n">
        <v>2</v>
      </c>
      <c r="T54" s="96">
        <f>INDEX('Scoring Method'!$B$6:$B$9,MATCH(M54,'Scoring Method'!$A$6:$A$9,0))+INDEX('Scoring Method'!$B$12:$B$16,MATCH(N54,'Scoring Method'!$A$12:$A$16,0))+INDEX('Scoring Method'!$B$19:$B$22,MATCH(O54,'Scoring Method'!$A$19:$A$22,0))+INDEX('Scoring Method'!$B$25:$B$27,MATCH(P54,'Scoring Method'!$A$25:$A$27,0))</f>
        <v/>
      </c>
      <c r="U54" s="96">
        <f>(INDEX('Scoring Method'!$B$30:$B$33,MATCH(Q54,'Scoring Method'!$A$30:$A$33,0))+INDEX('Scoring Method'!$B$36:$B$42,MATCH(R54,'Scoring Method'!$A$36:$A$42,0))+INDEX('Scoring Method'!$B$45:$B$47,MATCH(IF(S54=1,"1",IF(S54=2,"2","3+")),'Scoring Method'!$A$45:$A$47,0)))/90*100</f>
        <v/>
      </c>
      <c r="V54" s="96">
        <f>T54*U54/100</f>
        <v/>
      </c>
      <c r="W54" s="93" t="n">
        <v>13238</v>
      </c>
      <c r="X54" s="92" t="inlineStr">
        <is>
          <t>X (minimal hazard)</t>
        </is>
      </c>
      <c r="Y54" s="93" t="n">
        <v>27450</v>
      </c>
      <c r="Z54" s="97">
        <f>W54/I54</f>
        <v/>
      </c>
      <c r="AA54" s="98">
        <f>MAX(0,(Y54-5000)/300)</f>
        <v/>
      </c>
      <c r="AB54" s="92" t="n"/>
      <c r="AC54" s="92" t="n">
        <v>1.01</v>
      </c>
      <c r="AD54" s="92" t="inlineStr">
        <is>
          <t>ok</t>
        </is>
      </c>
      <c r="AE54" s="92" t="inlineStr">
        <is>
          <t>Far oversize &gt;12k</t>
        </is>
      </c>
      <c r="AF54" s="96">
        <f>INDEX('Scoring Method'!$B$63:$B$71,MATCH(AE54,'Scoring Method'!$A$63:$A$71,0))+INDEX('Scoring Method'!$B$75:$B$79,MATCH("Ample &gt;=15k",'Scoring Method'!$A$75:$A$79,0))+INDEX('Scoring Method'!$B$343:$B$347,MATCH(X54,'Scoring Method'!$A$343:$A$347,0))+INDEX('Scoring Method'!$B$25:$B$27,MATCH(P54,'Scoring Method'!$A$25:$A$27,0))</f>
        <v/>
      </c>
      <c r="AG54" s="96">
        <f>AF54*U54/100</f>
        <v/>
      </c>
      <c r="AH54" s="92" t="inlineStr">
        <is>
          <t>LINK-GIS + LoopNet</t>
        </is>
      </c>
      <c r="AI54" s="99" t="n">
        <v>39.00319</v>
      </c>
      <c r="AJ54" s="99" t="n">
        <v>-84.53479</v>
      </c>
      <c r="AK54" s="94" t="n">
        <v>5.68</v>
      </c>
      <c r="AL54" s="94" t="n">
        <v>6.22</v>
      </c>
      <c r="AM54" s="94" t="n">
        <v>6.9</v>
      </c>
      <c r="AN54" s="94" t="n">
        <v>5.68</v>
      </c>
      <c r="AO54" s="92" t="inlineStr">
        <is>
          <t>Remote &gt;3mi</t>
        </is>
      </c>
      <c r="AP54" s="92" t="inlineStr">
        <is>
          <t>Open span</t>
        </is>
      </c>
      <c r="AQ54" s="92" t="inlineStr">
        <is>
          <t>Ample &gt;=15k</t>
        </is>
      </c>
      <c r="AR54" s="100" t="n"/>
      <c r="AS54" s="96">
        <f>ROUND(INDEX('Scoring Method'!$B$63:$B$70,MATCH(AE54,'Scoring Method'!$A$63:$A$70,0))*0.625+INDEX('Scoring Method'!$B$105:$B$113,MATCH(AP54,'Scoring Method'!$A$105:$A$113,0))+INDEX('Scoring Method'!$B$74:$B$78,MATCH(AQ54,'Scoring Method'!$A$74:$A$78,0))*0.6667+INDEX('Scoring Method'!$B$96:$B$101,MATCH(AO54,'Scoring Method'!$A$96:$A$101,0))+INDEX('Scoring Method'!$B$343:$B$347,MATCH(X54,'Scoring Method'!$A$343:$A$347,0))*0.3333+INDEX('Scoring Method'!$B$25:$B$27,MATCH(P54,'Scoring Method'!$A$25:$A$27,0))*0.3333,1)</f>
        <v/>
      </c>
      <c r="AT54" s="96">
        <f>AS54*U54/100</f>
        <v/>
      </c>
      <c r="AU54" s="92" t="inlineStr">
        <is>
          <t>South Covington</t>
        </is>
      </c>
      <c r="AV54" s="92" t="n">
        <v>88</v>
      </c>
      <c r="AW54" s="92" t="inlineStr">
        <is>
          <t>Sourced</t>
        </is>
      </c>
      <c r="AX54" s="92" t="inlineStr">
        <is>
          <t>Very safe 80+</t>
        </is>
      </c>
      <c r="AY54" s="96">
        <f>ROUND(INDEX('Scoring Method'!$B$132:$B$140,MATCH(AE54,'Scoring Method'!$A$132:$A$140,0))+INDEX('Scoring Method'!$B$144:$B$152,MATCH(AP54,'Scoring Method'!$A$144:$A$152,0))+INDEX('Scoring Method'!$B$156:$B$160,MATCH(AQ54,'Scoring Method'!$A$156:$A$160,0))+INDEX('Scoring Method'!$B$164:$B$169,MATCH(AO54,'Scoring Method'!$A$164:$A$169,0))+INDEX('Scoring Method'!$B$173:$B$178,MATCH(AX54,'Scoring Method'!$A$173:$A$178,0))+INDEX('Scoring Method'!$B$349:$B$353,MATCH(X54,'Scoring Method'!$A$349:$A$353,0))+INDEX('Scoring Method'!$B$188:$B$190,MATCH(P54,'Scoring Method'!$A$188:$A$190,0)),1)</f>
        <v/>
      </c>
      <c r="AZ54" s="96">
        <f>AY54*U54/100</f>
        <v/>
      </c>
      <c r="BA54" s="92" t="inlineStr">
        <is>
          <t>Owner-occupied operator</t>
        </is>
      </c>
      <c r="BB54" s="94" t="n">
        <v>0.8</v>
      </c>
      <c r="BC54" s="102" t="inlineStr">
        <is>
          <t>Large 0.75-1.25 AC</t>
        </is>
      </c>
      <c r="BD54" s="94" t="n">
        <v>0.9</v>
      </c>
      <c r="BE54" s="96">
        <f>ROUND(INDEX('Scoring Method'!$B$268:$B$276,MATCH(AE54,'Scoring Method'!$A$268:$A$276,0))+INDEX('Scoring Method'!$B$280:$B$288,MATCH(AP54,'Scoring Method'!$A$280:$A$288,0))+INDEX('Scoring Method'!$B$292:$B$296,MATCH(AQ54,'Scoring Method'!$A$292:$A$296,0))+INDEX('Scoring Method'!$B$300:$B$305,MATCH(AO54,'Scoring Method'!$A$300:$A$305,0))+INDEX('Scoring Method'!$B$309:$B$314,MATCH(AX54,'Scoring Method'!$A$309:$A$314,0))+INDEX('Scoring Method'!$B$337:$B$341,MATCH(X54,'Scoring Method'!$A$337:$A$341,0))+INDEX('Scoring Method'!$B$324:$B$326,MATCH(P54,'Scoring Method'!$A$324:$A$326,0)),1)</f>
        <v/>
      </c>
      <c r="BF54" s="96">
        <f>ROUND(INDEX('Scoring Method'!$B$268:$B$276,MATCH(AE54,'Scoring Method'!$A$268:$A$276,0))*BB54*BD54+INDEX('Scoring Method'!$B$280:$B$288,MATCH(AP54,'Scoring Method'!$A$280:$A$288,0))*BM54*BB54*BD54+INDEX('Scoring Method'!$B$292:$B$296,MATCH(AQ54,'Scoring Method'!$A$292:$A$296,0))*BD54+INDEX('Scoring Method'!$B$300:$B$305,MATCH(AO54,'Scoring Method'!$A$300:$A$305,0))*BM54*BB54+INDEX('Scoring Method'!$B$309:$B$314,MATCH(AX54,'Scoring Method'!$A$309:$A$314,0))+INDEX('Scoring Method'!$B$337:$B$341,MATCH(X54,'Scoring Method'!$A$337:$A$341,0))+INDEX('Scoring Method'!$B$324:$B$326,MATCH(P54,'Scoring Method'!$A$324:$A$326,0)),1)</f>
        <v/>
      </c>
      <c r="BG54" s="102" t="inlineStr">
        <is>
          <t>Over (~$12,135/mo)</t>
        </is>
      </c>
      <c r="BH54" s="61" t="inlineStr">
        <is>
          <t>SI</t>
        </is>
      </c>
      <c r="BI54" s="61" t="inlineStr">
        <is>
          <t>Suburban Industrial</t>
        </is>
      </c>
      <c r="BJ54" s="61" t="inlineStr"/>
      <c r="BK54" s="61" t="inlineStr"/>
      <c r="BL54" s="61" t="inlineStr">
        <is>
          <t>Bar permitted</t>
        </is>
      </c>
      <c r="BM54" s="61">
        <f>INDEX('Scoring Method'!$B$358:$B$363,MATCH(BL54,'Scoring Method'!$A$358:$A$363,0))</f>
        <v/>
      </c>
    </row>
    <row r="55" ht="15" customHeight="1" s="62">
      <c r="A55" s="92" t="n">
        <v>54</v>
      </c>
      <c r="B55" s="92" t="inlineStr">
        <is>
          <t>055-14-20-001.00</t>
        </is>
      </c>
      <c r="C55" s="92" t="inlineStr">
        <is>
          <t>2002 MADISON AVE</t>
        </is>
      </c>
      <c r="D55" s="92" t="inlineStr">
        <is>
          <t>VOLUNTEERS OF AMERICA</t>
        </is>
      </c>
      <c r="E55" s="92" t="inlineStr">
        <is>
          <t>570 S 4TH ST STE 100</t>
        </is>
      </c>
      <c r="F55" s="92" t="inlineStr">
        <is>
          <t>LOUISVILLE</t>
        </is>
      </c>
      <c r="G55" s="92" t="inlineStr">
        <is>
          <t>KY</t>
        </is>
      </c>
      <c r="H55" s="92" t="inlineStr">
        <is>
          <t>OFFICE BLDG 1 OR 2 STORY</t>
        </is>
      </c>
      <c r="I55" s="93" t="n">
        <v>21720</v>
      </c>
      <c r="J55" s="94">
        <f>I55/43560</f>
        <v/>
      </c>
      <c r="K55" s="93" t="n">
        <v>640</v>
      </c>
      <c r="L55" s="95">
        <f>I55/(K55^2)</f>
        <v/>
      </c>
      <c r="M55" s="92" t="inlineStr">
        <is>
          <t>Ideal 18-32k</t>
        </is>
      </c>
      <c r="N55" s="92" t="inlineStr">
        <is>
          <t>E</t>
        </is>
      </c>
      <c r="O55" s="92" t="inlineStr">
        <is>
          <t>Regular .045-.055</t>
        </is>
      </c>
      <c r="P55" s="92" t="inlineStr">
        <is>
          <t>Low</t>
        </is>
      </c>
      <c r="Q55" s="92" t="inlineStr">
        <is>
          <t>Out-of-city KY</t>
        </is>
      </c>
      <c r="R55" s="92" t="inlineStr">
        <is>
          <t>Individual</t>
        </is>
      </c>
      <c r="S55" s="92" t="n">
        <v>1</v>
      </c>
      <c r="T55" s="96">
        <f>INDEX('Scoring Method'!$B$6:$B$9,MATCH(M55,'Scoring Method'!$A$6:$A$9,0))+INDEX('Scoring Method'!$B$12:$B$16,MATCH(N55,'Scoring Method'!$A$12:$A$16,0))+INDEX('Scoring Method'!$B$19:$B$22,MATCH(O55,'Scoring Method'!$A$19:$A$22,0))+INDEX('Scoring Method'!$B$25:$B$27,MATCH(P55,'Scoring Method'!$A$25:$A$27,0))</f>
        <v/>
      </c>
      <c r="U55" s="96">
        <f>(INDEX('Scoring Method'!$B$30:$B$33,MATCH(Q55,'Scoring Method'!$A$30:$A$33,0))+INDEX('Scoring Method'!$B$36:$B$42,MATCH(R55,'Scoring Method'!$A$36:$A$42,0))+INDEX('Scoring Method'!$B$45:$B$47,MATCH(IF(S55=1,"1",IF(S55=2,"2","3+")),'Scoring Method'!$A$45:$A$47,0)))/90*100</f>
        <v/>
      </c>
      <c r="V55" s="96">
        <f>T55*U55/100</f>
        <v/>
      </c>
      <c r="W55" s="93" t="n">
        <v>5270</v>
      </c>
      <c r="X55" s="92" t="inlineStr">
        <is>
          <t>X (minimal hazard)</t>
        </is>
      </c>
      <c r="Y55" s="93" t="n">
        <v>14825</v>
      </c>
      <c r="Z55" s="97" t="n"/>
      <c r="AA55" s="98">
        <f>MAX(0,(Y55-5000)/300)</f>
        <v/>
      </c>
      <c r="AB55" s="92" t="n"/>
      <c r="AC55" s="92" t="n"/>
      <c r="AD55" s="92" t="n"/>
      <c r="AE55" s="92" t="inlineStr">
        <is>
          <t>Large 4-6k</t>
        </is>
      </c>
      <c r="AF55" s="96">
        <f>INDEX('Scoring Method'!$B$63:$B$71,MATCH(AE55,'Scoring Method'!$A$63:$A$71,0))+INDEX('Scoring Method'!$B$75:$B$79,MATCH("Good 8-15k",'Scoring Method'!$A$75:$A$79,0))+INDEX('Scoring Method'!$B$343:$B$347,MATCH(X55,'Scoring Method'!$A$343:$A$347,0))+INDEX('Scoring Method'!$B$25:$B$27,MATCH(P55,'Scoring Method'!$A$25:$A$27,0))</f>
        <v/>
      </c>
      <c r="AG55" s="96">
        <f>AF55*U55/100</f>
        <v/>
      </c>
      <c r="AH55" s="92" t="inlineStr">
        <is>
          <t>LINK-GIS only</t>
        </is>
      </c>
      <c r="AI55" s="99" t="n">
        <v>39.0668</v>
      </c>
      <c r="AJ55" s="99" t="n">
        <v>-84.50534</v>
      </c>
      <c r="AK55" s="94" t="n">
        <v>1.39</v>
      </c>
      <c r="AL55" s="94" t="n">
        <v>1.67</v>
      </c>
      <c r="AM55" s="94" t="n">
        <v>2.43</v>
      </c>
      <c r="AN55" s="94" t="n">
        <v>1.23</v>
      </c>
      <c r="AO55" s="92" t="inlineStr">
        <is>
          <t>Fringe 0.75-1.25mi</t>
        </is>
      </c>
      <c r="AP55" s="92" t="inlineStr">
        <is>
          <t>Office/institutional</t>
        </is>
      </c>
      <c r="AQ55" s="92" t="inlineStr">
        <is>
          <t>Good 8-15k</t>
        </is>
      </c>
      <c r="AR55" s="100" t="n"/>
      <c r="AS55" s="96">
        <f>ROUND(INDEX('Scoring Method'!$B$63:$B$70,MATCH(AE55,'Scoring Method'!$A$63:$A$70,0))*0.625+INDEX('Scoring Method'!$B$105:$B$113,MATCH(AP55,'Scoring Method'!$A$105:$A$113,0))+INDEX('Scoring Method'!$B$74:$B$78,MATCH(AQ55,'Scoring Method'!$A$74:$A$78,0))*0.6667+INDEX('Scoring Method'!$B$96:$B$101,MATCH(AO55,'Scoring Method'!$A$96:$A$101,0))+INDEX('Scoring Method'!$B$343:$B$347,MATCH(X55,'Scoring Method'!$A$343:$A$347,0))*0.3333+INDEX('Scoring Method'!$B$25:$B$27,MATCH(P55,'Scoring Method'!$A$25:$A$27,0))*0.3333,1)</f>
        <v/>
      </c>
      <c r="AT55" s="96">
        <f>AS55*U55/100</f>
        <v/>
      </c>
      <c r="AU55" s="92" t="inlineStr">
        <is>
          <t>Levassor Park</t>
        </is>
      </c>
      <c r="AV55" s="92" t="n">
        <v>42</v>
      </c>
      <c r="AW55" s="101" t="inlineStr">
        <is>
          <t>ESTIMATED</t>
        </is>
      </c>
      <c r="AX55" s="92" t="inlineStr">
        <is>
          <t>Elevated 35-44</t>
        </is>
      </c>
      <c r="AY55" s="96">
        <f>ROUND(INDEX('Scoring Method'!$B$132:$B$140,MATCH(AE55,'Scoring Method'!$A$132:$A$140,0))+INDEX('Scoring Method'!$B$144:$B$152,MATCH(AP55,'Scoring Method'!$A$144:$A$152,0))+INDEX('Scoring Method'!$B$156:$B$160,MATCH(AQ55,'Scoring Method'!$A$156:$A$160,0))+INDEX('Scoring Method'!$B$164:$B$169,MATCH(AO55,'Scoring Method'!$A$164:$A$169,0))+INDEX('Scoring Method'!$B$173:$B$178,MATCH(AX55,'Scoring Method'!$A$173:$A$178,0))+INDEX('Scoring Method'!$B$349:$B$353,MATCH(X55,'Scoring Method'!$A$349:$A$353,0))+INDEX('Scoring Method'!$B$188:$B$190,MATCH(P55,'Scoring Method'!$A$188:$A$190,0)),1)</f>
        <v/>
      </c>
      <c r="AZ55" s="96">
        <f>AY55*U55/100</f>
        <v/>
      </c>
      <c r="BA55" s="103" t="inlineStr">
        <is>
          <t>Brand-owned / net lease</t>
        </is>
      </c>
      <c r="BB55" s="94" t="n">
        <v>0.3</v>
      </c>
      <c r="BC55" s="92" t="inlineStr">
        <is>
          <t>Right-sized 0.35-0.75 AC</t>
        </is>
      </c>
      <c r="BD55" s="94" t="n">
        <v>1</v>
      </c>
      <c r="BE55" s="96">
        <f>ROUND(INDEX('Scoring Method'!$B$268:$B$276,MATCH(AE55,'Scoring Method'!$A$268:$A$276,0))+INDEX('Scoring Method'!$B$280:$B$288,MATCH(AP55,'Scoring Method'!$A$280:$A$288,0))+INDEX('Scoring Method'!$B$292:$B$296,MATCH(AQ55,'Scoring Method'!$A$292:$A$296,0))+INDEX('Scoring Method'!$B$300:$B$305,MATCH(AO55,'Scoring Method'!$A$300:$A$305,0))+INDEX('Scoring Method'!$B$309:$B$314,MATCH(AX55,'Scoring Method'!$A$309:$A$314,0))+INDEX('Scoring Method'!$B$337:$B$341,MATCH(X55,'Scoring Method'!$A$337:$A$341,0))+INDEX('Scoring Method'!$B$324:$B$326,MATCH(P55,'Scoring Method'!$A$324:$A$326,0)),1)</f>
        <v/>
      </c>
      <c r="BF55" s="96">
        <f>ROUND(INDEX('Scoring Method'!$B$268:$B$276,MATCH(AE55,'Scoring Method'!$A$268:$A$276,0))*BB55*BD55+INDEX('Scoring Method'!$B$280:$B$288,MATCH(AP55,'Scoring Method'!$A$280:$A$288,0))*BM55*BB55*BD55+INDEX('Scoring Method'!$B$292:$B$296,MATCH(AQ55,'Scoring Method'!$A$292:$A$296,0))*BD55+INDEX('Scoring Method'!$B$300:$B$305,MATCH(AO55,'Scoring Method'!$A$300:$A$305,0))*BM55*BB55+INDEX('Scoring Method'!$B$309:$B$314,MATCH(AX55,'Scoring Method'!$A$309:$A$314,0))+INDEX('Scoring Method'!$B$337:$B$341,MATCH(X55,'Scoring Method'!$A$337:$A$341,0))+INDEX('Scoring Method'!$B$324:$B$326,MATCH(P55,'Scoring Method'!$A$324:$A$326,0)),1)</f>
        <v/>
      </c>
      <c r="BG55" s="92" t="inlineStr">
        <is>
          <t>Fits (~$4,831/mo)</t>
        </is>
      </c>
      <c r="BH55" s="61" t="inlineStr">
        <is>
          <t>AUC</t>
        </is>
      </c>
      <c r="BI55" s="61" t="inlineStr">
        <is>
          <t>Auto-Urban Commercial</t>
        </is>
      </c>
      <c r="BJ55" s="61" t="inlineStr"/>
      <c r="BK55" s="61" t="inlineStr"/>
      <c r="BL55" s="61" t="inlineStr">
        <is>
          <t>Bar permitted</t>
        </is>
      </c>
      <c r="BM55" s="61">
        <f>INDEX('Scoring Method'!$B$358:$B$363,MATCH(BL55,'Scoring Method'!$A$358:$A$363,0))</f>
        <v/>
      </c>
    </row>
    <row r="56" ht="15" customHeight="1" s="62">
      <c r="A56" s="92" t="n">
        <v>55</v>
      </c>
      <c r="B56" s="92" t="inlineStr">
        <is>
          <t>054-24-10-001.00</t>
        </is>
      </c>
      <c r="C56" s="92" t="inlineStr">
        <is>
          <t>1220 MADISON AVE</t>
        </is>
      </c>
      <c r="D56" s="92" t="inlineStr">
        <is>
          <t>AW PROPERTY OF</t>
        </is>
      </c>
      <c r="E56" s="92" t="inlineStr">
        <is>
          <t>PO BOX 1159</t>
        </is>
      </c>
      <c r="F56" s="92" t="inlineStr">
        <is>
          <t>DEERFIELD</t>
        </is>
      </c>
      <c r="G56" s="92" t="inlineStr">
        <is>
          <t>IL</t>
        </is>
      </c>
      <c r="H56" s="92" t="inlineStr">
        <is>
          <t>DRUG STORE/PHARMACY</t>
        </is>
      </c>
      <c r="I56" s="93" t="n">
        <v>50392</v>
      </c>
      <c r="J56" s="94">
        <f>I56/43560</f>
        <v/>
      </c>
      <c r="K56" s="93" t="n">
        <v>918</v>
      </c>
      <c r="L56" s="95">
        <f>I56/(K56^2)</f>
        <v/>
      </c>
      <c r="M56" s="92" t="inlineStr">
        <is>
          <t>Marginal 10-14k/45-60k</t>
        </is>
      </c>
      <c r="N56" s="92" t="inlineStr">
        <is>
          <t>C</t>
        </is>
      </c>
      <c r="O56" s="92" t="inlineStr">
        <is>
          <t>Compact &gt;=.055</t>
        </is>
      </c>
      <c r="P56" s="92" t="inlineStr">
        <is>
          <t>Low</t>
        </is>
      </c>
      <c r="Q56" s="92" t="inlineStr">
        <is>
          <t>Out-of-state</t>
        </is>
      </c>
      <c r="R56" s="92" t="inlineStr">
        <is>
          <t>Passive vehicle</t>
        </is>
      </c>
      <c r="S56" s="92" t="n">
        <v>1</v>
      </c>
      <c r="T56" s="96">
        <f>INDEX('Scoring Method'!$B$6:$B$9,MATCH(M56,'Scoring Method'!$A$6:$A$9,0))+INDEX('Scoring Method'!$B$12:$B$16,MATCH(N56,'Scoring Method'!$A$12:$A$16,0))+INDEX('Scoring Method'!$B$19:$B$22,MATCH(O56,'Scoring Method'!$A$19:$A$22,0))+INDEX('Scoring Method'!$B$25:$B$27,MATCH(P56,'Scoring Method'!$A$25:$A$27,0))</f>
        <v/>
      </c>
      <c r="U56" s="96">
        <f>(INDEX('Scoring Method'!$B$30:$B$33,MATCH(Q56,'Scoring Method'!$A$30:$A$33,0))+INDEX('Scoring Method'!$B$36:$B$42,MATCH(R56,'Scoring Method'!$A$36:$A$42,0))+INDEX('Scoring Method'!$B$45:$B$47,MATCH(IF(S56=1,"1",IF(S56=2,"2","3+")),'Scoring Method'!$A$45:$A$47,0)))/90*100</f>
        <v/>
      </c>
      <c r="V56" s="96">
        <f>T56*U56/100</f>
        <v/>
      </c>
      <c r="W56" s="93" t="n">
        <v>14550</v>
      </c>
      <c r="X56" s="92" t="inlineStr">
        <is>
          <t>X (minimal hazard)</t>
        </is>
      </c>
      <c r="Y56" s="93" t="n">
        <v>35700</v>
      </c>
      <c r="Z56" s="97">
        <f>W56/I56</f>
        <v/>
      </c>
      <c r="AA56" s="98">
        <f>MAX(0,(Y56-5000)/300)</f>
        <v/>
      </c>
      <c r="AB56" s="92" t="n"/>
      <c r="AC56" s="92" t="n">
        <v>1.07</v>
      </c>
      <c r="AD56" s="92" t="inlineStr">
        <is>
          <t>ok</t>
        </is>
      </c>
      <c r="AE56" s="92" t="inlineStr">
        <is>
          <t>Far oversize &gt;12k</t>
        </is>
      </c>
      <c r="AF56" s="96">
        <f>INDEX('Scoring Method'!$B$63:$B$71,MATCH(AE56,'Scoring Method'!$A$63:$A$71,0))+INDEX('Scoring Method'!$B$75:$B$79,MATCH("Ample &gt;=15k",'Scoring Method'!$A$75:$A$79,0))+INDEX('Scoring Method'!$B$343:$B$347,MATCH(X56,'Scoring Method'!$A$343:$A$347,0))+INDEX('Scoring Method'!$B$25:$B$27,MATCH(P56,'Scoring Method'!$A$25:$A$27,0))</f>
        <v/>
      </c>
      <c r="AG56" s="96">
        <f>AF56*U56/100</f>
        <v/>
      </c>
      <c r="AH56" s="92" t="inlineStr">
        <is>
          <t>LINK-GIS + LoopNet</t>
        </is>
      </c>
      <c r="AI56" s="99" t="n">
        <v>39.07731</v>
      </c>
      <c r="AJ56" s="99" t="n">
        <v>-84.50803999999999</v>
      </c>
      <c r="AK56" s="94" t="n">
        <v>0.72</v>
      </c>
      <c r="AL56" s="94" t="n">
        <v>0.9399999999999999</v>
      </c>
      <c r="AM56" s="94" t="n">
        <v>1.69</v>
      </c>
      <c r="AN56" s="94" t="n">
        <v>0.49</v>
      </c>
      <c r="AO56" s="92" t="inlineStr">
        <is>
          <t>Near 0.35-0.75mi</t>
        </is>
      </c>
      <c r="AP56" s="92" t="inlineStr">
        <is>
          <t>Retail shell</t>
        </is>
      </c>
      <c r="AQ56" s="92" t="inlineStr">
        <is>
          <t>Ample &gt;=15k</t>
        </is>
      </c>
      <c r="AR56" s="100" t="n"/>
      <c r="AS56" s="96">
        <f>ROUND(INDEX('Scoring Method'!$B$63:$B$70,MATCH(AE56,'Scoring Method'!$A$63:$A$70,0))*0.625+INDEX('Scoring Method'!$B$105:$B$113,MATCH(AP56,'Scoring Method'!$A$105:$A$113,0))+INDEX('Scoring Method'!$B$74:$B$78,MATCH(AQ56,'Scoring Method'!$A$74:$A$78,0))*0.6667+INDEX('Scoring Method'!$B$96:$B$101,MATCH(AO56,'Scoring Method'!$A$96:$A$101,0))+INDEX('Scoring Method'!$B$343:$B$347,MATCH(X56,'Scoring Method'!$A$343:$A$347,0))*0.3333+INDEX('Scoring Method'!$B$25:$B$27,MATCH(P56,'Scoring Method'!$A$25:$A$27,0))*0.3333,1)</f>
        <v/>
      </c>
      <c r="AT56" s="96">
        <f>AS56*U56/100</f>
        <v/>
      </c>
      <c r="AU56" s="92" t="inlineStr">
        <is>
          <t>Eastside</t>
        </is>
      </c>
      <c r="AV56" s="92" t="n">
        <v>28</v>
      </c>
      <c r="AW56" s="101" t="inlineStr">
        <is>
          <t>ESTIMATED</t>
        </is>
      </c>
      <c r="AX56" s="92" t="inlineStr">
        <is>
          <t>High &lt;35</t>
        </is>
      </c>
      <c r="AY56" s="96">
        <f>ROUND(INDEX('Scoring Method'!$B$132:$B$140,MATCH(AE56,'Scoring Method'!$A$132:$A$140,0))+INDEX('Scoring Method'!$B$144:$B$152,MATCH(AP56,'Scoring Method'!$A$144:$A$152,0))+INDEX('Scoring Method'!$B$156:$B$160,MATCH(AQ56,'Scoring Method'!$A$156:$A$160,0))+INDEX('Scoring Method'!$B$164:$B$169,MATCH(AO56,'Scoring Method'!$A$164:$A$169,0))+INDEX('Scoring Method'!$B$173:$B$178,MATCH(AX56,'Scoring Method'!$A$173:$A$178,0))+INDEX('Scoring Method'!$B$349:$B$353,MATCH(X56,'Scoring Method'!$A$349:$A$353,0))+INDEX('Scoring Method'!$B$188:$B$190,MATCH(P56,'Scoring Method'!$A$188:$A$190,0)),1)</f>
        <v/>
      </c>
      <c r="AZ56" s="96">
        <f>AY56*U56/100</f>
        <v/>
      </c>
      <c r="BA56" s="103" t="inlineStr">
        <is>
          <t>Brand-owned / net lease</t>
        </is>
      </c>
      <c r="BB56" s="94" t="n">
        <v>0.3</v>
      </c>
      <c r="BC56" s="102" t="inlineStr">
        <is>
          <t>Large 0.75-1.25 AC</t>
        </is>
      </c>
      <c r="BD56" s="94" t="n">
        <v>0.9</v>
      </c>
      <c r="BE56" s="96">
        <f>ROUND(INDEX('Scoring Method'!$B$268:$B$276,MATCH(AE56,'Scoring Method'!$A$268:$A$276,0))+INDEX('Scoring Method'!$B$280:$B$288,MATCH(AP56,'Scoring Method'!$A$280:$A$288,0))+INDEX('Scoring Method'!$B$292:$B$296,MATCH(AQ56,'Scoring Method'!$A$292:$A$296,0))+INDEX('Scoring Method'!$B$300:$B$305,MATCH(AO56,'Scoring Method'!$A$300:$A$305,0))+INDEX('Scoring Method'!$B$309:$B$314,MATCH(AX56,'Scoring Method'!$A$309:$A$314,0))+INDEX('Scoring Method'!$B$337:$B$341,MATCH(X56,'Scoring Method'!$A$337:$A$341,0))+INDEX('Scoring Method'!$B$324:$B$326,MATCH(P56,'Scoring Method'!$A$324:$A$326,0)),1)</f>
        <v/>
      </c>
      <c r="BF56" s="96">
        <f>ROUND(INDEX('Scoring Method'!$B$268:$B$276,MATCH(AE56,'Scoring Method'!$A$268:$A$276,0))*BB56*BD56+INDEX('Scoring Method'!$B$280:$B$288,MATCH(AP56,'Scoring Method'!$A$280:$A$288,0))*BM56*BB56*BD56+INDEX('Scoring Method'!$B$292:$B$296,MATCH(AQ56,'Scoring Method'!$A$292:$A$296,0))*BD56+INDEX('Scoring Method'!$B$300:$B$305,MATCH(AO56,'Scoring Method'!$A$300:$A$305,0))*BM56*BB56+INDEX('Scoring Method'!$B$309:$B$314,MATCH(AX56,'Scoring Method'!$A$309:$A$314,0))+INDEX('Scoring Method'!$B$337:$B$341,MATCH(X56,'Scoring Method'!$A$337:$A$341,0))+INDEX('Scoring Method'!$B$324:$B$326,MATCH(P56,'Scoring Method'!$A$324:$A$326,0)),1)</f>
        <v/>
      </c>
      <c r="BG56" s="102" t="inlineStr">
        <is>
          <t>Over (~$13,338/mo)</t>
        </is>
      </c>
      <c r="BH56" s="61" t="inlineStr">
        <is>
          <t>DTC</t>
        </is>
      </c>
      <c r="BI56" s="61" t="inlineStr">
        <is>
          <t>Downtown Core</t>
        </is>
      </c>
      <c r="BJ56" s="61" t="inlineStr"/>
      <c r="BK56" s="61" t="inlineStr"/>
      <c r="BL56" s="61" t="inlineStr">
        <is>
          <t>Bar permitted</t>
        </is>
      </c>
      <c r="BM56" s="61">
        <f>INDEX('Scoring Method'!$B$358:$B$363,MATCH(BL56,'Scoring Method'!$A$358:$A$363,0))</f>
        <v/>
      </c>
    </row>
    <row r="57" ht="15" customHeight="1" s="62">
      <c r="A57" s="92" t="n">
        <v>56</v>
      </c>
      <c r="B57" s="92" t="inlineStr">
        <is>
          <t>054-21-12-002.00</t>
        </is>
      </c>
      <c r="C57" s="92" t="inlineStr">
        <is>
          <t>248 W PIKE ST</t>
        </is>
      </c>
      <c r="D57" s="92" t="inlineStr">
        <is>
          <t>CLAYPOOL PROPERTIES LLC</t>
        </is>
      </c>
      <c r="E57" s="92" t="inlineStr">
        <is>
          <t>330 LONGMEADOW LN</t>
        </is>
      </c>
      <c r="F57" s="92" t="inlineStr">
        <is>
          <t>FT MITCHELL</t>
        </is>
      </c>
      <c r="G57" s="92" t="inlineStr">
        <is>
          <t>KY</t>
        </is>
      </c>
      <c r="H57" s="92" t="inlineStr">
        <is>
          <t>WHSE DISTRIBUTION</t>
        </is>
      </c>
      <c r="I57" s="93" t="n">
        <v>37952</v>
      </c>
      <c r="J57" s="94">
        <f>I57/43560</f>
        <v/>
      </c>
      <c r="K57" s="93" t="n">
        <v>943.5</v>
      </c>
      <c r="L57" s="95">
        <f>I57/(K57^2)</f>
        <v/>
      </c>
      <c r="M57" s="92" t="inlineStr">
        <is>
          <t>Near 14-18k/32-45k</t>
        </is>
      </c>
      <c r="N57" s="92" t="inlineStr">
        <is>
          <t>B</t>
        </is>
      </c>
      <c r="O57" s="92" t="inlineStr">
        <is>
          <t>Elongated .035-.045</t>
        </is>
      </c>
      <c r="P57" s="92" t="inlineStr">
        <is>
          <t>Low</t>
        </is>
      </c>
      <c r="Q57" s="92" t="inlineStr">
        <is>
          <t>Out-of-city KY</t>
        </is>
      </c>
      <c r="R57" s="92" t="inlineStr">
        <is>
          <t>Passive vehicle</t>
        </is>
      </c>
      <c r="S57" s="92" t="n">
        <v>1</v>
      </c>
      <c r="T57" s="96">
        <f>INDEX('Scoring Method'!$B$6:$B$9,MATCH(M57,'Scoring Method'!$A$6:$A$9,0))+INDEX('Scoring Method'!$B$12:$B$16,MATCH(N57,'Scoring Method'!$A$12:$A$16,0))+INDEX('Scoring Method'!$B$19:$B$22,MATCH(O57,'Scoring Method'!$A$19:$A$22,0))+INDEX('Scoring Method'!$B$25:$B$27,MATCH(P57,'Scoring Method'!$A$25:$A$27,0))</f>
        <v/>
      </c>
      <c r="U57" s="96">
        <f>(INDEX('Scoring Method'!$B$30:$B$33,MATCH(Q57,'Scoring Method'!$A$30:$A$33,0))+INDEX('Scoring Method'!$B$36:$B$42,MATCH(R57,'Scoring Method'!$A$36:$A$42,0))+INDEX('Scoring Method'!$B$45:$B$47,MATCH(IF(S57=1,"1",IF(S57=2,"2","3+")),'Scoring Method'!$A$45:$A$47,0)))/90*100</f>
        <v/>
      </c>
      <c r="V57" s="96">
        <f>T57*U57/100</f>
        <v/>
      </c>
      <c r="W57" s="93" t="n">
        <v>22064</v>
      </c>
      <c r="X57" s="92" t="inlineStr">
        <is>
          <t>X (minimal hazard)</t>
        </is>
      </c>
      <c r="Y57" s="93" t="n">
        <v>13300</v>
      </c>
      <c r="Z57" s="97">
        <f>W57/I57</f>
        <v/>
      </c>
      <c r="AA57" s="98">
        <f>MAX(0,(Y57-5000)/300)</f>
        <v/>
      </c>
      <c r="AB57" s="92" t="n"/>
      <c r="AC57" s="92" t="n">
        <v>0.89</v>
      </c>
      <c r="AD57" s="92" t="inlineStr">
        <is>
          <t>ok</t>
        </is>
      </c>
      <c r="AE57" s="92" t="inlineStr">
        <is>
          <t>Far oversize &gt;12k</t>
        </is>
      </c>
      <c r="AF57" s="96">
        <f>INDEX('Scoring Method'!$B$63:$B$71,MATCH(AE57,'Scoring Method'!$A$63:$A$71,0))+INDEX('Scoring Method'!$B$75:$B$79,MATCH("Good 8-15k",'Scoring Method'!$A$75:$A$79,0))+INDEX('Scoring Method'!$B$343:$B$347,MATCH(X57,'Scoring Method'!$A$343:$A$347,0))+INDEX('Scoring Method'!$B$25:$B$27,MATCH(P57,'Scoring Method'!$A$25:$A$27,0))</f>
        <v/>
      </c>
      <c r="AG57" s="96">
        <f>AF57*U57/100</f>
        <v/>
      </c>
      <c r="AH57" s="92" t="inlineStr">
        <is>
          <t>LINK-GIS + LoopNet</t>
        </is>
      </c>
      <c r="AI57" s="99" t="n">
        <v>39.08159</v>
      </c>
      <c r="AJ57" s="99" t="n">
        <v>-84.51478</v>
      </c>
      <c r="AK57" s="94" t="n">
        <v>0.25</v>
      </c>
      <c r="AL57" s="94" t="n">
        <v>0.73</v>
      </c>
      <c r="AM57" s="94" t="n">
        <v>1.38</v>
      </c>
      <c r="AN57" s="94" t="n">
        <v>0.25</v>
      </c>
      <c r="AO57" s="92" t="inlineStr">
        <is>
          <t>Core &lt;=0.35mi</t>
        </is>
      </c>
      <c r="AP57" s="92" t="inlineStr">
        <is>
          <t>Open span</t>
        </is>
      </c>
      <c r="AQ57" s="92" t="inlineStr">
        <is>
          <t>Good 8-15k</t>
        </is>
      </c>
      <c r="AR57" s="100" t="n"/>
      <c r="AS57" s="96">
        <f>ROUND(INDEX('Scoring Method'!$B$63:$B$70,MATCH(AE57,'Scoring Method'!$A$63:$A$70,0))*0.625+INDEX('Scoring Method'!$B$105:$B$113,MATCH(AP57,'Scoring Method'!$A$105:$A$113,0))+INDEX('Scoring Method'!$B$74:$B$78,MATCH(AQ57,'Scoring Method'!$A$74:$A$78,0))*0.6667+INDEX('Scoring Method'!$B$96:$B$101,MATCH(AO57,'Scoring Method'!$A$96:$A$101,0))+INDEX('Scoring Method'!$B$343:$B$347,MATCH(X57,'Scoring Method'!$A$343:$A$347,0))*0.3333+INDEX('Scoring Method'!$B$25:$B$27,MATCH(P57,'Scoring Method'!$A$25:$A$27,0))*0.3333,1)</f>
        <v/>
      </c>
      <c r="AT57" s="96">
        <f>AS57*U57/100</f>
        <v/>
      </c>
      <c r="AU57" s="92" t="inlineStr">
        <is>
          <t>MainStrasse</t>
        </is>
      </c>
      <c r="AV57" s="92" t="n">
        <v>75</v>
      </c>
      <c r="AW57" s="92" t="inlineStr">
        <is>
          <t>Sourced</t>
        </is>
      </c>
      <c r="AX57" s="92" t="inlineStr">
        <is>
          <t>Safe 70-79</t>
        </is>
      </c>
      <c r="AY57" s="96">
        <f>ROUND(INDEX('Scoring Method'!$B$132:$B$140,MATCH(AE57,'Scoring Method'!$A$132:$A$140,0))+INDEX('Scoring Method'!$B$144:$B$152,MATCH(AP57,'Scoring Method'!$A$144:$A$152,0))+INDEX('Scoring Method'!$B$156:$B$160,MATCH(AQ57,'Scoring Method'!$A$156:$A$160,0))+INDEX('Scoring Method'!$B$164:$B$169,MATCH(AO57,'Scoring Method'!$A$164:$A$169,0))+INDEX('Scoring Method'!$B$173:$B$178,MATCH(AX57,'Scoring Method'!$A$173:$A$178,0))+INDEX('Scoring Method'!$B$349:$B$353,MATCH(X57,'Scoring Method'!$A$349:$A$353,0))+INDEX('Scoring Method'!$B$188:$B$190,MATCH(P57,'Scoring Method'!$A$188:$A$190,0)),1)</f>
        <v/>
      </c>
      <c r="AZ57" s="96">
        <f>AY57*U57/100</f>
        <v/>
      </c>
      <c r="BA57" s="92" t="inlineStr">
        <is>
          <t>No chain signal</t>
        </is>
      </c>
      <c r="BB57" s="94" t="n">
        <v>1</v>
      </c>
      <c r="BC57" s="102" t="inlineStr">
        <is>
          <t>Large 0.75-1.25 AC</t>
        </is>
      </c>
      <c r="BD57" s="94" t="n">
        <v>0.9</v>
      </c>
      <c r="BE57" s="96">
        <f>ROUND(INDEX('Scoring Method'!$B$268:$B$276,MATCH(AE57,'Scoring Method'!$A$268:$A$276,0))+INDEX('Scoring Method'!$B$280:$B$288,MATCH(AP57,'Scoring Method'!$A$280:$A$288,0))+INDEX('Scoring Method'!$B$292:$B$296,MATCH(AQ57,'Scoring Method'!$A$292:$A$296,0))+INDEX('Scoring Method'!$B$300:$B$305,MATCH(AO57,'Scoring Method'!$A$300:$A$305,0))+INDEX('Scoring Method'!$B$309:$B$314,MATCH(AX57,'Scoring Method'!$A$309:$A$314,0))+INDEX('Scoring Method'!$B$337:$B$341,MATCH(X57,'Scoring Method'!$A$337:$A$341,0))+INDEX('Scoring Method'!$B$324:$B$326,MATCH(P57,'Scoring Method'!$A$324:$A$326,0)),1)</f>
        <v/>
      </c>
      <c r="BF57" s="96">
        <f>ROUND(INDEX('Scoring Method'!$B$268:$B$276,MATCH(AE57,'Scoring Method'!$A$268:$A$276,0))*BB57*BD57+INDEX('Scoring Method'!$B$280:$B$288,MATCH(AP57,'Scoring Method'!$A$280:$A$288,0))*BM57*BB57*BD57+INDEX('Scoring Method'!$B$292:$B$296,MATCH(AQ57,'Scoring Method'!$A$292:$A$296,0))*BD57+INDEX('Scoring Method'!$B$300:$B$305,MATCH(AO57,'Scoring Method'!$A$300:$A$305,0))*BM57*BB57+INDEX('Scoring Method'!$B$309:$B$314,MATCH(AX57,'Scoring Method'!$A$309:$A$314,0))+INDEX('Scoring Method'!$B$337:$B$341,MATCH(X57,'Scoring Method'!$A$337:$A$341,0))+INDEX('Scoring Method'!$B$324:$B$326,MATCH(P57,'Scoring Method'!$A$324:$A$326,0)),1)</f>
        <v/>
      </c>
      <c r="BG57" s="102" t="inlineStr">
        <is>
          <t>Over (~$20,225/mo)</t>
        </is>
      </c>
      <c r="BH57" s="61" t="inlineStr">
        <is>
          <t>DTC (HP)</t>
        </is>
      </c>
      <c r="BI57" s="61" t="inlineStr">
        <is>
          <t>Downtown Core</t>
        </is>
      </c>
      <c r="BJ57" s="61" t="inlineStr">
        <is>
          <t>HP</t>
        </is>
      </c>
      <c r="BK57" s="61" t="inlineStr"/>
      <c r="BL57" s="61" t="inlineStr">
        <is>
          <t>Bar permitted</t>
        </is>
      </c>
      <c r="BM57" s="61">
        <f>INDEX('Scoring Method'!$B$358:$B$363,MATCH(BL57,'Scoring Method'!$A$358:$A$363,0))</f>
        <v/>
      </c>
    </row>
    <row r="58" ht="15" customHeight="1" s="62">
      <c r="A58" s="92" t="n">
        <v>57</v>
      </c>
      <c r="B58" s="92" t="inlineStr">
        <is>
          <t>054-21-19-002.00</t>
        </is>
      </c>
      <c r="C58" s="92" t="inlineStr">
        <is>
          <t>101 W 6TH ST</t>
        </is>
      </c>
      <c r="D58" s="92" t="inlineStr">
        <is>
          <t>DIOCESE OF COVINGTON</t>
        </is>
      </c>
      <c r="E58" s="92" t="inlineStr">
        <is>
          <t>119 W 6TH ST</t>
        </is>
      </c>
      <c r="F58" s="92" t="inlineStr">
        <is>
          <t>COVINGTON</t>
        </is>
      </c>
      <c r="G58" s="92" t="inlineStr">
        <is>
          <t>KY</t>
        </is>
      </c>
      <c r="H58" s="92" t="inlineStr">
        <is>
          <t>PAVED LOT</t>
        </is>
      </c>
      <c r="I58" s="93" t="n">
        <v>20002</v>
      </c>
      <c r="J58" s="94">
        <f>I58/43560</f>
        <v/>
      </c>
      <c r="K58" s="93" t="n">
        <v>600</v>
      </c>
      <c r="L58" s="95">
        <f>I58/(K58^2)</f>
        <v/>
      </c>
      <c r="M58" s="92" t="inlineStr">
        <is>
          <t>Ideal 18-32k</t>
        </is>
      </c>
      <c r="N58" s="92" t="inlineStr">
        <is>
          <t>D</t>
        </is>
      </c>
      <c r="O58" s="92" t="inlineStr">
        <is>
          <t>Compact &gt;=.055</t>
        </is>
      </c>
      <c r="P58" s="92" t="inlineStr">
        <is>
          <t>Low</t>
        </is>
      </c>
      <c r="Q58" s="92" t="inlineStr">
        <is>
          <t>Local absentee</t>
        </is>
      </c>
      <c r="R58" s="92" t="inlineStr">
        <is>
          <t>Religious</t>
        </is>
      </c>
      <c r="S58" s="92" t="n">
        <v>4</v>
      </c>
      <c r="T58" s="96">
        <f>INDEX('Scoring Method'!$B$6:$B$9,MATCH(M58,'Scoring Method'!$A$6:$A$9,0))+INDEX('Scoring Method'!$B$12:$B$16,MATCH(N58,'Scoring Method'!$A$12:$A$16,0))+INDEX('Scoring Method'!$B$19:$B$22,MATCH(O58,'Scoring Method'!$A$19:$A$22,0))+INDEX('Scoring Method'!$B$25:$B$27,MATCH(P58,'Scoring Method'!$A$25:$A$27,0))</f>
        <v/>
      </c>
      <c r="U58" s="96">
        <f>(INDEX('Scoring Method'!$B$30:$B$33,MATCH(Q58,'Scoring Method'!$A$30:$A$33,0))+INDEX('Scoring Method'!$B$36:$B$42,MATCH(R58,'Scoring Method'!$A$36:$A$42,0))+INDEX('Scoring Method'!$B$45:$B$47,MATCH(IF(S58=1,"1",IF(S58=2,"2","3+")),'Scoring Method'!$A$45:$A$47,0)))/90*100</f>
        <v/>
      </c>
      <c r="V58" s="96">
        <f>T58*U58/100</f>
        <v/>
      </c>
      <c r="W58" s="93" t="n"/>
      <c r="X58" s="92" t="inlineStr">
        <is>
          <t>X (minimal hazard)</t>
        </is>
      </c>
      <c r="Y58" s="93" t="n">
        <v>19775</v>
      </c>
      <c r="Z58" s="97" t="n"/>
      <c r="AA58" s="98" t="n"/>
      <c r="AB58" s="92" t="n"/>
      <c r="AC58" s="92" t="n">
        <v>0.46</v>
      </c>
      <c r="AD58" s="92" t="inlineStr">
        <is>
          <t>ok</t>
        </is>
      </c>
      <c r="AE58" s="92" t="inlineStr">
        <is>
          <t>No building</t>
        </is>
      </c>
      <c r="AF58" s="96">
        <f>INDEX('Scoring Method'!$B$63:$B$71,MATCH(AE58,'Scoring Method'!$A$63:$A$71,0))+INDEX('Scoring Method'!$B$75:$B$79,MATCH("Ample &gt;=15k",'Scoring Method'!$A$75:$A$79,0))+INDEX('Scoring Method'!$B$343:$B$347,MATCH(X58,'Scoring Method'!$A$343:$A$347,0))+INDEX('Scoring Method'!$B$25:$B$27,MATCH(P58,'Scoring Method'!$A$25:$A$27,0))</f>
        <v/>
      </c>
      <c r="AG58" s="96">
        <f>AF58*U58/100</f>
        <v/>
      </c>
      <c r="AH58" s="92" t="inlineStr">
        <is>
          <t>LINK-GIS + LoopNet</t>
        </is>
      </c>
      <c r="AI58" s="99" t="n">
        <v>39.08395</v>
      </c>
      <c r="AJ58" s="99" t="n">
        <v>-84.51223</v>
      </c>
      <c r="AK58" s="94" t="n">
        <v>0.3</v>
      </c>
      <c r="AL58" s="94" t="n">
        <v>0.52</v>
      </c>
      <c r="AM58" s="94" t="n">
        <v>1.21</v>
      </c>
      <c r="AN58" s="94" t="n">
        <v>0.06</v>
      </c>
      <c r="AO58" s="92" t="inlineStr">
        <is>
          <t>Core &lt;=0.35mi</t>
        </is>
      </c>
      <c r="AP58" s="92" t="inlineStr">
        <is>
          <t>Lot / minimal bldg</t>
        </is>
      </c>
      <c r="AQ58" s="92" t="inlineStr">
        <is>
          <t>Ample &gt;=15k</t>
        </is>
      </c>
      <c r="AR58" s="100" t="n"/>
      <c r="AS58" s="96">
        <f>ROUND(INDEX('Scoring Method'!$B$63:$B$70,MATCH(AE58,'Scoring Method'!$A$63:$A$70,0))*0.625+INDEX('Scoring Method'!$B$105:$B$113,MATCH(AP58,'Scoring Method'!$A$105:$A$113,0))+INDEX('Scoring Method'!$B$74:$B$78,MATCH(AQ58,'Scoring Method'!$A$74:$A$78,0))*0.6667+INDEX('Scoring Method'!$B$96:$B$101,MATCH(AO58,'Scoring Method'!$A$96:$A$101,0))+INDEX('Scoring Method'!$B$343:$B$347,MATCH(X58,'Scoring Method'!$A$343:$A$347,0))*0.3333+INDEX('Scoring Method'!$B$25:$B$27,MATCH(P58,'Scoring Method'!$A$25:$A$27,0))*0.3333,1)</f>
        <v/>
      </c>
      <c r="AT58" s="96">
        <f>AS58*U58/100</f>
        <v/>
      </c>
      <c r="AU58" s="92" t="inlineStr">
        <is>
          <t>Central Business District</t>
        </is>
      </c>
      <c r="AV58" s="92" t="n">
        <v>48</v>
      </c>
      <c r="AW58" s="101" t="inlineStr">
        <is>
          <t>ESTIMATED</t>
        </is>
      </c>
      <c r="AX58" s="92" t="inlineStr">
        <is>
          <t>Mixed 45-59</t>
        </is>
      </c>
      <c r="AY58" s="96">
        <f>ROUND(INDEX('Scoring Method'!$B$132:$B$140,MATCH(AE58,'Scoring Method'!$A$132:$A$140,0))+INDEX('Scoring Method'!$B$144:$B$152,MATCH(AP58,'Scoring Method'!$A$144:$A$152,0))+INDEX('Scoring Method'!$B$156:$B$160,MATCH(AQ58,'Scoring Method'!$A$156:$A$160,0))+INDEX('Scoring Method'!$B$164:$B$169,MATCH(AO58,'Scoring Method'!$A$164:$A$169,0))+INDEX('Scoring Method'!$B$173:$B$178,MATCH(AX58,'Scoring Method'!$A$173:$A$178,0))+INDEX('Scoring Method'!$B$349:$B$353,MATCH(X58,'Scoring Method'!$A$349:$A$353,0))+INDEX('Scoring Method'!$B$188:$B$190,MATCH(P58,'Scoring Method'!$A$188:$A$190,0)),1)</f>
        <v/>
      </c>
      <c r="AZ58" s="96">
        <f>AY58*U58/100</f>
        <v/>
      </c>
      <c r="BA58" s="92" t="inlineStr">
        <is>
          <t>No chain signal</t>
        </is>
      </c>
      <c r="BB58" s="94" t="n">
        <v>1</v>
      </c>
      <c r="BC58" s="92" t="inlineStr">
        <is>
          <t>Right-sized 0.35-0.75 AC</t>
        </is>
      </c>
      <c r="BD58" s="94" t="n">
        <v>1</v>
      </c>
      <c r="BE58" s="96">
        <f>ROUND(INDEX('Scoring Method'!$B$268:$B$276,MATCH(AE58,'Scoring Method'!$A$268:$A$276,0))+INDEX('Scoring Method'!$B$280:$B$288,MATCH(AP58,'Scoring Method'!$A$280:$A$288,0))+INDEX('Scoring Method'!$B$292:$B$296,MATCH(AQ58,'Scoring Method'!$A$292:$A$296,0))+INDEX('Scoring Method'!$B$300:$B$305,MATCH(AO58,'Scoring Method'!$A$300:$A$305,0))+INDEX('Scoring Method'!$B$309:$B$314,MATCH(AX58,'Scoring Method'!$A$309:$A$314,0))+INDEX('Scoring Method'!$B$337:$B$341,MATCH(X58,'Scoring Method'!$A$337:$A$341,0))+INDEX('Scoring Method'!$B$324:$B$326,MATCH(P58,'Scoring Method'!$A$324:$A$326,0)),1)</f>
        <v/>
      </c>
      <c r="BF58" s="96">
        <f>ROUND(INDEX('Scoring Method'!$B$268:$B$276,MATCH(AE58,'Scoring Method'!$A$268:$A$276,0))*BB58*BD58+INDEX('Scoring Method'!$B$280:$B$288,MATCH(AP58,'Scoring Method'!$A$280:$A$288,0))*BM58*BB58*BD58+INDEX('Scoring Method'!$B$292:$B$296,MATCH(AQ58,'Scoring Method'!$A$292:$A$296,0))*BD58+INDEX('Scoring Method'!$B$300:$B$305,MATCH(AO58,'Scoring Method'!$A$300:$A$305,0))*BM58*BB58+INDEX('Scoring Method'!$B$309:$B$314,MATCH(AX58,'Scoring Method'!$A$309:$A$314,0))+INDEX('Scoring Method'!$B$337:$B$341,MATCH(X58,'Scoring Method'!$A$337:$A$341,0))+INDEX('Scoring Method'!$B$324:$B$326,MATCH(P58,'Scoring Method'!$A$324:$A$326,0)),1)</f>
        <v/>
      </c>
      <c r="BG58" s="92" t="n"/>
      <c r="BH58" s="61" t="inlineStr">
        <is>
          <t>DTC (HP)</t>
        </is>
      </c>
      <c r="BI58" s="61" t="inlineStr">
        <is>
          <t>Downtown Core</t>
        </is>
      </c>
      <c r="BJ58" s="61" t="inlineStr">
        <is>
          <t>HP</t>
        </is>
      </c>
      <c r="BK58" s="61" t="inlineStr"/>
      <c r="BL58" s="61" t="inlineStr">
        <is>
          <t>Bar permitted</t>
        </is>
      </c>
      <c r="BM58" s="61">
        <f>INDEX('Scoring Method'!$B$358:$B$363,MATCH(BL58,'Scoring Method'!$A$358:$A$363,0))</f>
        <v/>
      </c>
    </row>
    <row r="59" ht="15" customHeight="1" s="62">
      <c r="A59" s="92" t="n">
        <v>58</v>
      </c>
      <c r="B59" s="92" t="inlineStr">
        <is>
          <t>059-20-00-015.00</t>
        </is>
      </c>
      <c r="C59" s="92" t="inlineStr">
        <is>
          <t>HANDS PIKE</t>
        </is>
      </c>
      <c r="D59" s="92" t="inlineStr">
        <is>
          <t>CALVARY BAPTIST CHURCH OF</t>
        </is>
      </c>
      <c r="E59" s="92" t="inlineStr">
        <is>
          <t>3711 TIBBATTS ST</t>
        </is>
      </c>
      <c r="F59" s="92" t="inlineStr">
        <is>
          <t>COVINGTON</t>
        </is>
      </c>
      <c r="G59" s="92" t="inlineStr">
        <is>
          <t>KY</t>
        </is>
      </c>
      <c r="H59" s="92" t="inlineStr">
        <is>
          <t>GARAGE/PARKING SPACE</t>
        </is>
      </c>
      <c r="I59" s="93" t="n">
        <v>27135</v>
      </c>
      <c r="J59" s="94">
        <f>I59/43560</f>
        <v/>
      </c>
      <c r="K59" s="93" t="n">
        <v>692.7</v>
      </c>
      <c r="L59" s="95">
        <f>I59/(K59^2)</f>
        <v/>
      </c>
      <c r="M59" s="92" t="inlineStr">
        <is>
          <t>Ideal 18-32k</t>
        </is>
      </c>
      <c r="N59" s="92" t="inlineStr">
        <is>
          <t>D</t>
        </is>
      </c>
      <c r="O59" s="92" t="inlineStr">
        <is>
          <t>Compact &gt;=.055</t>
        </is>
      </c>
      <c r="P59" s="92" t="inlineStr">
        <is>
          <t>Low</t>
        </is>
      </c>
      <c r="Q59" s="92" t="inlineStr">
        <is>
          <t>Local absentee</t>
        </is>
      </c>
      <c r="R59" s="92" t="inlineStr">
        <is>
          <t>Religious</t>
        </is>
      </c>
      <c r="S59" s="92" t="n">
        <v>4</v>
      </c>
      <c r="T59" s="96">
        <f>INDEX('Scoring Method'!$B$6:$B$9,MATCH(M59,'Scoring Method'!$A$6:$A$9,0))+INDEX('Scoring Method'!$B$12:$B$16,MATCH(N59,'Scoring Method'!$A$12:$A$16,0))+INDEX('Scoring Method'!$B$19:$B$22,MATCH(O59,'Scoring Method'!$A$19:$A$22,0))+INDEX('Scoring Method'!$B$25:$B$27,MATCH(P59,'Scoring Method'!$A$25:$A$27,0))</f>
        <v/>
      </c>
      <c r="U59" s="96">
        <f>(INDEX('Scoring Method'!$B$30:$B$33,MATCH(Q59,'Scoring Method'!$A$30:$A$33,0))+INDEX('Scoring Method'!$B$36:$B$42,MATCH(R59,'Scoring Method'!$A$36:$A$42,0))+INDEX('Scoring Method'!$B$45:$B$47,MATCH(IF(S59=1,"1",IF(S59=2,"2","3+")),'Scoring Method'!$A$45:$A$47,0)))/90*100</f>
        <v/>
      </c>
      <c r="V59" s="96">
        <f>T59*U59/100</f>
        <v/>
      </c>
      <c r="W59" s="93" t="n">
        <v>1135</v>
      </c>
      <c r="X59" s="92" t="inlineStr">
        <is>
          <t>X (minimal hazard)</t>
        </is>
      </c>
      <c r="Y59" s="93" t="n">
        <v>25700</v>
      </c>
      <c r="Z59" s="97" t="n"/>
      <c r="AA59" s="98">
        <f>MAX(0,(Y59-5000)/300)</f>
        <v/>
      </c>
      <c r="AB59" s="92" t="n"/>
      <c r="AC59" s="92" t="n"/>
      <c r="AD59" s="92" t="n"/>
      <c r="AE59" s="92" t="inlineStr">
        <is>
          <t>Too small &lt;1.2k</t>
        </is>
      </c>
      <c r="AF59" s="96">
        <f>INDEX('Scoring Method'!$B$63:$B$71,MATCH(AE59,'Scoring Method'!$A$63:$A$71,0))+INDEX('Scoring Method'!$B$75:$B$79,MATCH("Ample &gt;=15k",'Scoring Method'!$A$75:$A$79,0))+INDEX('Scoring Method'!$B$343:$B$347,MATCH(X59,'Scoring Method'!$A$343:$A$347,0))+INDEX('Scoring Method'!$B$25:$B$27,MATCH(P59,'Scoring Method'!$A$25:$A$27,0))</f>
        <v/>
      </c>
      <c r="AG59" s="96">
        <f>AF59*U59/100</f>
        <v/>
      </c>
      <c r="AH59" s="92" t="inlineStr">
        <is>
          <t>LINK-GIS only</t>
        </is>
      </c>
      <c r="AI59" s="99" t="n">
        <v>38.97416</v>
      </c>
      <c r="AJ59" s="99" t="n">
        <v>-84.50265</v>
      </c>
      <c r="AK59" s="94" t="n">
        <v>7.66</v>
      </c>
      <c r="AL59" s="94" t="n">
        <v>8.07</v>
      </c>
      <c r="AM59" s="94" t="n">
        <v>8.81</v>
      </c>
      <c r="AN59" s="94" t="n">
        <v>7.6</v>
      </c>
      <c r="AO59" s="92" t="inlineStr">
        <is>
          <t>Remote &gt;3mi</t>
        </is>
      </c>
      <c r="AP59" s="92" t="inlineStr">
        <is>
          <t>Lot / minimal bldg</t>
        </is>
      </c>
      <c r="AQ59" s="92" t="inlineStr">
        <is>
          <t>Ample &gt;=15k</t>
        </is>
      </c>
      <c r="AR59" s="100" t="n"/>
      <c r="AS59" s="96">
        <f>ROUND(INDEX('Scoring Method'!$B$63:$B$70,MATCH(AE59,'Scoring Method'!$A$63:$A$70,0))*0.625+INDEX('Scoring Method'!$B$105:$B$113,MATCH(AP59,'Scoring Method'!$A$105:$A$113,0))+INDEX('Scoring Method'!$B$74:$B$78,MATCH(AQ59,'Scoring Method'!$A$74:$A$78,0))*0.6667+INDEX('Scoring Method'!$B$96:$B$101,MATCH(AO59,'Scoring Method'!$A$96:$A$101,0))+INDEX('Scoring Method'!$B$343:$B$347,MATCH(X59,'Scoring Method'!$A$343:$A$347,0))*0.3333+INDEX('Scoring Method'!$B$25:$B$27,MATCH(P59,'Scoring Method'!$A$25:$A$27,0))*0.3333,1)</f>
        <v/>
      </c>
      <c r="AT59" s="96">
        <f>AS59*U59/100</f>
        <v/>
      </c>
      <c r="AU59" s="92" t="inlineStr">
        <is>
          <t>South Covington</t>
        </is>
      </c>
      <c r="AV59" s="92" t="n">
        <v>88</v>
      </c>
      <c r="AW59" s="92" t="inlineStr">
        <is>
          <t>Sourced</t>
        </is>
      </c>
      <c r="AX59" s="92" t="inlineStr">
        <is>
          <t>Very safe 80+</t>
        </is>
      </c>
      <c r="AY59" s="96">
        <f>ROUND(INDEX('Scoring Method'!$B$132:$B$140,MATCH(AE59,'Scoring Method'!$A$132:$A$140,0))+INDEX('Scoring Method'!$B$144:$B$152,MATCH(AP59,'Scoring Method'!$A$144:$A$152,0))+INDEX('Scoring Method'!$B$156:$B$160,MATCH(AQ59,'Scoring Method'!$A$156:$A$160,0))+INDEX('Scoring Method'!$B$164:$B$169,MATCH(AO59,'Scoring Method'!$A$164:$A$169,0))+INDEX('Scoring Method'!$B$173:$B$178,MATCH(AX59,'Scoring Method'!$A$173:$A$178,0))+INDEX('Scoring Method'!$B$349:$B$353,MATCH(X59,'Scoring Method'!$A$349:$A$353,0))+INDEX('Scoring Method'!$B$188:$B$190,MATCH(P59,'Scoring Method'!$A$188:$A$190,0)),1)</f>
        <v/>
      </c>
      <c r="AZ59" s="96">
        <f>AY59*U59/100</f>
        <v/>
      </c>
      <c r="BA59" s="92" t="inlineStr">
        <is>
          <t>No chain signal</t>
        </is>
      </c>
      <c r="BB59" s="94" t="n">
        <v>1</v>
      </c>
      <c r="BC59" s="92" t="inlineStr">
        <is>
          <t>Right-sized 0.35-0.75 AC</t>
        </is>
      </c>
      <c r="BD59" s="94" t="n">
        <v>1</v>
      </c>
      <c r="BE59" s="96">
        <f>ROUND(INDEX('Scoring Method'!$B$268:$B$276,MATCH(AE59,'Scoring Method'!$A$268:$A$276,0))+INDEX('Scoring Method'!$B$280:$B$288,MATCH(AP59,'Scoring Method'!$A$280:$A$288,0))+INDEX('Scoring Method'!$B$292:$B$296,MATCH(AQ59,'Scoring Method'!$A$292:$A$296,0))+INDEX('Scoring Method'!$B$300:$B$305,MATCH(AO59,'Scoring Method'!$A$300:$A$305,0))+INDEX('Scoring Method'!$B$309:$B$314,MATCH(AX59,'Scoring Method'!$A$309:$A$314,0))+INDEX('Scoring Method'!$B$337:$B$341,MATCH(X59,'Scoring Method'!$A$337:$A$341,0))+INDEX('Scoring Method'!$B$324:$B$326,MATCH(P59,'Scoring Method'!$A$324:$A$326,0)),1)</f>
        <v/>
      </c>
      <c r="BF59" s="96">
        <f>ROUND(INDEX('Scoring Method'!$B$268:$B$276,MATCH(AE59,'Scoring Method'!$A$268:$A$276,0))*BB59*BD59+INDEX('Scoring Method'!$B$280:$B$288,MATCH(AP59,'Scoring Method'!$A$280:$A$288,0))*BM59*BB59*BD59+INDEX('Scoring Method'!$B$292:$B$296,MATCH(AQ59,'Scoring Method'!$A$292:$A$296,0))*BD59+INDEX('Scoring Method'!$B$300:$B$305,MATCH(AO59,'Scoring Method'!$A$300:$A$305,0))*BM59*BB59+INDEX('Scoring Method'!$B$309:$B$314,MATCH(AX59,'Scoring Method'!$A$309:$A$314,0))+INDEX('Scoring Method'!$B$337:$B$341,MATCH(X59,'Scoring Method'!$A$337:$A$341,0))+INDEX('Scoring Method'!$B$324:$B$326,MATCH(P59,'Scoring Method'!$A$324:$A$326,0)),1)</f>
        <v/>
      </c>
      <c r="BG59" s="92" t="inlineStr">
        <is>
          <t>Fits (~$1,040/mo)</t>
        </is>
      </c>
      <c r="BH59" s="61" t="inlineStr">
        <is>
          <t>SR</t>
        </is>
      </c>
      <c r="BI59" s="61" t="inlineStr">
        <is>
          <t>Suburban Residential</t>
        </is>
      </c>
      <c r="BJ59" s="61" t="inlineStr"/>
      <c r="BK59" s="61" t="inlineStr"/>
      <c r="BL59" s="61" t="inlineStr">
        <is>
          <t>No path</t>
        </is>
      </c>
      <c r="BM59" s="61">
        <f>INDEX('Scoring Method'!$B$358:$B$363,MATCH(BL59,'Scoring Method'!$A$358:$A$363,0))</f>
        <v/>
      </c>
    </row>
    <row r="60" ht="15" customHeight="1" s="62">
      <c r="A60" s="92" t="n">
        <v>59</v>
      </c>
      <c r="B60" s="92" t="inlineStr">
        <is>
          <t>054-23-02-001.00</t>
        </is>
      </c>
      <c r="C60" s="92" t="inlineStr">
        <is>
          <t>27 W 8TH ST</t>
        </is>
      </c>
      <c r="D60" s="92" t="inlineStr">
        <is>
          <t>MURDOCK HOLDINGS LLC</t>
        </is>
      </c>
      <c r="E60" s="92" t="inlineStr">
        <is>
          <t>419 GREENUP ST</t>
        </is>
      </c>
      <c r="F60" s="92" t="inlineStr">
        <is>
          <t>COVINGTON</t>
        </is>
      </c>
      <c r="G60" s="92" t="inlineStr">
        <is>
          <t>KY</t>
        </is>
      </c>
      <c r="H60" s="92" t="inlineStr">
        <is>
          <t>MIXED USE</t>
        </is>
      </c>
      <c r="I60" s="93" t="n">
        <v>18213</v>
      </c>
      <c r="J60" s="94">
        <f>I60/43560</f>
        <v/>
      </c>
      <c r="K60" s="93" t="n">
        <v>541.5</v>
      </c>
      <c r="L60" s="95">
        <f>I60/(K60^2)</f>
        <v/>
      </c>
      <c r="M60" s="92" t="inlineStr">
        <is>
          <t>Ideal 18-32k</t>
        </is>
      </c>
      <c r="N60" s="92" t="inlineStr">
        <is>
          <t>C</t>
        </is>
      </c>
      <c r="O60" s="92" t="inlineStr">
        <is>
          <t>Compact &gt;=.055</t>
        </is>
      </c>
      <c r="P60" s="92" t="inlineStr">
        <is>
          <t>Low</t>
        </is>
      </c>
      <c r="Q60" s="92" t="inlineStr">
        <is>
          <t>Local absentee</t>
        </is>
      </c>
      <c r="R60" s="92" t="inlineStr">
        <is>
          <t>Passive vehicle</t>
        </is>
      </c>
      <c r="S60" s="92" t="n">
        <v>1</v>
      </c>
      <c r="T60" s="96">
        <f>INDEX('Scoring Method'!$B$6:$B$9,MATCH(M60,'Scoring Method'!$A$6:$A$9,0))+INDEX('Scoring Method'!$B$12:$B$16,MATCH(N60,'Scoring Method'!$A$12:$A$16,0))+INDEX('Scoring Method'!$B$19:$B$22,MATCH(O60,'Scoring Method'!$A$19:$A$22,0))+INDEX('Scoring Method'!$B$25:$B$27,MATCH(P60,'Scoring Method'!$A$25:$A$27,0))</f>
        <v/>
      </c>
      <c r="U60" s="96">
        <f>(INDEX('Scoring Method'!$B$30:$B$33,MATCH(Q60,'Scoring Method'!$A$30:$A$33,0))+INDEX('Scoring Method'!$B$36:$B$42,MATCH(R60,'Scoring Method'!$A$36:$A$42,0))+INDEX('Scoring Method'!$B$45:$B$47,MATCH(IF(S60=1,"1",IF(S60=2,"2","3+")),'Scoring Method'!$A$45:$A$47,0)))/90*100</f>
        <v/>
      </c>
      <c r="V60" s="96">
        <f>T60*U60/100</f>
        <v/>
      </c>
      <c r="W60" s="93" t="n">
        <v>13266</v>
      </c>
      <c r="X60" s="92" t="inlineStr">
        <is>
          <t>X (minimal hazard)</t>
        </is>
      </c>
      <c r="Y60" s="93" t="n">
        <v>6550</v>
      </c>
      <c r="Z60" s="97">
        <f>W60/I60</f>
        <v/>
      </c>
      <c r="AA60" s="98">
        <f>MAX(0,(Y60-5000)/300)</f>
        <v/>
      </c>
      <c r="AB60" s="92" t="n"/>
      <c r="AC60" s="92" t="n">
        <v>0.42</v>
      </c>
      <c r="AD60" s="92" t="inlineStr">
        <is>
          <t>ok</t>
        </is>
      </c>
      <c r="AE60" s="92" t="inlineStr">
        <is>
          <t>Far oversize &gt;12k</t>
        </is>
      </c>
      <c r="AF60" s="96">
        <f>INDEX('Scoring Method'!$B$63:$B$71,MATCH(AE60,'Scoring Method'!$A$63:$A$71,0))+INDEX('Scoring Method'!$B$75:$B$79,MATCH("Adequate 5-8k",'Scoring Method'!$A$75:$A$79,0))+INDEX('Scoring Method'!$B$343:$B$347,MATCH(X60,'Scoring Method'!$A$343:$A$347,0))+INDEX('Scoring Method'!$B$25:$B$27,MATCH(P60,'Scoring Method'!$A$25:$A$27,0))</f>
        <v/>
      </c>
      <c r="AG60" s="96">
        <f>AF60*U60/100</f>
        <v/>
      </c>
      <c r="AH60" s="92" t="inlineStr">
        <is>
          <t>LINK-GIS + LoopNet</t>
        </is>
      </c>
      <c r="AI60" s="99" t="n">
        <v>39.08183</v>
      </c>
      <c r="AJ60" s="99" t="n">
        <v>-84.51102</v>
      </c>
      <c r="AK60" s="94" t="n">
        <v>0.41</v>
      </c>
      <c r="AL60" s="94" t="n">
        <v>0.64</v>
      </c>
      <c r="AM60" s="94" t="n">
        <v>1.36</v>
      </c>
      <c r="AN60" s="94" t="n">
        <v>0.15</v>
      </c>
      <c r="AO60" s="92" t="inlineStr">
        <is>
          <t>Core &lt;=0.35mi</t>
        </is>
      </c>
      <c r="AP60" s="92" t="inlineStr">
        <is>
          <t>Retail shell</t>
        </is>
      </c>
      <c r="AQ60" s="92" t="inlineStr">
        <is>
          <t>Adequate 5-8k</t>
        </is>
      </c>
      <c r="AR60" s="100" t="n"/>
      <c r="AS60" s="96">
        <f>ROUND(INDEX('Scoring Method'!$B$63:$B$70,MATCH(AE60,'Scoring Method'!$A$63:$A$70,0))*0.625+INDEX('Scoring Method'!$B$105:$B$113,MATCH(AP60,'Scoring Method'!$A$105:$A$113,0))+INDEX('Scoring Method'!$B$74:$B$78,MATCH(AQ60,'Scoring Method'!$A$74:$A$78,0))*0.6667+INDEX('Scoring Method'!$B$96:$B$101,MATCH(AO60,'Scoring Method'!$A$96:$A$101,0))+INDEX('Scoring Method'!$B$343:$B$347,MATCH(X60,'Scoring Method'!$A$343:$A$347,0))*0.3333+INDEX('Scoring Method'!$B$25:$B$27,MATCH(P60,'Scoring Method'!$A$25:$A$27,0))*0.3333,1)</f>
        <v/>
      </c>
      <c r="AT60" s="96">
        <f>AS60*U60/100</f>
        <v/>
      </c>
      <c r="AU60" s="92" t="inlineStr">
        <is>
          <t>Central Business District</t>
        </is>
      </c>
      <c r="AV60" s="92" t="n">
        <v>48</v>
      </c>
      <c r="AW60" s="101" t="inlineStr">
        <is>
          <t>ESTIMATED</t>
        </is>
      </c>
      <c r="AX60" s="92" t="inlineStr">
        <is>
          <t>Mixed 45-59</t>
        </is>
      </c>
      <c r="AY60" s="96">
        <f>ROUND(INDEX('Scoring Method'!$B$132:$B$140,MATCH(AE60,'Scoring Method'!$A$132:$A$140,0))+INDEX('Scoring Method'!$B$144:$B$152,MATCH(AP60,'Scoring Method'!$A$144:$A$152,0))+INDEX('Scoring Method'!$B$156:$B$160,MATCH(AQ60,'Scoring Method'!$A$156:$A$160,0))+INDEX('Scoring Method'!$B$164:$B$169,MATCH(AO60,'Scoring Method'!$A$164:$A$169,0))+INDEX('Scoring Method'!$B$173:$B$178,MATCH(AX60,'Scoring Method'!$A$173:$A$178,0))+INDEX('Scoring Method'!$B$349:$B$353,MATCH(X60,'Scoring Method'!$A$349:$A$353,0))+INDEX('Scoring Method'!$B$188:$B$190,MATCH(P60,'Scoring Method'!$A$188:$A$190,0)),1)</f>
        <v/>
      </c>
      <c r="AZ60" s="96">
        <f>AY60*U60/100</f>
        <v/>
      </c>
      <c r="BA60" s="92" t="inlineStr">
        <is>
          <t>No chain signal</t>
        </is>
      </c>
      <c r="BB60" s="94" t="n">
        <v>1</v>
      </c>
      <c r="BC60" s="92" t="inlineStr">
        <is>
          <t>Right-sized 0.35-0.75 AC</t>
        </is>
      </c>
      <c r="BD60" s="94" t="n">
        <v>1</v>
      </c>
      <c r="BE60" s="96">
        <f>ROUND(INDEX('Scoring Method'!$B$268:$B$276,MATCH(AE60,'Scoring Method'!$A$268:$A$276,0))+INDEX('Scoring Method'!$B$280:$B$288,MATCH(AP60,'Scoring Method'!$A$280:$A$288,0))+INDEX('Scoring Method'!$B$292:$B$296,MATCH(AQ60,'Scoring Method'!$A$292:$A$296,0))+INDEX('Scoring Method'!$B$300:$B$305,MATCH(AO60,'Scoring Method'!$A$300:$A$305,0))+INDEX('Scoring Method'!$B$309:$B$314,MATCH(AX60,'Scoring Method'!$A$309:$A$314,0))+INDEX('Scoring Method'!$B$337:$B$341,MATCH(X60,'Scoring Method'!$A$337:$A$341,0))+INDEX('Scoring Method'!$B$324:$B$326,MATCH(P60,'Scoring Method'!$A$324:$A$326,0)),1)</f>
        <v/>
      </c>
      <c r="BF60" s="96">
        <f>ROUND(INDEX('Scoring Method'!$B$268:$B$276,MATCH(AE60,'Scoring Method'!$A$268:$A$276,0))*BB60*BD60+INDEX('Scoring Method'!$B$280:$B$288,MATCH(AP60,'Scoring Method'!$A$280:$A$288,0))*BM60*BB60*BD60+INDEX('Scoring Method'!$B$292:$B$296,MATCH(AQ60,'Scoring Method'!$A$292:$A$296,0))*BD60+INDEX('Scoring Method'!$B$300:$B$305,MATCH(AO60,'Scoring Method'!$A$300:$A$305,0))*BM60*BB60+INDEX('Scoring Method'!$B$309:$B$314,MATCH(AX60,'Scoring Method'!$A$309:$A$314,0))+INDEX('Scoring Method'!$B$337:$B$341,MATCH(X60,'Scoring Method'!$A$337:$A$341,0))+INDEX('Scoring Method'!$B$324:$B$326,MATCH(P60,'Scoring Method'!$A$324:$A$326,0)),1)</f>
        <v/>
      </c>
      <c r="BG60" s="102" t="inlineStr">
        <is>
          <t>Over (~$12,160/mo)</t>
        </is>
      </c>
      <c r="BH60" s="61" t="inlineStr">
        <is>
          <t>DTC (HP)</t>
        </is>
      </c>
      <c r="BI60" s="61" t="inlineStr">
        <is>
          <t>Downtown Core</t>
        </is>
      </c>
      <c r="BJ60" s="61" t="inlineStr">
        <is>
          <t>HP</t>
        </is>
      </c>
      <c r="BK60" s="61" t="inlineStr"/>
      <c r="BL60" s="61" t="inlineStr">
        <is>
          <t>Bar permitted</t>
        </is>
      </c>
      <c r="BM60" s="61">
        <f>INDEX('Scoring Method'!$B$358:$B$363,MATCH(BL60,'Scoring Method'!$A$358:$A$363,0))</f>
        <v/>
      </c>
    </row>
    <row r="61" ht="15" customHeight="1" s="62">
      <c r="A61" s="92" t="n">
        <v>60</v>
      </c>
      <c r="B61" s="92" t="inlineStr">
        <is>
          <t>040-44-19-002.00</t>
        </is>
      </c>
      <c r="C61" s="92" t="inlineStr">
        <is>
          <t>533 W PIKE ST</t>
        </is>
      </c>
      <c r="D61" s="92" t="inlineStr">
        <is>
          <t>CB PROPERTY HOLDINGS LLC</t>
        </is>
      </c>
      <c r="E61" s="92" t="inlineStr">
        <is>
          <t>1087 EMERSON RD</t>
        </is>
      </c>
      <c r="F61" s="92" t="inlineStr">
        <is>
          <t>PARK HILLS</t>
        </is>
      </c>
      <c r="G61" s="92" t="inlineStr">
        <is>
          <t>KY</t>
        </is>
      </c>
      <c r="H61" s="92" t="inlineStr">
        <is>
          <t>OTHER RETAIL</t>
        </is>
      </c>
      <c r="I61" s="93" t="n">
        <v>14808</v>
      </c>
      <c r="J61" s="94">
        <f>I61/43560</f>
        <v/>
      </c>
      <c r="K61" s="93" t="n">
        <v>555.7</v>
      </c>
      <c r="L61" s="95">
        <f>I61/(K61^2)</f>
        <v/>
      </c>
      <c r="M61" s="92" t="inlineStr">
        <is>
          <t>Near 14-18k/32-45k</t>
        </is>
      </c>
      <c r="N61" s="92" t="inlineStr">
        <is>
          <t>C</t>
        </is>
      </c>
      <c r="O61" s="92" t="inlineStr">
        <is>
          <t>Regular .045-.055</t>
        </is>
      </c>
      <c r="P61" s="92" t="inlineStr">
        <is>
          <t>Low</t>
        </is>
      </c>
      <c r="Q61" s="92" t="inlineStr">
        <is>
          <t>Out-of-city KY</t>
        </is>
      </c>
      <c r="R61" s="92" t="inlineStr">
        <is>
          <t>Passive vehicle</t>
        </is>
      </c>
      <c r="S61" s="92" t="n">
        <v>1</v>
      </c>
      <c r="T61" s="96">
        <f>INDEX('Scoring Method'!$B$6:$B$9,MATCH(M61,'Scoring Method'!$A$6:$A$9,0))+INDEX('Scoring Method'!$B$12:$B$16,MATCH(N61,'Scoring Method'!$A$12:$A$16,0))+INDEX('Scoring Method'!$B$19:$B$22,MATCH(O61,'Scoring Method'!$A$19:$A$22,0))+INDEX('Scoring Method'!$B$25:$B$27,MATCH(P61,'Scoring Method'!$A$25:$A$27,0))</f>
        <v/>
      </c>
      <c r="U61" s="96">
        <f>(INDEX('Scoring Method'!$B$30:$B$33,MATCH(Q61,'Scoring Method'!$A$30:$A$33,0))+INDEX('Scoring Method'!$B$36:$B$42,MATCH(R61,'Scoring Method'!$A$36:$A$42,0))+INDEX('Scoring Method'!$B$45:$B$47,MATCH(IF(S61=1,"1",IF(S61=2,"2","3+")),'Scoring Method'!$A$45:$A$47,0)))/90*100</f>
        <v/>
      </c>
      <c r="V61" s="96">
        <f>T61*U61/100</f>
        <v/>
      </c>
      <c r="W61" s="93" t="n">
        <v>13084</v>
      </c>
      <c r="X61" s="92" t="inlineStr">
        <is>
          <t>X (minimal hazard)</t>
        </is>
      </c>
      <c r="Y61" s="93" t="n">
        <v>6100</v>
      </c>
      <c r="Z61" s="97">
        <f>W61/I61</f>
        <v/>
      </c>
      <c r="AA61" s="98">
        <f>MAX(0,(Y61-5000)/300)</f>
        <v/>
      </c>
      <c r="AB61" s="92" t="n"/>
      <c r="AC61" s="92" t="n">
        <v>0.34</v>
      </c>
      <c r="AD61" s="92" t="inlineStr">
        <is>
          <t>ok</t>
        </is>
      </c>
      <c r="AE61" s="92" t="inlineStr">
        <is>
          <t>Far oversize &gt;12k</t>
        </is>
      </c>
      <c r="AF61" s="96">
        <f>INDEX('Scoring Method'!$B$63:$B$71,MATCH(AE61,'Scoring Method'!$A$63:$A$71,0))+INDEX('Scoring Method'!$B$75:$B$79,MATCH("Adequate 5-8k",'Scoring Method'!$A$75:$A$79,0))+INDEX('Scoring Method'!$B$343:$B$347,MATCH(X61,'Scoring Method'!$A$343:$A$347,0))+INDEX('Scoring Method'!$B$25:$B$27,MATCH(P61,'Scoring Method'!$A$25:$A$27,0))</f>
        <v/>
      </c>
      <c r="AG61" s="96">
        <f>AF61*U61/100</f>
        <v/>
      </c>
      <c r="AH61" s="92" t="inlineStr">
        <is>
          <t>LINK-GIS + LoopNet</t>
        </is>
      </c>
      <c r="AI61" s="99" t="n">
        <v>39.07722</v>
      </c>
      <c r="AJ61" s="99" t="n">
        <v>-84.51867</v>
      </c>
      <c r="AK61" s="94" t="n">
        <v>0.5</v>
      </c>
      <c r="AL61" s="94" t="n">
        <v>1.09</v>
      </c>
      <c r="AM61" s="94" t="n">
        <v>1.71</v>
      </c>
      <c r="AN61" s="94" t="n">
        <v>0.5</v>
      </c>
      <c r="AO61" s="92" t="inlineStr">
        <is>
          <t>Near 0.35-0.75mi</t>
        </is>
      </c>
      <c r="AP61" s="92" t="inlineStr">
        <is>
          <t>Retail shell</t>
        </is>
      </c>
      <c r="AQ61" s="92" t="inlineStr">
        <is>
          <t>Adequate 5-8k</t>
        </is>
      </c>
      <c r="AR61" s="100" t="n"/>
      <c r="AS61" s="96">
        <f>ROUND(INDEX('Scoring Method'!$B$63:$B$70,MATCH(AE61,'Scoring Method'!$A$63:$A$70,0))*0.625+INDEX('Scoring Method'!$B$105:$B$113,MATCH(AP61,'Scoring Method'!$A$105:$A$113,0))+INDEX('Scoring Method'!$B$74:$B$78,MATCH(AQ61,'Scoring Method'!$A$74:$A$78,0))*0.6667+INDEX('Scoring Method'!$B$96:$B$101,MATCH(AO61,'Scoring Method'!$A$96:$A$101,0))+INDEX('Scoring Method'!$B$343:$B$347,MATCH(X61,'Scoring Method'!$A$343:$A$347,0))*0.3333+INDEX('Scoring Method'!$B$25:$B$27,MATCH(P61,'Scoring Method'!$A$25:$A$27,0))*0.3333,1)</f>
        <v/>
      </c>
      <c r="AT61" s="96">
        <f>AS61*U61/100</f>
        <v/>
      </c>
      <c r="AU61" s="92" t="inlineStr">
        <is>
          <t>Old Seminary Square</t>
        </is>
      </c>
      <c r="AV61" s="92" t="n">
        <v>35</v>
      </c>
      <c r="AW61" s="101" t="inlineStr">
        <is>
          <t>ESTIMATED</t>
        </is>
      </c>
      <c r="AX61" s="92" t="inlineStr">
        <is>
          <t>Elevated 35-44</t>
        </is>
      </c>
      <c r="AY61" s="96">
        <f>ROUND(INDEX('Scoring Method'!$B$132:$B$140,MATCH(AE61,'Scoring Method'!$A$132:$A$140,0))+INDEX('Scoring Method'!$B$144:$B$152,MATCH(AP61,'Scoring Method'!$A$144:$A$152,0))+INDEX('Scoring Method'!$B$156:$B$160,MATCH(AQ61,'Scoring Method'!$A$156:$A$160,0))+INDEX('Scoring Method'!$B$164:$B$169,MATCH(AO61,'Scoring Method'!$A$164:$A$169,0))+INDEX('Scoring Method'!$B$173:$B$178,MATCH(AX61,'Scoring Method'!$A$173:$A$178,0))+INDEX('Scoring Method'!$B$349:$B$353,MATCH(X61,'Scoring Method'!$A$349:$A$353,0))+INDEX('Scoring Method'!$B$188:$B$190,MATCH(P61,'Scoring Method'!$A$188:$A$190,0)),1)</f>
        <v/>
      </c>
      <c r="AZ61" s="96">
        <f>AY61*U61/100</f>
        <v/>
      </c>
      <c r="BA61" s="92" t="inlineStr">
        <is>
          <t>No chain signal</t>
        </is>
      </c>
      <c r="BB61" s="94" t="n">
        <v>1</v>
      </c>
      <c r="BC61" s="102" t="inlineStr">
        <is>
          <t>Small 0.25-0.35 AC</t>
        </is>
      </c>
      <c r="BD61" s="94" t="n">
        <v>0.9</v>
      </c>
      <c r="BE61" s="96">
        <f>ROUND(INDEX('Scoring Method'!$B$268:$B$276,MATCH(AE61,'Scoring Method'!$A$268:$A$276,0))+INDEX('Scoring Method'!$B$280:$B$288,MATCH(AP61,'Scoring Method'!$A$280:$A$288,0))+INDEX('Scoring Method'!$B$292:$B$296,MATCH(AQ61,'Scoring Method'!$A$292:$A$296,0))+INDEX('Scoring Method'!$B$300:$B$305,MATCH(AO61,'Scoring Method'!$A$300:$A$305,0))+INDEX('Scoring Method'!$B$309:$B$314,MATCH(AX61,'Scoring Method'!$A$309:$A$314,0))+INDEX('Scoring Method'!$B$337:$B$341,MATCH(X61,'Scoring Method'!$A$337:$A$341,0))+INDEX('Scoring Method'!$B$324:$B$326,MATCH(P61,'Scoring Method'!$A$324:$A$326,0)),1)</f>
        <v/>
      </c>
      <c r="BF61" s="96">
        <f>ROUND(INDEX('Scoring Method'!$B$268:$B$276,MATCH(AE61,'Scoring Method'!$A$268:$A$276,0))*BB61*BD61+INDEX('Scoring Method'!$B$280:$B$288,MATCH(AP61,'Scoring Method'!$A$280:$A$288,0))*BM61*BB61*BD61+INDEX('Scoring Method'!$B$292:$B$296,MATCH(AQ61,'Scoring Method'!$A$292:$A$296,0))*BD61+INDEX('Scoring Method'!$B$300:$B$305,MATCH(AO61,'Scoring Method'!$A$300:$A$305,0))*BM61*BB61+INDEX('Scoring Method'!$B$309:$B$314,MATCH(AX61,'Scoring Method'!$A$309:$A$314,0))+INDEX('Scoring Method'!$B$337:$B$341,MATCH(X61,'Scoring Method'!$A$337:$A$341,0))+INDEX('Scoring Method'!$B$324:$B$326,MATCH(P61,'Scoring Method'!$A$324:$A$326,0)),1)</f>
        <v/>
      </c>
      <c r="BG61" s="102" t="inlineStr">
        <is>
          <t>Over (~$11,994/mo)</t>
        </is>
      </c>
      <c r="BH61" s="61" t="inlineStr">
        <is>
          <t>TUMU (TS)</t>
        </is>
      </c>
      <c r="BI61" s="61" t="inlineStr">
        <is>
          <t>Traditional Urban Mixed Use</t>
        </is>
      </c>
      <c r="BJ61" s="61" t="inlineStr"/>
      <c r="BK61" s="61" t="inlineStr">
        <is>
          <t>Yes</t>
        </is>
      </c>
      <c r="BL61" s="61" t="inlineStr">
        <is>
          <t>Bar permitted</t>
        </is>
      </c>
      <c r="BM61" s="61">
        <f>INDEX('Scoring Method'!$B$358:$B$363,MATCH(BL61,'Scoring Method'!$A$358:$A$363,0))</f>
        <v/>
      </c>
    </row>
    <row r="62" ht="15" customHeight="1" s="62">
      <c r="A62" s="92" t="n">
        <v>61</v>
      </c>
      <c r="B62" s="92" t="inlineStr">
        <is>
          <t>055-14-10-001.00</t>
        </is>
      </c>
      <c r="C62" s="92" t="inlineStr">
        <is>
          <t>24 SHALER ST</t>
        </is>
      </c>
      <c r="D62" s="92" t="inlineStr">
        <is>
          <t>MAL ENTERPRISES LLC</t>
        </is>
      </c>
      <c r="E62" s="92" t="inlineStr">
        <is>
          <t>3238 MADISON PK</t>
        </is>
      </c>
      <c r="F62" s="92" t="inlineStr">
        <is>
          <t>COVINGTON</t>
        </is>
      </c>
      <c r="G62" s="92" t="inlineStr">
        <is>
          <t>KY</t>
        </is>
      </c>
      <c r="H62" s="92" t="inlineStr">
        <is>
          <t>AUTO SERVICE/REPAIR</t>
        </is>
      </c>
      <c r="I62" s="93" t="n">
        <v>34407</v>
      </c>
      <c r="J62" s="94">
        <f>I62/43560</f>
        <v/>
      </c>
      <c r="K62" s="93" t="n">
        <v>779.3</v>
      </c>
      <c r="L62" s="95">
        <f>I62/(K62^2)</f>
        <v/>
      </c>
      <c r="M62" s="92" t="inlineStr">
        <is>
          <t>Near 14-18k/32-45k</t>
        </is>
      </c>
      <c r="N62" s="92" t="inlineStr">
        <is>
          <t>A</t>
        </is>
      </c>
      <c r="O62" s="92" t="inlineStr">
        <is>
          <t>Compact &gt;=.055</t>
        </is>
      </c>
      <c r="P62" s="92" t="inlineStr">
        <is>
          <t>Moderate</t>
        </is>
      </c>
      <c r="Q62" s="92" t="inlineStr">
        <is>
          <t>Local absentee</t>
        </is>
      </c>
      <c r="R62" s="92" t="inlineStr">
        <is>
          <t>Passive vehicle</t>
        </is>
      </c>
      <c r="S62" s="92" t="n">
        <v>1</v>
      </c>
      <c r="T62" s="96">
        <f>INDEX('Scoring Method'!$B$6:$B$9,MATCH(M62,'Scoring Method'!$A$6:$A$9,0))+INDEX('Scoring Method'!$B$12:$B$16,MATCH(N62,'Scoring Method'!$A$12:$A$16,0))+INDEX('Scoring Method'!$B$19:$B$22,MATCH(O62,'Scoring Method'!$A$19:$A$22,0))+INDEX('Scoring Method'!$B$25:$B$27,MATCH(P62,'Scoring Method'!$A$25:$A$27,0))</f>
        <v/>
      </c>
      <c r="U62" s="96">
        <f>(INDEX('Scoring Method'!$B$30:$B$33,MATCH(Q62,'Scoring Method'!$A$30:$A$33,0))+INDEX('Scoring Method'!$B$36:$B$42,MATCH(R62,'Scoring Method'!$A$36:$A$42,0))+INDEX('Scoring Method'!$B$45:$B$47,MATCH(IF(S62=1,"1",IF(S62=2,"2","3+")),'Scoring Method'!$A$45:$A$47,0)))/90*100</f>
        <v/>
      </c>
      <c r="V62" s="96">
        <f>T62*U62/100</f>
        <v/>
      </c>
      <c r="W62" s="93" t="n">
        <v>15800</v>
      </c>
      <c r="X62" s="92" t="inlineStr">
        <is>
          <t>X (minimal hazard)</t>
        </is>
      </c>
      <c r="Y62" s="93" t="n">
        <v>17800</v>
      </c>
      <c r="Z62" s="97">
        <f>W62/I62</f>
        <v/>
      </c>
      <c r="AA62" s="98">
        <f>MAX(0,(Y62-5000)/300)</f>
        <v/>
      </c>
      <c r="AB62" s="92" t="n"/>
      <c r="AC62" s="92" t="n">
        <v>0.79</v>
      </c>
      <c r="AD62" s="92" t="inlineStr">
        <is>
          <t>ok</t>
        </is>
      </c>
      <c r="AE62" s="92" t="inlineStr">
        <is>
          <t>Far oversize &gt;12k</t>
        </is>
      </c>
      <c r="AF62" s="96">
        <f>INDEX('Scoring Method'!$B$63:$B$71,MATCH(AE62,'Scoring Method'!$A$63:$A$71,0))+INDEX('Scoring Method'!$B$75:$B$79,MATCH("Ample &gt;=15k",'Scoring Method'!$A$75:$A$79,0))+INDEX('Scoring Method'!$B$343:$B$347,MATCH(X62,'Scoring Method'!$A$343:$A$347,0))+INDEX('Scoring Method'!$B$25:$B$27,MATCH(P62,'Scoring Method'!$A$25:$A$27,0))</f>
        <v/>
      </c>
      <c r="AG62" s="96">
        <f>AF62*U62/100</f>
        <v/>
      </c>
      <c r="AH62" s="92" t="inlineStr">
        <is>
          <t>LINK-GIS + LoopNet</t>
        </is>
      </c>
      <c r="AI62" s="99" t="n">
        <v>39.06895</v>
      </c>
      <c r="AJ62" s="99" t="n">
        <v>-84.50709999999999</v>
      </c>
      <c r="AK62" s="94" t="n">
        <v>1.21</v>
      </c>
      <c r="AL62" s="94" t="n">
        <v>1.51</v>
      </c>
      <c r="AM62" s="94" t="n">
        <v>2.27</v>
      </c>
      <c r="AN62" s="94" t="n">
        <v>1.06</v>
      </c>
      <c r="AO62" s="92" t="inlineStr">
        <is>
          <t>Fringe 0.75-1.25mi</t>
        </is>
      </c>
      <c r="AP62" s="92" t="inlineStr">
        <is>
          <t>Open span</t>
        </is>
      </c>
      <c r="AQ62" s="92" t="inlineStr">
        <is>
          <t>Ample &gt;=15k</t>
        </is>
      </c>
      <c r="AR62" s="100" t="n"/>
      <c r="AS62" s="96">
        <f>ROUND(INDEX('Scoring Method'!$B$63:$B$70,MATCH(AE62,'Scoring Method'!$A$63:$A$70,0))*0.625+INDEX('Scoring Method'!$B$105:$B$113,MATCH(AP62,'Scoring Method'!$A$105:$A$113,0))+INDEX('Scoring Method'!$B$74:$B$78,MATCH(AQ62,'Scoring Method'!$A$74:$A$78,0))*0.6667+INDEX('Scoring Method'!$B$96:$B$101,MATCH(AO62,'Scoring Method'!$A$96:$A$101,0))+INDEX('Scoring Method'!$B$343:$B$347,MATCH(X62,'Scoring Method'!$A$343:$A$347,0))*0.3333+INDEX('Scoring Method'!$B$25:$B$27,MATCH(P62,'Scoring Method'!$A$25:$A$27,0))*0.3333,1)</f>
        <v/>
      </c>
      <c r="AT62" s="96">
        <f>AS62*U62/100</f>
        <v/>
      </c>
      <c r="AU62" s="92" t="inlineStr">
        <is>
          <t>Levassor Park</t>
        </is>
      </c>
      <c r="AV62" s="92" t="n">
        <v>42</v>
      </c>
      <c r="AW62" s="101" t="inlineStr">
        <is>
          <t>ESTIMATED</t>
        </is>
      </c>
      <c r="AX62" s="92" t="inlineStr">
        <is>
          <t>Elevated 35-44</t>
        </is>
      </c>
      <c r="AY62" s="96">
        <f>ROUND(INDEX('Scoring Method'!$B$132:$B$140,MATCH(AE62,'Scoring Method'!$A$132:$A$140,0))+INDEX('Scoring Method'!$B$144:$B$152,MATCH(AP62,'Scoring Method'!$A$144:$A$152,0))+INDEX('Scoring Method'!$B$156:$B$160,MATCH(AQ62,'Scoring Method'!$A$156:$A$160,0))+INDEX('Scoring Method'!$B$164:$B$169,MATCH(AO62,'Scoring Method'!$A$164:$A$169,0))+INDEX('Scoring Method'!$B$173:$B$178,MATCH(AX62,'Scoring Method'!$A$173:$A$178,0))+INDEX('Scoring Method'!$B$349:$B$353,MATCH(X62,'Scoring Method'!$A$349:$A$353,0))+INDEX('Scoring Method'!$B$188:$B$190,MATCH(P62,'Scoring Method'!$A$188:$A$190,0)),1)</f>
        <v/>
      </c>
      <c r="AZ62" s="96">
        <f>AY62*U62/100</f>
        <v/>
      </c>
      <c r="BA62" s="92" t="inlineStr">
        <is>
          <t>No chain signal</t>
        </is>
      </c>
      <c r="BB62" s="94" t="n">
        <v>1</v>
      </c>
      <c r="BC62" s="102" t="inlineStr">
        <is>
          <t>Large 0.75-1.25 AC</t>
        </is>
      </c>
      <c r="BD62" s="94" t="n">
        <v>0.9</v>
      </c>
      <c r="BE62" s="96">
        <f>ROUND(INDEX('Scoring Method'!$B$268:$B$276,MATCH(AE62,'Scoring Method'!$A$268:$A$276,0))+INDEX('Scoring Method'!$B$280:$B$288,MATCH(AP62,'Scoring Method'!$A$280:$A$288,0))+INDEX('Scoring Method'!$B$292:$B$296,MATCH(AQ62,'Scoring Method'!$A$292:$A$296,0))+INDEX('Scoring Method'!$B$300:$B$305,MATCH(AO62,'Scoring Method'!$A$300:$A$305,0))+INDEX('Scoring Method'!$B$309:$B$314,MATCH(AX62,'Scoring Method'!$A$309:$A$314,0))+INDEX('Scoring Method'!$B$337:$B$341,MATCH(X62,'Scoring Method'!$A$337:$A$341,0))+INDEX('Scoring Method'!$B$324:$B$326,MATCH(P62,'Scoring Method'!$A$324:$A$326,0)),1)</f>
        <v/>
      </c>
      <c r="BF62" s="96">
        <f>ROUND(INDEX('Scoring Method'!$B$268:$B$276,MATCH(AE62,'Scoring Method'!$A$268:$A$276,0))*BB62*BD62+INDEX('Scoring Method'!$B$280:$B$288,MATCH(AP62,'Scoring Method'!$A$280:$A$288,0))*BM62*BB62*BD62+INDEX('Scoring Method'!$B$292:$B$296,MATCH(AQ62,'Scoring Method'!$A$292:$A$296,0))*BD62+INDEX('Scoring Method'!$B$300:$B$305,MATCH(AO62,'Scoring Method'!$A$300:$A$305,0))*BM62*BB62+INDEX('Scoring Method'!$B$309:$B$314,MATCH(AX62,'Scoring Method'!$A$309:$A$314,0))+INDEX('Scoring Method'!$B$337:$B$341,MATCH(X62,'Scoring Method'!$A$337:$A$341,0))+INDEX('Scoring Method'!$B$324:$B$326,MATCH(P62,'Scoring Method'!$A$324:$A$326,0)),1)</f>
        <v/>
      </c>
      <c r="BG62" s="102" t="inlineStr">
        <is>
          <t>Over (~$14,483/mo)</t>
        </is>
      </c>
      <c r="BH62" s="61" t="inlineStr">
        <is>
          <t>LI</t>
        </is>
      </c>
      <c r="BI62" s="61" t="inlineStr">
        <is>
          <t>Limited Industrial</t>
        </is>
      </c>
      <c r="BJ62" s="61" t="inlineStr"/>
      <c r="BK62" s="61" t="inlineStr"/>
      <c r="BL62" s="61" t="inlineStr">
        <is>
          <t>Bar prohibited, alt-path</t>
        </is>
      </c>
      <c r="BM62" s="61">
        <f>INDEX('Scoring Method'!$B$358:$B$363,MATCH(BL62,'Scoring Method'!$A$358:$A$363,0))</f>
        <v/>
      </c>
    </row>
    <row r="63" ht="15" customHeight="1" s="62">
      <c r="A63" s="92" t="n">
        <v>62</v>
      </c>
      <c r="B63" s="92" t="inlineStr">
        <is>
          <t>054-22-08-001.00</t>
        </is>
      </c>
      <c r="C63" s="92" t="inlineStr">
        <is>
          <t>437 W PIKE ST</t>
        </is>
      </c>
      <c r="D63" s="92" t="inlineStr">
        <is>
          <t>COVINGTON TURNER SOCIETY INC</t>
        </is>
      </c>
      <c r="E63" s="92" t="inlineStr">
        <is>
          <t>447 PIKE ST</t>
        </is>
      </c>
      <c r="F63" s="92" t="inlineStr">
        <is>
          <t>COVINGTON</t>
        </is>
      </c>
      <c r="G63" s="92" t="inlineStr">
        <is>
          <t>KY</t>
        </is>
      </c>
      <c r="H63" s="92" t="inlineStr">
        <is>
          <t>PAVED LOT</t>
        </is>
      </c>
      <c r="I63" s="93" t="n">
        <v>22660</v>
      </c>
      <c r="J63" s="94">
        <f>I63/43560</f>
        <v/>
      </c>
      <c r="K63" s="93" t="n">
        <v>691.8</v>
      </c>
      <c r="L63" s="95">
        <f>I63/(K63^2)</f>
        <v/>
      </c>
      <c r="M63" s="92" t="inlineStr">
        <is>
          <t>Ideal 18-32k</t>
        </is>
      </c>
      <c r="N63" s="92" t="inlineStr">
        <is>
          <t>D</t>
        </is>
      </c>
      <c r="O63" s="92" t="inlineStr">
        <is>
          <t>Regular .045-.055</t>
        </is>
      </c>
      <c r="P63" s="92" t="inlineStr">
        <is>
          <t>Low</t>
        </is>
      </c>
      <c r="Q63" s="92" t="inlineStr">
        <is>
          <t>Local absentee</t>
        </is>
      </c>
      <c r="R63" s="92" t="inlineStr">
        <is>
          <t>Fraternal/Club</t>
        </is>
      </c>
      <c r="S63" s="92" t="n">
        <v>2</v>
      </c>
      <c r="T63" s="96">
        <f>INDEX('Scoring Method'!$B$6:$B$9,MATCH(M63,'Scoring Method'!$A$6:$A$9,0))+INDEX('Scoring Method'!$B$12:$B$16,MATCH(N63,'Scoring Method'!$A$12:$A$16,0))+INDEX('Scoring Method'!$B$19:$B$22,MATCH(O63,'Scoring Method'!$A$19:$A$22,0))+INDEX('Scoring Method'!$B$25:$B$27,MATCH(P63,'Scoring Method'!$A$25:$A$27,0))</f>
        <v/>
      </c>
      <c r="U63" s="96">
        <f>(INDEX('Scoring Method'!$B$30:$B$33,MATCH(Q63,'Scoring Method'!$A$30:$A$33,0))+INDEX('Scoring Method'!$B$36:$B$42,MATCH(R63,'Scoring Method'!$A$36:$A$42,0))+INDEX('Scoring Method'!$B$45:$B$47,MATCH(IF(S63=1,"1",IF(S63=2,"2","3+")),'Scoring Method'!$A$45:$A$47,0)))/90*100</f>
        <v/>
      </c>
      <c r="V63" s="96">
        <f>T63*U63/100</f>
        <v/>
      </c>
      <c r="W63" s="93" t="n"/>
      <c r="X63" s="92" t="inlineStr">
        <is>
          <t>X (minimal hazard)</t>
        </is>
      </c>
      <c r="Y63" s="93" t="n">
        <v>22450</v>
      </c>
      <c r="Z63" s="97" t="n"/>
      <c r="AA63" s="98" t="n"/>
      <c r="AB63" s="92" t="n"/>
      <c r="AC63" s="92" t="n">
        <v>0.51</v>
      </c>
      <c r="AD63" s="92" t="inlineStr">
        <is>
          <t>ok</t>
        </is>
      </c>
      <c r="AE63" s="92" t="inlineStr">
        <is>
          <t>No building</t>
        </is>
      </c>
      <c r="AF63" s="96">
        <f>INDEX('Scoring Method'!$B$63:$B$71,MATCH(AE63,'Scoring Method'!$A$63:$A$71,0))+INDEX('Scoring Method'!$B$75:$B$79,MATCH("Ample &gt;=15k",'Scoring Method'!$A$75:$A$79,0))+INDEX('Scoring Method'!$B$343:$B$347,MATCH(X63,'Scoring Method'!$A$343:$A$347,0))+INDEX('Scoring Method'!$B$25:$B$27,MATCH(P63,'Scoring Method'!$A$25:$A$27,0))</f>
        <v/>
      </c>
      <c r="AG63" s="96">
        <f>AF63*U63/100</f>
        <v/>
      </c>
      <c r="AH63" s="92" t="inlineStr">
        <is>
          <t>LINK-GIS + LoopNet</t>
        </is>
      </c>
      <c r="AI63" s="99" t="n">
        <v>39.07811</v>
      </c>
      <c r="AJ63" s="99" t="n">
        <v>-84.51689</v>
      </c>
      <c r="AK63" s="94" t="n">
        <v>0.44</v>
      </c>
      <c r="AL63" s="94" t="n">
        <v>0.99</v>
      </c>
      <c r="AM63" s="94" t="n">
        <v>1.63</v>
      </c>
      <c r="AN63" s="94" t="n">
        <v>0.44</v>
      </c>
      <c r="AO63" s="92" t="inlineStr">
        <is>
          <t>Near 0.35-0.75mi</t>
        </is>
      </c>
      <c r="AP63" s="92" t="inlineStr">
        <is>
          <t>Lot / minimal bldg</t>
        </is>
      </c>
      <c r="AQ63" s="92" t="inlineStr">
        <is>
          <t>Ample &gt;=15k</t>
        </is>
      </c>
      <c r="AR63" s="100" t="n"/>
      <c r="AS63" s="96">
        <f>ROUND(INDEX('Scoring Method'!$B$63:$B$70,MATCH(AE63,'Scoring Method'!$A$63:$A$70,0))*0.625+INDEX('Scoring Method'!$B$105:$B$113,MATCH(AP63,'Scoring Method'!$A$105:$A$113,0))+INDEX('Scoring Method'!$B$74:$B$78,MATCH(AQ63,'Scoring Method'!$A$74:$A$78,0))*0.6667+INDEX('Scoring Method'!$B$96:$B$101,MATCH(AO63,'Scoring Method'!$A$96:$A$101,0))+INDEX('Scoring Method'!$B$343:$B$347,MATCH(X63,'Scoring Method'!$A$343:$A$347,0))*0.3333+INDEX('Scoring Method'!$B$25:$B$27,MATCH(P63,'Scoring Method'!$A$25:$A$27,0))*0.3333,1)</f>
        <v/>
      </c>
      <c r="AT63" s="96">
        <f>AS63*U63/100</f>
        <v/>
      </c>
      <c r="AU63" s="92" t="inlineStr">
        <is>
          <t>Old Seminary Square</t>
        </is>
      </c>
      <c r="AV63" s="92" t="n">
        <v>35</v>
      </c>
      <c r="AW63" s="101" t="inlineStr">
        <is>
          <t>ESTIMATED</t>
        </is>
      </c>
      <c r="AX63" s="92" t="inlineStr">
        <is>
          <t>Elevated 35-44</t>
        </is>
      </c>
      <c r="AY63" s="96">
        <f>ROUND(INDEX('Scoring Method'!$B$132:$B$140,MATCH(AE63,'Scoring Method'!$A$132:$A$140,0))+INDEX('Scoring Method'!$B$144:$B$152,MATCH(AP63,'Scoring Method'!$A$144:$A$152,0))+INDEX('Scoring Method'!$B$156:$B$160,MATCH(AQ63,'Scoring Method'!$A$156:$A$160,0))+INDEX('Scoring Method'!$B$164:$B$169,MATCH(AO63,'Scoring Method'!$A$164:$A$169,0))+INDEX('Scoring Method'!$B$173:$B$178,MATCH(AX63,'Scoring Method'!$A$173:$A$178,0))+INDEX('Scoring Method'!$B$349:$B$353,MATCH(X63,'Scoring Method'!$A$349:$A$353,0))+INDEX('Scoring Method'!$B$188:$B$190,MATCH(P63,'Scoring Method'!$A$188:$A$190,0)),1)</f>
        <v/>
      </c>
      <c r="AZ63" s="96">
        <f>AY63*U63/100</f>
        <v/>
      </c>
      <c r="BA63" s="92" t="inlineStr">
        <is>
          <t>No chain signal</t>
        </is>
      </c>
      <c r="BB63" s="94" t="n">
        <v>1</v>
      </c>
      <c r="BC63" s="92" t="inlineStr">
        <is>
          <t>Right-sized 0.35-0.75 AC</t>
        </is>
      </c>
      <c r="BD63" s="94" t="n">
        <v>1</v>
      </c>
      <c r="BE63" s="96">
        <f>ROUND(INDEX('Scoring Method'!$B$268:$B$276,MATCH(AE63,'Scoring Method'!$A$268:$A$276,0))+INDEX('Scoring Method'!$B$280:$B$288,MATCH(AP63,'Scoring Method'!$A$280:$A$288,0))+INDEX('Scoring Method'!$B$292:$B$296,MATCH(AQ63,'Scoring Method'!$A$292:$A$296,0))+INDEX('Scoring Method'!$B$300:$B$305,MATCH(AO63,'Scoring Method'!$A$300:$A$305,0))+INDEX('Scoring Method'!$B$309:$B$314,MATCH(AX63,'Scoring Method'!$A$309:$A$314,0))+INDEX('Scoring Method'!$B$337:$B$341,MATCH(X63,'Scoring Method'!$A$337:$A$341,0))+INDEX('Scoring Method'!$B$324:$B$326,MATCH(P63,'Scoring Method'!$A$324:$A$326,0)),1)</f>
        <v/>
      </c>
      <c r="BF63" s="96">
        <f>ROUND(INDEX('Scoring Method'!$B$268:$B$276,MATCH(AE63,'Scoring Method'!$A$268:$A$276,0))*BB63*BD63+INDEX('Scoring Method'!$B$280:$B$288,MATCH(AP63,'Scoring Method'!$A$280:$A$288,0))*BM63*BB63*BD63+INDEX('Scoring Method'!$B$292:$B$296,MATCH(AQ63,'Scoring Method'!$A$292:$A$296,0))*BD63+INDEX('Scoring Method'!$B$300:$B$305,MATCH(AO63,'Scoring Method'!$A$300:$A$305,0))*BM63*BB63+INDEX('Scoring Method'!$B$309:$B$314,MATCH(AX63,'Scoring Method'!$A$309:$A$314,0))+INDEX('Scoring Method'!$B$337:$B$341,MATCH(X63,'Scoring Method'!$A$337:$A$341,0))+INDEX('Scoring Method'!$B$324:$B$326,MATCH(P63,'Scoring Method'!$A$324:$A$326,0)),1)</f>
        <v/>
      </c>
      <c r="BG63" s="92" t="n"/>
      <c r="BH63" s="61" t="inlineStr">
        <is>
          <t>TUMU (HP)</t>
        </is>
      </c>
      <c r="BI63" s="61" t="inlineStr">
        <is>
          <t>Traditional Urban Mixed Use</t>
        </is>
      </c>
      <c r="BJ63" s="61" t="inlineStr">
        <is>
          <t>HP</t>
        </is>
      </c>
      <c r="BK63" s="61" t="inlineStr"/>
      <c r="BL63" s="61" t="inlineStr">
        <is>
          <t>Bar permitted</t>
        </is>
      </c>
      <c r="BM63" s="61">
        <f>INDEX('Scoring Method'!$B$358:$B$363,MATCH(BL63,'Scoring Method'!$A$358:$A$363,0))</f>
        <v/>
      </c>
    </row>
    <row r="64" ht="15" customHeight="1" s="62">
      <c r="A64" s="92" t="n">
        <v>63</v>
      </c>
      <c r="B64" s="92" t="inlineStr">
        <is>
          <t>054-21-01-002.01</t>
        </is>
      </c>
      <c r="C64" s="92" t="inlineStr">
        <is>
          <t>315 W 4TH ST</t>
        </is>
      </c>
      <c r="D64" s="92" t="inlineStr">
        <is>
          <t>REGIONS BANK TRUSTEE</t>
        </is>
      </c>
      <c r="E64" s="92" t="inlineStr">
        <is>
          <t>PO BOX 13519</t>
        </is>
      </c>
      <c r="F64" s="92" t="inlineStr">
        <is>
          <t>ARLINGTON</t>
        </is>
      </c>
      <c r="G64" s="92" t="inlineStr">
        <is>
          <t>TX</t>
        </is>
      </c>
      <c r="H64" s="92" t="inlineStr">
        <is>
          <t>RETAIL OFFICE/WHSE</t>
        </is>
      </c>
      <c r="I64" s="93" t="n">
        <v>15200</v>
      </c>
      <c r="J64" s="94">
        <f>I64/43560</f>
        <v/>
      </c>
      <c r="K64" s="93" t="n">
        <v>540</v>
      </c>
      <c r="L64" s="95">
        <f>I64/(K64^2)</f>
        <v/>
      </c>
      <c r="M64" s="92" t="inlineStr">
        <is>
          <t>Near 14-18k/32-45k</t>
        </is>
      </c>
      <c r="N64" s="92" t="inlineStr">
        <is>
          <t>B</t>
        </is>
      </c>
      <c r="O64" s="92" t="inlineStr">
        <is>
          <t>Regular .045-.055</t>
        </is>
      </c>
      <c r="P64" s="92" t="inlineStr">
        <is>
          <t>Low</t>
        </is>
      </c>
      <c r="Q64" s="92" t="inlineStr">
        <is>
          <t>Out-of-state</t>
        </is>
      </c>
      <c r="R64" s="92" t="inlineStr">
        <is>
          <t>National corporate</t>
        </is>
      </c>
      <c r="S64" s="92" t="n">
        <v>2</v>
      </c>
      <c r="T64" s="96">
        <f>INDEX('Scoring Method'!$B$6:$B$9,MATCH(M64,'Scoring Method'!$A$6:$A$9,0))+INDEX('Scoring Method'!$B$12:$B$16,MATCH(N64,'Scoring Method'!$A$12:$A$16,0))+INDEX('Scoring Method'!$B$19:$B$22,MATCH(O64,'Scoring Method'!$A$19:$A$22,0))+INDEX('Scoring Method'!$B$25:$B$27,MATCH(P64,'Scoring Method'!$A$25:$A$27,0))</f>
        <v/>
      </c>
      <c r="U64" s="96">
        <f>(INDEX('Scoring Method'!$B$30:$B$33,MATCH(Q64,'Scoring Method'!$A$30:$A$33,0))+INDEX('Scoring Method'!$B$36:$B$42,MATCH(R64,'Scoring Method'!$A$36:$A$42,0))+INDEX('Scoring Method'!$B$45:$B$47,MATCH(IF(S64=1,"1",IF(S64=2,"2","3+")),'Scoring Method'!$A$45:$A$47,0)))/90*100</f>
        <v/>
      </c>
      <c r="V64" s="96">
        <f>T64*U64/100</f>
        <v/>
      </c>
      <c r="W64" s="93" t="n">
        <v>8221</v>
      </c>
      <c r="X64" s="92" t="inlineStr">
        <is>
          <t>X (minimal hazard)</t>
        </is>
      </c>
      <c r="Y64" s="93" t="n">
        <v>6000</v>
      </c>
      <c r="Z64" s="97" t="n"/>
      <c r="AA64" s="98">
        <f>MAX(0,(Y64-5000)/300)</f>
        <v/>
      </c>
      <c r="AB64" s="92" t="n"/>
      <c r="AC64" s="92" t="n"/>
      <c r="AD64" s="92" t="n"/>
      <c r="AE64" s="92" t="inlineStr">
        <is>
          <t>Oversize 6-12k</t>
        </is>
      </c>
      <c r="AF64" s="96">
        <f>INDEX('Scoring Method'!$B$63:$B$71,MATCH(AE64,'Scoring Method'!$A$63:$A$71,0))+INDEX('Scoring Method'!$B$75:$B$79,MATCH("Adequate 5-8k",'Scoring Method'!$A$75:$A$79,0))+INDEX('Scoring Method'!$B$343:$B$347,MATCH(X64,'Scoring Method'!$A$343:$A$347,0))+INDEX('Scoring Method'!$B$25:$B$27,MATCH(P64,'Scoring Method'!$A$25:$A$27,0))</f>
        <v/>
      </c>
      <c r="AG64" s="96">
        <f>AF64*U64/100</f>
        <v/>
      </c>
      <c r="AH64" s="92" t="inlineStr">
        <is>
          <t>LINK-GIS + LoopNet (2026-08-02)</t>
        </is>
      </c>
      <c r="AI64" s="99" t="n">
        <v>39.08627</v>
      </c>
      <c r="AJ64" s="99" t="n">
        <v>-84.51698</v>
      </c>
      <c r="AK64" s="94" t="n">
        <v>0.14</v>
      </c>
      <c r="AL64" s="94" t="n">
        <v>0.5600000000000001</v>
      </c>
      <c r="AM64" s="94" t="n">
        <v>1.08</v>
      </c>
      <c r="AN64" s="94" t="n">
        <v>0.14</v>
      </c>
      <c r="AO64" s="92" t="inlineStr">
        <is>
          <t>Core &lt;=0.35mi</t>
        </is>
      </c>
      <c r="AP64" s="92" t="inlineStr">
        <is>
          <t>Open span</t>
        </is>
      </c>
      <c r="AQ64" s="92" t="inlineStr">
        <is>
          <t>Adequate 5-8k</t>
        </is>
      </c>
      <c r="AR64" s="100" t="n"/>
      <c r="AS64" s="96">
        <f>ROUND(INDEX('Scoring Method'!$B$63:$B$70,MATCH(AE64,'Scoring Method'!$A$63:$A$70,0))*0.625+INDEX('Scoring Method'!$B$105:$B$113,MATCH(AP64,'Scoring Method'!$A$105:$A$113,0))+INDEX('Scoring Method'!$B$74:$B$78,MATCH(AQ64,'Scoring Method'!$A$74:$A$78,0))*0.6667+INDEX('Scoring Method'!$B$96:$B$101,MATCH(AO64,'Scoring Method'!$A$96:$A$101,0))+INDEX('Scoring Method'!$B$343:$B$347,MATCH(X64,'Scoring Method'!$A$343:$A$347,0))*0.3333+INDEX('Scoring Method'!$B$25:$B$27,MATCH(P64,'Scoring Method'!$A$25:$A$27,0))*0.3333,1)</f>
        <v/>
      </c>
      <c r="AT64" s="96">
        <f>AS64*U64/100</f>
        <v/>
      </c>
      <c r="AU64" s="92" t="inlineStr">
        <is>
          <t>Botany Hills / Riverfront West</t>
        </is>
      </c>
      <c r="AV64" s="92" t="n">
        <v>45</v>
      </c>
      <c r="AW64" s="101" t="inlineStr">
        <is>
          <t>ESTIMATED</t>
        </is>
      </c>
      <c r="AX64" s="92" t="inlineStr">
        <is>
          <t>Mixed 45-59</t>
        </is>
      </c>
      <c r="AY64" s="96">
        <f>ROUND(INDEX('Scoring Method'!$B$132:$B$140,MATCH(AE64,'Scoring Method'!$A$132:$A$140,0))+INDEX('Scoring Method'!$B$144:$B$152,MATCH(AP64,'Scoring Method'!$A$144:$A$152,0))+INDEX('Scoring Method'!$B$156:$B$160,MATCH(AQ64,'Scoring Method'!$A$156:$A$160,0))+INDEX('Scoring Method'!$B$164:$B$169,MATCH(AO64,'Scoring Method'!$A$164:$A$169,0))+INDEX('Scoring Method'!$B$173:$B$178,MATCH(AX64,'Scoring Method'!$A$173:$A$178,0))+INDEX('Scoring Method'!$B$349:$B$353,MATCH(X64,'Scoring Method'!$A$349:$A$353,0))+INDEX('Scoring Method'!$B$188:$B$190,MATCH(P64,'Scoring Method'!$A$188:$A$190,0)),1)</f>
        <v/>
      </c>
      <c r="AZ64" s="96">
        <f>AY64*U64/100</f>
        <v/>
      </c>
      <c r="BA64" s="103" t="inlineStr">
        <is>
          <t>Brand-owned / net lease</t>
        </is>
      </c>
      <c r="BB64" s="94" t="n">
        <v>0.3</v>
      </c>
      <c r="BC64" s="102" t="inlineStr">
        <is>
          <t>Small 0.25-0.35 AC</t>
        </is>
      </c>
      <c r="BD64" s="94" t="n">
        <v>0.9</v>
      </c>
      <c r="BE64" s="96">
        <f>ROUND(INDEX('Scoring Method'!$B$268:$B$276,MATCH(AE64,'Scoring Method'!$A$268:$A$276,0))+INDEX('Scoring Method'!$B$280:$B$288,MATCH(AP64,'Scoring Method'!$A$280:$A$288,0))+INDEX('Scoring Method'!$B$292:$B$296,MATCH(AQ64,'Scoring Method'!$A$292:$A$296,0))+INDEX('Scoring Method'!$B$300:$B$305,MATCH(AO64,'Scoring Method'!$A$300:$A$305,0))+INDEX('Scoring Method'!$B$309:$B$314,MATCH(AX64,'Scoring Method'!$A$309:$A$314,0))+INDEX('Scoring Method'!$B$337:$B$341,MATCH(X64,'Scoring Method'!$A$337:$A$341,0))+INDEX('Scoring Method'!$B$324:$B$326,MATCH(P64,'Scoring Method'!$A$324:$A$326,0)),1)</f>
        <v/>
      </c>
      <c r="BF64" s="96">
        <f>ROUND(INDEX('Scoring Method'!$B$268:$B$276,MATCH(AE64,'Scoring Method'!$A$268:$A$276,0))*BB64*BD64+INDEX('Scoring Method'!$B$280:$B$288,MATCH(AP64,'Scoring Method'!$A$280:$A$288,0))*BM64*BB64*BD64+INDEX('Scoring Method'!$B$292:$B$296,MATCH(AQ64,'Scoring Method'!$A$292:$A$296,0))*BD64+INDEX('Scoring Method'!$B$300:$B$305,MATCH(AO64,'Scoring Method'!$A$300:$A$305,0))*BM64*BB64+INDEX('Scoring Method'!$B$309:$B$314,MATCH(AX64,'Scoring Method'!$A$309:$A$314,0))+INDEX('Scoring Method'!$B$337:$B$341,MATCH(X64,'Scoring Method'!$A$337:$A$341,0))+INDEX('Scoring Method'!$B$324:$B$326,MATCH(P64,'Scoring Method'!$A$324:$A$326,0)),1)</f>
        <v/>
      </c>
      <c r="BG64" s="92" t="inlineStr">
        <is>
          <t>Fits (~$7,536/mo)</t>
        </is>
      </c>
      <c r="BH64" s="61" t="inlineStr">
        <is>
          <t>TUR</t>
        </is>
      </c>
      <c r="BI64" s="61" t="inlineStr">
        <is>
          <t>Traditional Urban Residential</t>
        </is>
      </c>
      <c r="BJ64" s="61" t="inlineStr"/>
      <c r="BK64" s="61" t="inlineStr"/>
      <c r="BL64" s="61" t="inlineStr">
        <is>
          <t>Bar prohibited, alt-path</t>
        </is>
      </c>
      <c r="BM64" s="61">
        <f>INDEX('Scoring Method'!$B$358:$B$363,MATCH(BL64,'Scoring Method'!$A$358:$A$363,0))</f>
        <v/>
      </c>
    </row>
    <row r="65" ht="15" customHeight="1" s="62">
      <c r="A65" s="92" t="n">
        <v>64</v>
      </c>
      <c r="B65" s="92" t="inlineStr">
        <is>
          <t>056-14-05-001.00</t>
        </is>
      </c>
      <c r="C65" s="92" t="inlineStr">
        <is>
          <t>214 W 36TH ST</t>
        </is>
      </c>
      <c r="D65" s="92" t="inlineStr">
        <is>
          <t>KENNEDY RICHARD A &amp; DEBORAH G</t>
        </is>
      </c>
      <c r="E65" s="92" t="inlineStr">
        <is>
          <t>3712 WINSTON AVE</t>
        </is>
      </c>
      <c r="F65" s="92" t="inlineStr">
        <is>
          <t>COVINGTON</t>
        </is>
      </c>
      <c r="G65" s="92" t="inlineStr">
        <is>
          <t>KY</t>
        </is>
      </c>
      <c r="H65" s="92" t="inlineStr">
        <is>
          <t>RETAIL OFFICE/WHSE</t>
        </is>
      </c>
      <c r="I65" s="93" t="n">
        <v>14048</v>
      </c>
      <c r="J65" s="94">
        <f>I65/43560</f>
        <v/>
      </c>
      <c r="K65" s="93" t="n">
        <v>553.8</v>
      </c>
      <c r="L65" s="95">
        <f>I65/(K65^2)</f>
        <v/>
      </c>
      <c r="M65" s="92" t="inlineStr">
        <is>
          <t>Near 14-18k/32-45k</t>
        </is>
      </c>
      <c r="N65" s="92" t="inlineStr">
        <is>
          <t>B</t>
        </is>
      </c>
      <c r="O65" s="92" t="inlineStr">
        <is>
          <t>Regular .045-.055</t>
        </is>
      </c>
      <c r="P65" s="92" t="inlineStr">
        <is>
          <t>Low</t>
        </is>
      </c>
      <c r="Q65" s="92" t="inlineStr">
        <is>
          <t>Local absentee</t>
        </is>
      </c>
      <c r="R65" s="92" t="inlineStr">
        <is>
          <t>Individual</t>
        </is>
      </c>
      <c r="S65" s="92" t="n">
        <v>1</v>
      </c>
      <c r="T65" s="96">
        <f>INDEX('Scoring Method'!$B$6:$B$9,MATCH(M65,'Scoring Method'!$A$6:$A$9,0))+INDEX('Scoring Method'!$B$12:$B$16,MATCH(N65,'Scoring Method'!$A$12:$A$16,0))+INDEX('Scoring Method'!$B$19:$B$22,MATCH(O65,'Scoring Method'!$A$19:$A$22,0))+INDEX('Scoring Method'!$B$25:$B$27,MATCH(P65,'Scoring Method'!$A$25:$A$27,0))</f>
        <v/>
      </c>
      <c r="U65" s="96">
        <f>(INDEX('Scoring Method'!$B$30:$B$33,MATCH(Q65,'Scoring Method'!$A$30:$A$33,0))+INDEX('Scoring Method'!$B$36:$B$42,MATCH(R65,'Scoring Method'!$A$36:$A$42,0))+INDEX('Scoring Method'!$B$45:$B$47,MATCH(IF(S65=1,"1",IF(S65=2,"2","3+")),'Scoring Method'!$A$45:$A$47,0)))/90*100</f>
        <v/>
      </c>
      <c r="V65" s="96">
        <f>T65*U65/100</f>
        <v/>
      </c>
      <c r="W65" s="93" t="n">
        <v>8350</v>
      </c>
      <c r="X65" s="92" t="inlineStr">
        <is>
          <t>X (minimal hazard)</t>
        </is>
      </c>
      <c r="Y65" s="93" t="n">
        <v>0</v>
      </c>
      <c r="Z65" s="97">
        <f>W65/I65</f>
        <v/>
      </c>
      <c r="AA65" s="98">
        <f>MAX(0,(Y65-5000)/300)</f>
        <v/>
      </c>
      <c r="AB65" s="92" t="n"/>
      <c r="AC65" s="92" t="n">
        <v>0.21</v>
      </c>
      <c r="AD65" s="102" t="inlineStr">
        <is>
          <t>CHECK</t>
        </is>
      </c>
      <c r="AE65" s="92" t="inlineStr">
        <is>
          <t>Oversize 6-12k</t>
        </is>
      </c>
      <c r="AF65" s="96">
        <f>INDEX('Scoring Method'!$B$63:$B$71,MATCH(AE65,'Scoring Method'!$A$63:$A$71,0))+INDEX('Scoring Method'!$B$75:$B$79,MATCH("Insufficient &lt;2k",'Scoring Method'!$A$75:$A$79,0))+INDEX('Scoring Method'!$B$343:$B$347,MATCH(X65,'Scoring Method'!$A$343:$A$347,0))+INDEX('Scoring Method'!$B$25:$B$27,MATCH(P65,'Scoring Method'!$A$25:$A$27,0))</f>
        <v/>
      </c>
      <c r="AG65" s="96">
        <f>AF65*U65/100</f>
        <v/>
      </c>
      <c r="AH65" s="92" t="inlineStr">
        <is>
          <t>LINK-GIS + LoopNet</t>
        </is>
      </c>
      <c r="AI65" s="99" t="n">
        <v>39.04796</v>
      </c>
      <c r="AJ65" s="99" t="n">
        <v>-84.50594</v>
      </c>
      <c r="AK65" s="94" t="n">
        <v>2.6</v>
      </c>
      <c r="AL65" s="94" t="n">
        <v>2.97</v>
      </c>
      <c r="AM65" s="94" t="n">
        <v>3.72</v>
      </c>
      <c r="AN65" s="94" t="n">
        <v>2.5</v>
      </c>
      <c r="AO65" s="92" t="inlineStr">
        <is>
          <t>Distant 2-3mi</t>
        </is>
      </c>
      <c r="AP65" s="92" t="inlineStr">
        <is>
          <t>Open span</t>
        </is>
      </c>
      <c r="AQ65" s="92" t="inlineStr">
        <is>
          <t>Insufficient &lt;2k</t>
        </is>
      </c>
      <c r="AR65" s="100" t="n"/>
      <c r="AS65" s="96">
        <f>ROUND(INDEX('Scoring Method'!$B$63:$B$70,MATCH(AE65,'Scoring Method'!$A$63:$A$70,0))*0.625+INDEX('Scoring Method'!$B$105:$B$113,MATCH(AP65,'Scoring Method'!$A$105:$A$113,0))+INDEX('Scoring Method'!$B$74:$B$78,MATCH(AQ65,'Scoring Method'!$A$74:$A$78,0))*0.6667+INDEX('Scoring Method'!$B$96:$B$101,MATCH(AO65,'Scoring Method'!$A$96:$A$101,0))+INDEX('Scoring Method'!$B$343:$B$347,MATCH(X65,'Scoring Method'!$A$343:$A$347,0))*0.3333+INDEX('Scoring Method'!$B$25:$B$27,MATCH(P65,'Scoring Method'!$A$25:$A$27,0))*0.3333,1)</f>
        <v/>
      </c>
      <c r="AT65" s="96">
        <f>AS65*U65/100</f>
        <v/>
      </c>
      <c r="AU65" s="92" t="inlineStr">
        <is>
          <t>Latonia</t>
        </is>
      </c>
      <c r="AV65" s="92" t="n">
        <v>78</v>
      </c>
      <c r="AW65" s="92" t="inlineStr">
        <is>
          <t>Sourced</t>
        </is>
      </c>
      <c r="AX65" s="92" t="inlineStr">
        <is>
          <t>Safe 70-79</t>
        </is>
      </c>
      <c r="AY65" s="96">
        <f>ROUND(INDEX('Scoring Method'!$B$132:$B$140,MATCH(AE65,'Scoring Method'!$A$132:$A$140,0))+INDEX('Scoring Method'!$B$144:$B$152,MATCH(AP65,'Scoring Method'!$A$144:$A$152,0))+INDEX('Scoring Method'!$B$156:$B$160,MATCH(AQ65,'Scoring Method'!$A$156:$A$160,0))+INDEX('Scoring Method'!$B$164:$B$169,MATCH(AO65,'Scoring Method'!$A$164:$A$169,0))+INDEX('Scoring Method'!$B$173:$B$178,MATCH(AX65,'Scoring Method'!$A$173:$A$178,0))+INDEX('Scoring Method'!$B$349:$B$353,MATCH(X65,'Scoring Method'!$A$349:$A$353,0))+INDEX('Scoring Method'!$B$188:$B$190,MATCH(P65,'Scoring Method'!$A$188:$A$190,0)),1)</f>
        <v/>
      </c>
      <c r="AZ65" s="96">
        <f>AY65*U65/100</f>
        <v/>
      </c>
      <c r="BA65" s="92" t="inlineStr">
        <is>
          <t>No chain signal</t>
        </is>
      </c>
      <c r="BB65" s="94" t="n">
        <v>1</v>
      </c>
      <c r="BC65" s="102" t="inlineStr">
        <is>
          <t>Small 0.25-0.35 AC</t>
        </is>
      </c>
      <c r="BD65" s="94" t="n">
        <v>0.9</v>
      </c>
      <c r="BE65" s="96">
        <f>ROUND(INDEX('Scoring Method'!$B$268:$B$276,MATCH(AE65,'Scoring Method'!$A$268:$A$276,0))+INDEX('Scoring Method'!$B$280:$B$288,MATCH(AP65,'Scoring Method'!$A$280:$A$288,0))+INDEX('Scoring Method'!$B$292:$B$296,MATCH(AQ65,'Scoring Method'!$A$292:$A$296,0))+INDEX('Scoring Method'!$B$300:$B$305,MATCH(AO65,'Scoring Method'!$A$300:$A$305,0))+INDEX('Scoring Method'!$B$309:$B$314,MATCH(AX65,'Scoring Method'!$A$309:$A$314,0))+INDEX('Scoring Method'!$B$337:$B$341,MATCH(X65,'Scoring Method'!$A$337:$A$341,0))+INDEX('Scoring Method'!$B$324:$B$326,MATCH(P65,'Scoring Method'!$A$324:$A$326,0)),1)</f>
        <v/>
      </c>
      <c r="BF65" s="96">
        <f>ROUND(INDEX('Scoring Method'!$B$268:$B$276,MATCH(AE65,'Scoring Method'!$A$268:$A$276,0))*BB65*BD65+INDEX('Scoring Method'!$B$280:$B$288,MATCH(AP65,'Scoring Method'!$A$280:$A$288,0))*BM65*BB65*BD65+INDEX('Scoring Method'!$B$292:$B$296,MATCH(AQ65,'Scoring Method'!$A$292:$A$296,0))*BD65+INDEX('Scoring Method'!$B$300:$B$305,MATCH(AO65,'Scoring Method'!$A$300:$A$305,0))*BM65*BB65+INDEX('Scoring Method'!$B$309:$B$314,MATCH(AX65,'Scoring Method'!$A$309:$A$314,0))+INDEX('Scoring Method'!$B$337:$B$341,MATCH(X65,'Scoring Method'!$A$337:$A$341,0))+INDEX('Scoring Method'!$B$324:$B$326,MATCH(P65,'Scoring Method'!$A$324:$A$326,0)),1)</f>
        <v/>
      </c>
      <c r="BG65" s="92" t="inlineStr">
        <is>
          <t>Fits (~$7,654/mo)</t>
        </is>
      </c>
      <c r="BH65" s="61" t="inlineStr">
        <is>
          <t>SI</t>
        </is>
      </c>
      <c r="BI65" s="61" t="inlineStr">
        <is>
          <t>Suburban Industrial</t>
        </is>
      </c>
      <c r="BJ65" s="61" t="inlineStr"/>
      <c r="BK65" s="61" t="inlineStr"/>
      <c r="BL65" s="61" t="inlineStr">
        <is>
          <t>Bar permitted</t>
        </is>
      </c>
      <c r="BM65" s="61">
        <f>INDEX('Scoring Method'!$B$358:$B$363,MATCH(BL65,'Scoring Method'!$A$358:$A$363,0))</f>
        <v/>
      </c>
    </row>
    <row r="66" ht="15" customHeight="1" s="62">
      <c r="A66" s="92" t="n">
        <v>65</v>
      </c>
      <c r="B66" s="92" t="inlineStr">
        <is>
          <t>059-20-00-008.00</t>
        </is>
      </c>
      <c r="C66" s="92" t="inlineStr">
        <is>
          <t>1446 HANDS PIKE</t>
        </is>
      </c>
      <c r="D66" s="92" t="inlineStr">
        <is>
          <t>WHITNEY DONOVAN J</t>
        </is>
      </c>
      <c r="E66" s="92" t="inlineStr">
        <is>
          <t>679 CLOVER DR</t>
        </is>
      </c>
      <c r="F66" s="92" t="inlineStr">
        <is>
          <t>COVINGTON</t>
        </is>
      </c>
      <c r="G66" s="92" t="inlineStr">
        <is>
          <t>KY</t>
        </is>
      </c>
      <c r="H66" s="92" t="inlineStr">
        <is>
          <t>MISCELLANEOUS IMPROVEMENT</t>
        </is>
      </c>
      <c r="I66" s="93" t="n">
        <v>19781</v>
      </c>
      <c r="J66" s="94">
        <f>I66/43560</f>
        <v/>
      </c>
      <c r="K66" s="93" t="n">
        <v>598.1</v>
      </c>
      <c r="L66" s="95">
        <f>I66/(K66^2)</f>
        <v/>
      </c>
      <c r="M66" s="92" t="inlineStr">
        <is>
          <t>Ideal 18-32k</t>
        </is>
      </c>
      <c r="N66" s="92" t="inlineStr">
        <is>
          <t>D</t>
        </is>
      </c>
      <c r="O66" s="92" t="inlineStr">
        <is>
          <t>Compact &gt;=.055</t>
        </is>
      </c>
      <c r="P66" s="92" t="inlineStr">
        <is>
          <t>Low</t>
        </is>
      </c>
      <c r="Q66" s="92" t="inlineStr">
        <is>
          <t>Local absentee</t>
        </is>
      </c>
      <c r="R66" s="92" t="inlineStr">
        <is>
          <t>Individual</t>
        </is>
      </c>
      <c r="S66" s="92" t="n">
        <v>1</v>
      </c>
      <c r="T66" s="96">
        <f>INDEX('Scoring Method'!$B$6:$B$9,MATCH(M66,'Scoring Method'!$A$6:$A$9,0))+INDEX('Scoring Method'!$B$12:$B$16,MATCH(N66,'Scoring Method'!$A$12:$A$16,0))+INDEX('Scoring Method'!$B$19:$B$22,MATCH(O66,'Scoring Method'!$A$19:$A$22,0))+INDEX('Scoring Method'!$B$25:$B$27,MATCH(P66,'Scoring Method'!$A$25:$A$27,0))</f>
        <v/>
      </c>
      <c r="U66" s="96">
        <f>(INDEX('Scoring Method'!$B$30:$B$33,MATCH(Q66,'Scoring Method'!$A$30:$A$33,0))+INDEX('Scoring Method'!$B$36:$B$42,MATCH(R66,'Scoring Method'!$A$36:$A$42,0))+INDEX('Scoring Method'!$B$45:$B$47,MATCH(IF(S66=1,"1",IF(S66=2,"2","3+")),'Scoring Method'!$A$45:$A$47,0)))/90*100</f>
        <v/>
      </c>
      <c r="V66" s="96">
        <f>T66*U66/100</f>
        <v/>
      </c>
      <c r="W66" s="93" t="n">
        <v>600</v>
      </c>
      <c r="X66" s="92" t="inlineStr">
        <is>
          <t>X (minimal hazard)</t>
        </is>
      </c>
      <c r="Y66" s="93" t="n">
        <v>18350</v>
      </c>
      <c r="Z66" s="97" t="n"/>
      <c r="AA66" s="98">
        <f>MAX(0,(Y66-5000)/300)</f>
        <v/>
      </c>
      <c r="AB66" s="92" t="n"/>
      <c r="AC66" s="92" t="n"/>
      <c r="AD66" s="92" t="n"/>
      <c r="AE66" s="92" t="inlineStr">
        <is>
          <t>Too small &lt;1.2k</t>
        </is>
      </c>
      <c r="AF66" s="96">
        <f>INDEX('Scoring Method'!$B$63:$B$71,MATCH(AE66,'Scoring Method'!$A$63:$A$71,0))+INDEX('Scoring Method'!$B$75:$B$79,MATCH("Ample &gt;=15k",'Scoring Method'!$A$75:$A$79,0))+INDEX('Scoring Method'!$B$343:$B$347,MATCH(X66,'Scoring Method'!$A$343:$A$347,0))+INDEX('Scoring Method'!$B$25:$B$27,MATCH(P66,'Scoring Method'!$A$25:$A$27,0))</f>
        <v/>
      </c>
      <c r="AG66" s="96">
        <f>AF66*U66/100</f>
        <v/>
      </c>
      <c r="AH66" s="92" t="inlineStr">
        <is>
          <t>LINK-GIS + LoopNet (2026-08-02)</t>
        </is>
      </c>
      <c r="AI66" s="99" t="n">
        <v>38.97506</v>
      </c>
      <c r="AJ66" s="99" t="n">
        <v>-84.50641</v>
      </c>
      <c r="AK66" s="94" t="n">
        <v>7.58</v>
      </c>
      <c r="AL66" s="94" t="n">
        <v>8</v>
      </c>
      <c r="AM66" s="94" t="n">
        <v>8.74</v>
      </c>
      <c r="AN66" s="94" t="n">
        <v>7.53</v>
      </c>
      <c r="AO66" s="92" t="inlineStr">
        <is>
          <t>Remote &gt;3mi</t>
        </is>
      </c>
      <c r="AP66" s="92" t="inlineStr">
        <is>
          <t>Lot / minimal bldg</t>
        </is>
      </c>
      <c r="AQ66" s="92" t="inlineStr">
        <is>
          <t>Ample &gt;=15k</t>
        </is>
      </c>
      <c r="AR66" s="100" t="n"/>
      <c r="AS66" s="96">
        <f>ROUND(INDEX('Scoring Method'!$B$63:$B$70,MATCH(AE66,'Scoring Method'!$A$63:$A$70,0))*0.625+INDEX('Scoring Method'!$B$105:$B$113,MATCH(AP66,'Scoring Method'!$A$105:$A$113,0))+INDEX('Scoring Method'!$B$74:$B$78,MATCH(AQ66,'Scoring Method'!$A$74:$A$78,0))*0.6667+INDEX('Scoring Method'!$B$96:$B$101,MATCH(AO66,'Scoring Method'!$A$96:$A$101,0))+INDEX('Scoring Method'!$B$343:$B$347,MATCH(X66,'Scoring Method'!$A$343:$A$347,0))*0.3333+INDEX('Scoring Method'!$B$25:$B$27,MATCH(P66,'Scoring Method'!$A$25:$A$27,0))*0.3333,1)</f>
        <v/>
      </c>
      <c r="AT66" s="96">
        <f>AS66*U66/100</f>
        <v/>
      </c>
      <c r="AU66" s="92" t="inlineStr">
        <is>
          <t>South Covington</t>
        </is>
      </c>
      <c r="AV66" s="92" t="n">
        <v>88</v>
      </c>
      <c r="AW66" s="92" t="inlineStr">
        <is>
          <t>Sourced</t>
        </is>
      </c>
      <c r="AX66" s="92" t="inlineStr">
        <is>
          <t>Very safe 80+</t>
        </is>
      </c>
      <c r="AY66" s="96">
        <f>ROUND(INDEX('Scoring Method'!$B$132:$B$140,MATCH(AE66,'Scoring Method'!$A$132:$A$140,0))+INDEX('Scoring Method'!$B$144:$B$152,MATCH(AP66,'Scoring Method'!$A$144:$A$152,0))+INDEX('Scoring Method'!$B$156:$B$160,MATCH(AQ66,'Scoring Method'!$A$156:$A$160,0))+INDEX('Scoring Method'!$B$164:$B$169,MATCH(AO66,'Scoring Method'!$A$164:$A$169,0))+INDEX('Scoring Method'!$B$173:$B$178,MATCH(AX66,'Scoring Method'!$A$173:$A$178,0))+INDEX('Scoring Method'!$B$349:$B$353,MATCH(X66,'Scoring Method'!$A$349:$A$353,0))+INDEX('Scoring Method'!$B$188:$B$190,MATCH(P66,'Scoring Method'!$A$188:$A$190,0)),1)</f>
        <v/>
      </c>
      <c r="AZ66" s="96">
        <f>AY66*U66/100</f>
        <v/>
      </c>
      <c r="BA66" s="92" t="inlineStr">
        <is>
          <t>No chain signal</t>
        </is>
      </c>
      <c r="BB66" s="94" t="n">
        <v>1</v>
      </c>
      <c r="BC66" s="92" t="inlineStr">
        <is>
          <t>Right-sized 0.35-0.75 AC</t>
        </is>
      </c>
      <c r="BD66" s="94" t="n">
        <v>1</v>
      </c>
      <c r="BE66" s="96">
        <f>ROUND(INDEX('Scoring Method'!$B$268:$B$276,MATCH(AE66,'Scoring Method'!$A$268:$A$276,0))+INDEX('Scoring Method'!$B$280:$B$288,MATCH(AP66,'Scoring Method'!$A$280:$A$288,0))+INDEX('Scoring Method'!$B$292:$B$296,MATCH(AQ66,'Scoring Method'!$A$292:$A$296,0))+INDEX('Scoring Method'!$B$300:$B$305,MATCH(AO66,'Scoring Method'!$A$300:$A$305,0))+INDEX('Scoring Method'!$B$309:$B$314,MATCH(AX66,'Scoring Method'!$A$309:$A$314,0))+INDEX('Scoring Method'!$B$337:$B$341,MATCH(X66,'Scoring Method'!$A$337:$A$341,0))+INDEX('Scoring Method'!$B$324:$B$326,MATCH(P66,'Scoring Method'!$A$324:$A$326,0)),1)</f>
        <v/>
      </c>
      <c r="BF66" s="96">
        <f>ROUND(INDEX('Scoring Method'!$B$268:$B$276,MATCH(AE66,'Scoring Method'!$A$268:$A$276,0))*BB66*BD66+INDEX('Scoring Method'!$B$280:$B$288,MATCH(AP66,'Scoring Method'!$A$280:$A$288,0))*BM66*BB66*BD66+INDEX('Scoring Method'!$B$292:$B$296,MATCH(AQ66,'Scoring Method'!$A$292:$A$296,0))*BD66+INDEX('Scoring Method'!$B$300:$B$305,MATCH(AO66,'Scoring Method'!$A$300:$A$305,0))*BM66*BB66+INDEX('Scoring Method'!$B$309:$B$314,MATCH(AX66,'Scoring Method'!$A$309:$A$314,0))+INDEX('Scoring Method'!$B$337:$B$341,MATCH(X66,'Scoring Method'!$A$337:$A$341,0))+INDEX('Scoring Method'!$B$324:$B$326,MATCH(P66,'Scoring Method'!$A$324:$A$326,0)),1)</f>
        <v/>
      </c>
      <c r="BG66" s="92" t="inlineStr">
        <is>
          <t>Fits (~$550/mo)</t>
        </is>
      </c>
      <c r="BH66" s="61" t="inlineStr">
        <is>
          <t>SR</t>
        </is>
      </c>
      <c r="BI66" s="61" t="inlineStr">
        <is>
          <t>Suburban Residential</t>
        </is>
      </c>
      <c r="BJ66" s="61" t="inlineStr"/>
      <c r="BK66" s="61" t="inlineStr"/>
      <c r="BL66" s="61" t="inlineStr">
        <is>
          <t>No path</t>
        </is>
      </c>
      <c r="BM66" s="61">
        <f>INDEX('Scoring Method'!$B$358:$B$363,MATCH(BL66,'Scoring Method'!$A$358:$A$363,0))</f>
        <v/>
      </c>
    </row>
    <row r="67" ht="15" customHeight="1" s="62">
      <c r="A67" s="92" t="n">
        <v>66</v>
      </c>
      <c r="B67" s="92" t="inlineStr">
        <is>
          <t>055-14-11-010.00</t>
        </is>
      </c>
      <c r="C67" s="92" t="inlineStr">
        <is>
          <t>20 W 19TH ST</t>
        </is>
      </c>
      <c r="D67" s="92" t="inlineStr">
        <is>
          <t>GOULD DENNIS P &amp; BETTY J</t>
        </is>
      </c>
      <c r="E67" s="92" t="inlineStr">
        <is>
          <t>20 W 19TH ST</t>
        </is>
      </c>
      <c r="F67" s="92" t="inlineStr">
        <is>
          <t>COVINGTON</t>
        </is>
      </c>
      <c r="G67" s="92" t="inlineStr">
        <is>
          <t>KY</t>
        </is>
      </c>
      <c r="H67" s="92" t="inlineStr">
        <is>
          <t>SMALL SHOP</t>
        </is>
      </c>
      <c r="I67" s="93" t="n">
        <v>23455</v>
      </c>
      <c r="J67" s="94">
        <f>I67/43560</f>
        <v/>
      </c>
      <c r="K67" s="93" t="n">
        <v>624.6</v>
      </c>
      <c r="L67" s="95">
        <f>I67/(K67^2)</f>
        <v/>
      </c>
      <c r="M67" s="92" t="inlineStr">
        <is>
          <t>Ideal 18-32k</t>
        </is>
      </c>
      <c r="N67" s="92" t="inlineStr">
        <is>
          <t>A</t>
        </is>
      </c>
      <c r="O67" s="92" t="inlineStr">
        <is>
          <t>Compact &gt;=.055</t>
        </is>
      </c>
      <c r="P67" s="92" t="inlineStr">
        <is>
          <t>Low</t>
        </is>
      </c>
      <c r="Q67" s="92" t="inlineStr">
        <is>
          <t>Owner-occupied</t>
        </is>
      </c>
      <c r="R67" s="92" t="inlineStr">
        <is>
          <t>Individual</t>
        </is>
      </c>
      <c r="S67" s="92" t="n">
        <v>1</v>
      </c>
      <c r="T67" s="96">
        <f>INDEX('Scoring Method'!$B$6:$B$9,MATCH(M67,'Scoring Method'!$A$6:$A$9,0))+INDEX('Scoring Method'!$B$12:$B$16,MATCH(N67,'Scoring Method'!$A$12:$A$16,0))+INDEX('Scoring Method'!$B$19:$B$22,MATCH(O67,'Scoring Method'!$A$19:$A$22,0))+INDEX('Scoring Method'!$B$25:$B$27,MATCH(P67,'Scoring Method'!$A$25:$A$27,0))</f>
        <v/>
      </c>
      <c r="U67" s="96">
        <f>(INDEX('Scoring Method'!$B$30:$B$33,MATCH(Q67,'Scoring Method'!$A$30:$A$33,0))+INDEX('Scoring Method'!$B$36:$B$42,MATCH(R67,'Scoring Method'!$A$36:$A$42,0))+INDEX('Scoring Method'!$B$45:$B$47,MATCH(IF(S67=1,"1",IF(S67=2,"2","3+")),'Scoring Method'!$A$45:$A$47,0)))/90*100</f>
        <v/>
      </c>
      <c r="V67" s="96">
        <f>T67*U67/100</f>
        <v/>
      </c>
      <c r="W67" s="93" t="n">
        <v>2660</v>
      </c>
      <c r="X67" s="92" t="inlineStr">
        <is>
          <t>X (minimal hazard)</t>
        </is>
      </c>
      <c r="Y67" s="93" t="n">
        <v>19775</v>
      </c>
      <c r="Z67" s="97" t="n"/>
      <c r="AA67" s="98">
        <f>MAX(0,(Y67-5000)/300)</f>
        <v/>
      </c>
      <c r="AB67" s="92" t="n"/>
      <c r="AC67" s="92" t="n"/>
      <c r="AD67" s="92" t="n"/>
      <c r="AE67" s="92" t="inlineStr">
        <is>
          <t>Above 2.5-4k</t>
        </is>
      </c>
      <c r="AF67" s="96">
        <f>INDEX('Scoring Method'!$B$63:$B$71,MATCH(AE67,'Scoring Method'!$A$63:$A$71,0))+INDEX('Scoring Method'!$B$75:$B$79,MATCH("Ample &gt;=15k",'Scoring Method'!$A$75:$A$79,0))+INDEX('Scoring Method'!$B$343:$B$347,MATCH(X67,'Scoring Method'!$A$343:$A$347,0))+INDEX('Scoring Method'!$B$25:$B$27,MATCH(P67,'Scoring Method'!$A$25:$A$27,0))</f>
        <v/>
      </c>
      <c r="AG67" s="96">
        <f>AF67*U67/100</f>
        <v/>
      </c>
      <c r="AH67" s="92" t="inlineStr">
        <is>
          <t>LINK-GIS + LoopNet (2026-08-02)</t>
        </is>
      </c>
      <c r="AI67" s="99" t="n">
        <v>39.06802</v>
      </c>
      <c r="AJ67" s="99" t="n">
        <v>-84.50703</v>
      </c>
      <c r="AK67" s="94" t="n">
        <v>1.27</v>
      </c>
      <c r="AL67" s="94" t="n">
        <v>1.58</v>
      </c>
      <c r="AM67" s="94" t="n">
        <v>2.33</v>
      </c>
      <c r="AN67" s="94" t="n">
        <v>1.12</v>
      </c>
      <c r="AO67" s="92" t="inlineStr">
        <is>
          <t>Fringe 0.75-1.25mi</t>
        </is>
      </c>
      <c r="AP67" s="92" t="inlineStr">
        <is>
          <t>Open span</t>
        </is>
      </c>
      <c r="AQ67" s="92" t="inlineStr">
        <is>
          <t>Ample &gt;=15k</t>
        </is>
      </c>
      <c r="AR67" s="100" t="n"/>
      <c r="AS67" s="96">
        <f>ROUND(INDEX('Scoring Method'!$B$63:$B$70,MATCH(AE67,'Scoring Method'!$A$63:$A$70,0))*0.625+INDEX('Scoring Method'!$B$105:$B$113,MATCH(AP67,'Scoring Method'!$A$105:$A$113,0))+INDEX('Scoring Method'!$B$74:$B$78,MATCH(AQ67,'Scoring Method'!$A$74:$A$78,0))*0.6667+INDEX('Scoring Method'!$B$96:$B$101,MATCH(AO67,'Scoring Method'!$A$96:$A$101,0))+INDEX('Scoring Method'!$B$343:$B$347,MATCH(X67,'Scoring Method'!$A$343:$A$347,0))*0.3333+INDEX('Scoring Method'!$B$25:$B$27,MATCH(P67,'Scoring Method'!$A$25:$A$27,0))*0.3333,1)</f>
        <v/>
      </c>
      <c r="AT67" s="96">
        <f>AS67*U67/100</f>
        <v/>
      </c>
      <c r="AU67" s="92" t="inlineStr">
        <is>
          <t>Levassor Park</t>
        </is>
      </c>
      <c r="AV67" s="92" t="n">
        <v>42</v>
      </c>
      <c r="AW67" s="101" t="inlineStr">
        <is>
          <t>ESTIMATED</t>
        </is>
      </c>
      <c r="AX67" s="92" t="inlineStr">
        <is>
          <t>Elevated 35-44</t>
        </is>
      </c>
      <c r="AY67" s="96">
        <f>ROUND(INDEX('Scoring Method'!$B$132:$B$140,MATCH(AE67,'Scoring Method'!$A$132:$A$140,0))+INDEX('Scoring Method'!$B$144:$B$152,MATCH(AP67,'Scoring Method'!$A$144:$A$152,0))+INDEX('Scoring Method'!$B$156:$B$160,MATCH(AQ67,'Scoring Method'!$A$156:$A$160,0))+INDEX('Scoring Method'!$B$164:$B$169,MATCH(AO67,'Scoring Method'!$A$164:$A$169,0))+INDEX('Scoring Method'!$B$173:$B$178,MATCH(AX67,'Scoring Method'!$A$173:$A$178,0))+INDEX('Scoring Method'!$B$349:$B$353,MATCH(X67,'Scoring Method'!$A$349:$A$353,0))+INDEX('Scoring Method'!$B$188:$B$190,MATCH(P67,'Scoring Method'!$A$188:$A$190,0)),1)</f>
        <v/>
      </c>
      <c r="AZ67" s="96">
        <f>AY67*U67/100</f>
        <v/>
      </c>
      <c r="BA67" s="92" t="inlineStr">
        <is>
          <t>Owner-occupied operator</t>
        </is>
      </c>
      <c r="BB67" s="94" t="n">
        <v>0.8</v>
      </c>
      <c r="BC67" s="92" t="inlineStr">
        <is>
          <t>Right-sized 0.35-0.75 AC</t>
        </is>
      </c>
      <c r="BD67" s="94" t="n">
        <v>1</v>
      </c>
      <c r="BE67" s="96">
        <f>ROUND(INDEX('Scoring Method'!$B$268:$B$276,MATCH(AE67,'Scoring Method'!$A$268:$A$276,0))+INDEX('Scoring Method'!$B$280:$B$288,MATCH(AP67,'Scoring Method'!$A$280:$A$288,0))+INDEX('Scoring Method'!$B$292:$B$296,MATCH(AQ67,'Scoring Method'!$A$292:$A$296,0))+INDEX('Scoring Method'!$B$300:$B$305,MATCH(AO67,'Scoring Method'!$A$300:$A$305,0))+INDEX('Scoring Method'!$B$309:$B$314,MATCH(AX67,'Scoring Method'!$A$309:$A$314,0))+INDEX('Scoring Method'!$B$337:$B$341,MATCH(X67,'Scoring Method'!$A$337:$A$341,0))+INDEX('Scoring Method'!$B$324:$B$326,MATCH(P67,'Scoring Method'!$A$324:$A$326,0)),1)</f>
        <v/>
      </c>
      <c r="BF67" s="96">
        <f>ROUND(INDEX('Scoring Method'!$B$268:$B$276,MATCH(AE67,'Scoring Method'!$A$268:$A$276,0))*BB67*BD67+INDEX('Scoring Method'!$B$280:$B$288,MATCH(AP67,'Scoring Method'!$A$280:$A$288,0))*BM67*BB67*BD67+INDEX('Scoring Method'!$B$292:$B$296,MATCH(AQ67,'Scoring Method'!$A$292:$A$296,0))*BD67+INDEX('Scoring Method'!$B$300:$B$305,MATCH(AO67,'Scoring Method'!$A$300:$A$305,0))*BM67*BB67+INDEX('Scoring Method'!$B$309:$B$314,MATCH(AX67,'Scoring Method'!$A$309:$A$314,0))+INDEX('Scoring Method'!$B$337:$B$341,MATCH(X67,'Scoring Method'!$A$337:$A$341,0))+INDEX('Scoring Method'!$B$324:$B$326,MATCH(P67,'Scoring Method'!$A$324:$A$326,0)),1)</f>
        <v/>
      </c>
      <c r="BG67" s="92" t="inlineStr">
        <is>
          <t>Fits (~$2,438/mo)</t>
        </is>
      </c>
      <c r="BH67" s="61" t="inlineStr">
        <is>
          <t>LI</t>
        </is>
      </c>
      <c r="BI67" s="61" t="inlineStr">
        <is>
          <t>Limited Industrial</t>
        </is>
      </c>
      <c r="BJ67" s="61" t="inlineStr"/>
      <c r="BK67" s="61" t="inlineStr"/>
      <c r="BL67" s="61" t="inlineStr">
        <is>
          <t>Bar prohibited, alt-path</t>
        </is>
      </c>
      <c r="BM67" s="61">
        <f>INDEX('Scoring Method'!$B$358:$B$363,MATCH(BL67,'Scoring Method'!$A$358:$A$363,0))</f>
        <v/>
      </c>
    </row>
    <row r="68" ht="15" customHeight="1" s="62">
      <c r="A68" s="92" t="n">
        <v>67</v>
      </c>
      <c r="B68" s="92" t="inlineStr">
        <is>
          <t>054-21-01-012.00</t>
        </is>
      </c>
      <c r="C68" s="92" t="inlineStr">
        <is>
          <t>433 JOHNSON ST</t>
        </is>
      </c>
      <c r="D68" s="92" t="inlineStr">
        <is>
          <t>PFLP LLC</t>
        </is>
      </c>
      <c r="E68" s="92" t="inlineStr">
        <is>
          <t>7450 INDUSTRIAL RD</t>
        </is>
      </c>
      <c r="F68" s="92" t="inlineStr">
        <is>
          <t>FLORENCE</t>
        </is>
      </c>
      <c r="G68" s="92" t="inlineStr">
        <is>
          <t>KY</t>
        </is>
      </c>
      <c r="H68" s="92" t="inlineStr">
        <is>
          <t>RESTAURANT CAFE/BAR</t>
        </is>
      </c>
      <c r="I68" s="93" t="n">
        <v>43099</v>
      </c>
      <c r="J68" s="94">
        <f>I68/43560</f>
        <v/>
      </c>
      <c r="K68" s="93" t="n">
        <v>937</v>
      </c>
      <c r="L68" s="95">
        <f>I68/(K68^2)</f>
        <v/>
      </c>
      <c r="M68" s="92" t="inlineStr">
        <is>
          <t>Near 14-18k/32-45k</t>
        </is>
      </c>
      <c r="N68" s="92" t="inlineStr">
        <is>
          <t>C</t>
        </is>
      </c>
      <c r="O68" s="92" t="inlineStr">
        <is>
          <t>Regular .045-.055</t>
        </is>
      </c>
      <c r="P68" s="92" t="inlineStr">
        <is>
          <t>Low</t>
        </is>
      </c>
      <c r="Q68" s="92" t="inlineStr">
        <is>
          <t>Out-of-city KY</t>
        </is>
      </c>
      <c r="R68" s="92" t="inlineStr">
        <is>
          <t>Operating entity</t>
        </is>
      </c>
      <c r="S68" s="92" t="n">
        <v>3</v>
      </c>
      <c r="T68" s="96">
        <f>INDEX('Scoring Method'!$B$6:$B$9,MATCH(M68,'Scoring Method'!$A$6:$A$9,0))+INDEX('Scoring Method'!$B$12:$B$16,MATCH(N68,'Scoring Method'!$A$12:$A$16,0))+INDEX('Scoring Method'!$B$19:$B$22,MATCH(O68,'Scoring Method'!$A$19:$A$22,0))+INDEX('Scoring Method'!$B$25:$B$27,MATCH(P68,'Scoring Method'!$A$25:$A$27,0))</f>
        <v/>
      </c>
      <c r="U68" s="96">
        <f>(INDEX('Scoring Method'!$B$30:$B$33,MATCH(Q68,'Scoring Method'!$A$30:$A$33,0))+INDEX('Scoring Method'!$B$36:$B$42,MATCH(R68,'Scoring Method'!$A$36:$A$42,0))+INDEX('Scoring Method'!$B$45:$B$47,MATCH(IF(S68=1,"1",IF(S68=2,"2","3+")),'Scoring Method'!$A$45:$A$47,0)))/90*100</f>
        <v/>
      </c>
      <c r="V68" s="96">
        <f>T68*U68/100</f>
        <v/>
      </c>
      <c r="W68" s="93" t="n">
        <v>15500</v>
      </c>
      <c r="X68" s="92" t="inlineStr">
        <is>
          <t>X (minimal hazard)</t>
        </is>
      </c>
      <c r="Y68" s="93" t="n">
        <v>26600</v>
      </c>
      <c r="Z68" s="97">
        <f>W68/I68</f>
        <v/>
      </c>
      <c r="AA68" s="98">
        <f>MAX(0,(Y68-5000)/300)</f>
        <v/>
      </c>
      <c r="AB68" s="92" t="n"/>
      <c r="AC68" s="92" t="n">
        <v>0.98</v>
      </c>
      <c r="AD68" s="92" t="inlineStr">
        <is>
          <t>ok</t>
        </is>
      </c>
      <c r="AE68" s="92" t="inlineStr">
        <is>
          <t>Far oversize &gt;12k</t>
        </is>
      </c>
      <c r="AF68" s="96">
        <f>INDEX('Scoring Method'!$B$63:$B$71,MATCH(AE68,'Scoring Method'!$A$63:$A$71,0))+INDEX('Scoring Method'!$B$75:$B$79,MATCH("Ample &gt;=15k",'Scoring Method'!$A$75:$A$79,0))+INDEX('Scoring Method'!$B$343:$B$347,MATCH(X68,'Scoring Method'!$A$343:$A$347,0))+INDEX('Scoring Method'!$B$25:$B$27,MATCH(P68,'Scoring Method'!$A$25:$A$27,0))</f>
        <v/>
      </c>
      <c r="AG68" s="96">
        <f>AF68*U68/100</f>
        <v/>
      </c>
      <c r="AH68" s="92" t="inlineStr">
        <is>
          <t>LINK-GIS + LoopNet</t>
        </is>
      </c>
      <c r="AI68" s="99" t="n">
        <v>39.08586</v>
      </c>
      <c r="AJ68" s="99" t="n">
        <v>-84.51633</v>
      </c>
      <c r="AK68" s="94" t="n">
        <v>0.13</v>
      </c>
      <c r="AL68" s="94" t="n">
        <v>0.55</v>
      </c>
      <c r="AM68" s="94" t="n">
        <v>1.1</v>
      </c>
      <c r="AN68" s="94" t="n">
        <v>0.13</v>
      </c>
      <c r="AO68" s="92" t="inlineStr">
        <is>
          <t>Core &lt;=0.35mi</t>
        </is>
      </c>
      <c r="AP68" s="92" t="inlineStr">
        <is>
          <t>Built-out kitchen</t>
        </is>
      </c>
      <c r="AQ68" s="92" t="inlineStr">
        <is>
          <t>Ample &gt;=15k</t>
        </is>
      </c>
      <c r="AR68" s="100" t="n"/>
      <c r="AS68" s="96">
        <f>ROUND(INDEX('Scoring Method'!$B$63:$B$70,MATCH(AE68,'Scoring Method'!$A$63:$A$70,0))*0.625+INDEX('Scoring Method'!$B$105:$B$113,MATCH(AP68,'Scoring Method'!$A$105:$A$113,0))+INDEX('Scoring Method'!$B$74:$B$78,MATCH(AQ68,'Scoring Method'!$A$74:$A$78,0))*0.6667+INDEX('Scoring Method'!$B$96:$B$101,MATCH(AO68,'Scoring Method'!$A$96:$A$101,0))+INDEX('Scoring Method'!$B$343:$B$347,MATCH(X68,'Scoring Method'!$A$343:$A$347,0))*0.3333+INDEX('Scoring Method'!$B$25:$B$27,MATCH(P68,'Scoring Method'!$A$25:$A$27,0))*0.3333,1)</f>
        <v/>
      </c>
      <c r="AT68" s="96">
        <f>AS68*U68/100</f>
        <v/>
      </c>
      <c r="AU68" s="92" t="inlineStr">
        <is>
          <t>MainStrasse</t>
        </is>
      </c>
      <c r="AV68" s="92" t="n">
        <v>75</v>
      </c>
      <c r="AW68" s="92" t="inlineStr">
        <is>
          <t>Sourced</t>
        </is>
      </c>
      <c r="AX68" s="92" t="inlineStr">
        <is>
          <t>Safe 70-79</t>
        </is>
      </c>
      <c r="AY68" s="96">
        <f>ROUND(INDEX('Scoring Method'!$B$132:$B$140,MATCH(AE68,'Scoring Method'!$A$132:$A$140,0))+INDEX('Scoring Method'!$B$144:$B$152,MATCH(AP68,'Scoring Method'!$A$144:$A$152,0))+INDEX('Scoring Method'!$B$156:$B$160,MATCH(AQ68,'Scoring Method'!$A$156:$A$160,0))+INDEX('Scoring Method'!$B$164:$B$169,MATCH(AO68,'Scoring Method'!$A$164:$A$169,0))+INDEX('Scoring Method'!$B$173:$B$178,MATCH(AX68,'Scoring Method'!$A$173:$A$178,0))+INDEX('Scoring Method'!$B$349:$B$353,MATCH(X68,'Scoring Method'!$A$349:$A$353,0))+INDEX('Scoring Method'!$B$188:$B$190,MATCH(P68,'Scoring Method'!$A$188:$A$190,0)),1)</f>
        <v/>
      </c>
      <c r="AZ68" s="96">
        <f>AY68*U68/100</f>
        <v/>
      </c>
      <c r="BA68" s="92" t="inlineStr">
        <is>
          <t>No chain signal</t>
        </is>
      </c>
      <c r="BB68" s="94" t="n">
        <v>1</v>
      </c>
      <c r="BC68" s="102" t="inlineStr">
        <is>
          <t>Large 0.75-1.25 AC</t>
        </is>
      </c>
      <c r="BD68" s="94" t="n">
        <v>0.9</v>
      </c>
      <c r="BE68" s="96">
        <f>ROUND(INDEX('Scoring Method'!$B$268:$B$276,MATCH(AE68,'Scoring Method'!$A$268:$A$276,0))+INDEX('Scoring Method'!$B$280:$B$288,MATCH(AP68,'Scoring Method'!$A$280:$A$288,0))+INDEX('Scoring Method'!$B$292:$B$296,MATCH(AQ68,'Scoring Method'!$A$292:$A$296,0))+INDEX('Scoring Method'!$B$300:$B$305,MATCH(AO68,'Scoring Method'!$A$300:$A$305,0))+INDEX('Scoring Method'!$B$309:$B$314,MATCH(AX68,'Scoring Method'!$A$309:$A$314,0))+INDEX('Scoring Method'!$B$337:$B$341,MATCH(X68,'Scoring Method'!$A$337:$A$341,0))+INDEX('Scoring Method'!$B$324:$B$326,MATCH(P68,'Scoring Method'!$A$324:$A$326,0)),1)</f>
        <v/>
      </c>
      <c r="BF68" s="96">
        <f>ROUND(INDEX('Scoring Method'!$B$268:$B$276,MATCH(AE68,'Scoring Method'!$A$268:$A$276,0))*BB68*BD68+INDEX('Scoring Method'!$B$280:$B$288,MATCH(AP68,'Scoring Method'!$A$280:$A$288,0))*BM68*BB68*BD68+INDEX('Scoring Method'!$B$292:$B$296,MATCH(AQ68,'Scoring Method'!$A$292:$A$296,0))*BD68+INDEX('Scoring Method'!$B$300:$B$305,MATCH(AO68,'Scoring Method'!$A$300:$A$305,0))*BM68*BB68+INDEX('Scoring Method'!$B$309:$B$314,MATCH(AX68,'Scoring Method'!$A$309:$A$314,0))+INDEX('Scoring Method'!$B$337:$B$341,MATCH(X68,'Scoring Method'!$A$337:$A$341,0))+INDEX('Scoring Method'!$B$324:$B$326,MATCH(P68,'Scoring Method'!$A$324:$A$326,0)),1)</f>
        <v/>
      </c>
      <c r="BG68" s="102" t="inlineStr">
        <is>
          <t>Over (~$14,208/mo)</t>
        </is>
      </c>
      <c r="BH68" s="61" t="inlineStr">
        <is>
          <t>TUR</t>
        </is>
      </c>
      <c r="BI68" s="61" t="inlineStr">
        <is>
          <t>Traditional Urban Residential</t>
        </is>
      </c>
      <c r="BJ68" s="61" t="inlineStr"/>
      <c r="BK68" s="61" t="inlineStr"/>
      <c r="BL68" s="61" t="inlineStr">
        <is>
          <t>Bar prohibited, alt-path</t>
        </is>
      </c>
      <c r="BM68" s="61">
        <f>INDEX('Scoring Method'!$B$358:$B$363,MATCH(BL68,'Scoring Method'!$A$358:$A$363,0))</f>
        <v/>
      </c>
    </row>
    <row r="69" ht="15" customHeight="1" s="62">
      <c r="A69" s="92" t="n">
        <v>68</v>
      </c>
      <c r="B69" s="92" t="inlineStr">
        <is>
          <t>040-43-11-004.00</t>
        </is>
      </c>
      <c r="C69" s="92" t="inlineStr">
        <is>
          <t>409 W 4TH ST</t>
        </is>
      </c>
      <c r="D69" s="92" t="inlineStr">
        <is>
          <t>SMITH HOLDING CO INC</t>
        </is>
      </c>
      <c r="E69" s="92" t="inlineStr">
        <is>
          <t>W 5TH &amp; MAIN ST</t>
        </is>
      </c>
      <c r="F69" s="92" t="inlineStr">
        <is>
          <t>COVINGTON</t>
        </is>
      </c>
      <c r="G69" s="92" t="inlineStr">
        <is>
          <t>KY</t>
        </is>
      </c>
      <c r="H69" s="92" t="inlineStr">
        <is>
          <t>AUTO SERVICE/REPAIR</t>
        </is>
      </c>
      <c r="I69" s="93" t="n">
        <v>21000</v>
      </c>
      <c r="J69" s="94">
        <f>I69/43560</f>
        <v/>
      </c>
      <c r="K69" s="93" t="n">
        <v>610</v>
      </c>
      <c r="L69" s="95">
        <f>I69/(K69^2)</f>
        <v/>
      </c>
      <c r="M69" s="92" t="inlineStr">
        <is>
          <t>Ideal 18-32k</t>
        </is>
      </c>
      <c r="N69" s="92" t="inlineStr">
        <is>
          <t>A</t>
        </is>
      </c>
      <c r="O69" s="92" t="inlineStr">
        <is>
          <t>Compact &gt;=.055</t>
        </is>
      </c>
      <c r="P69" s="92" t="inlineStr">
        <is>
          <t>Moderate</t>
        </is>
      </c>
      <c r="Q69" s="92" t="inlineStr">
        <is>
          <t>Local absentee</t>
        </is>
      </c>
      <c r="R69" s="92" t="inlineStr">
        <is>
          <t>Operating entity</t>
        </is>
      </c>
      <c r="S69" s="92" t="n">
        <v>2</v>
      </c>
      <c r="T69" s="96">
        <f>INDEX('Scoring Method'!$B$6:$B$9,MATCH(M69,'Scoring Method'!$A$6:$A$9,0))+INDEX('Scoring Method'!$B$12:$B$16,MATCH(N69,'Scoring Method'!$A$12:$A$16,0))+INDEX('Scoring Method'!$B$19:$B$22,MATCH(O69,'Scoring Method'!$A$19:$A$22,0))+INDEX('Scoring Method'!$B$25:$B$27,MATCH(P69,'Scoring Method'!$A$25:$A$27,0))</f>
        <v/>
      </c>
      <c r="U69" s="96">
        <f>(INDEX('Scoring Method'!$B$30:$B$33,MATCH(Q69,'Scoring Method'!$A$30:$A$33,0))+INDEX('Scoring Method'!$B$36:$B$42,MATCH(R69,'Scoring Method'!$A$36:$A$42,0))+INDEX('Scoring Method'!$B$45:$B$47,MATCH(IF(S69=1,"1",IF(S69=2,"2","3+")),'Scoring Method'!$A$45:$A$47,0)))/90*100</f>
        <v/>
      </c>
      <c r="V69" s="96">
        <f>T69*U69/100</f>
        <v/>
      </c>
      <c r="W69" s="93" t="n">
        <v>9000</v>
      </c>
      <c r="X69" s="92" t="inlineStr">
        <is>
          <t>X (minimal hazard)</t>
        </is>
      </c>
      <c r="Y69" s="93" t="n">
        <v>9650</v>
      </c>
      <c r="Z69" s="97">
        <f>W69/I69</f>
        <v/>
      </c>
      <c r="AA69" s="98">
        <f>MAX(0,(Y69-5000)/300)</f>
        <v/>
      </c>
      <c r="AB69" s="92" t="n"/>
      <c r="AC69" s="92" t="n">
        <v>0.44</v>
      </c>
      <c r="AD69" s="92" t="inlineStr">
        <is>
          <t>ok</t>
        </is>
      </c>
      <c r="AE69" s="92" t="inlineStr">
        <is>
          <t>Oversize 6-12k</t>
        </is>
      </c>
      <c r="AF69" s="96">
        <f>INDEX('Scoring Method'!$B$63:$B$71,MATCH(AE69,'Scoring Method'!$A$63:$A$71,0))+INDEX('Scoring Method'!$B$75:$B$79,MATCH("Good 8-15k",'Scoring Method'!$A$75:$A$79,0))+INDEX('Scoring Method'!$B$343:$B$347,MATCH(X69,'Scoring Method'!$A$343:$A$347,0))+INDEX('Scoring Method'!$B$25:$B$27,MATCH(P69,'Scoring Method'!$A$25:$A$27,0))</f>
        <v/>
      </c>
      <c r="AG69" s="96">
        <f>AF69*U69/100</f>
        <v/>
      </c>
      <c r="AH69" s="92" t="inlineStr">
        <is>
          <t>LINK-GIS + LoopNet</t>
        </is>
      </c>
      <c r="AI69" s="99" t="n">
        <v>39.08624</v>
      </c>
      <c r="AJ69" s="99" t="n">
        <v>-84.51812</v>
      </c>
      <c r="AK69" s="94" t="n">
        <v>0.13</v>
      </c>
      <c r="AL69" s="94" t="n">
        <v>0.61</v>
      </c>
      <c r="AM69" s="94" t="n">
        <v>1.1</v>
      </c>
      <c r="AN69" s="94" t="n">
        <v>0.13</v>
      </c>
      <c r="AO69" s="92" t="inlineStr">
        <is>
          <t>Core &lt;=0.35mi</t>
        </is>
      </c>
      <c r="AP69" s="92" t="inlineStr">
        <is>
          <t>Open span</t>
        </is>
      </c>
      <c r="AQ69" s="92" t="inlineStr">
        <is>
          <t>Good 8-15k</t>
        </is>
      </c>
      <c r="AR69" s="100" t="n"/>
      <c r="AS69" s="96">
        <f>ROUND(INDEX('Scoring Method'!$B$63:$B$70,MATCH(AE69,'Scoring Method'!$A$63:$A$70,0))*0.625+INDEX('Scoring Method'!$B$105:$B$113,MATCH(AP69,'Scoring Method'!$A$105:$A$113,0))+INDEX('Scoring Method'!$B$74:$B$78,MATCH(AQ69,'Scoring Method'!$A$74:$A$78,0))*0.6667+INDEX('Scoring Method'!$B$96:$B$101,MATCH(AO69,'Scoring Method'!$A$96:$A$101,0))+INDEX('Scoring Method'!$B$343:$B$347,MATCH(X69,'Scoring Method'!$A$343:$A$347,0))*0.3333+INDEX('Scoring Method'!$B$25:$B$27,MATCH(P69,'Scoring Method'!$A$25:$A$27,0))*0.3333,1)</f>
        <v/>
      </c>
      <c r="AT69" s="96">
        <f>AS69*U69/100</f>
        <v/>
      </c>
      <c r="AU69" s="92" t="inlineStr">
        <is>
          <t>Botany Hills / Riverfront West</t>
        </is>
      </c>
      <c r="AV69" s="92" t="n">
        <v>45</v>
      </c>
      <c r="AW69" s="101" t="inlineStr">
        <is>
          <t>ESTIMATED</t>
        </is>
      </c>
      <c r="AX69" s="92" t="inlineStr">
        <is>
          <t>Mixed 45-59</t>
        </is>
      </c>
      <c r="AY69" s="96">
        <f>ROUND(INDEX('Scoring Method'!$B$132:$B$140,MATCH(AE69,'Scoring Method'!$A$132:$A$140,0))+INDEX('Scoring Method'!$B$144:$B$152,MATCH(AP69,'Scoring Method'!$A$144:$A$152,0))+INDEX('Scoring Method'!$B$156:$B$160,MATCH(AQ69,'Scoring Method'!$A$156:$A$160,0))+INDEX('Scoring Method'!$B$164:$B$169,MATCH(AO69,'Scoring Method'!$A$164:$A$169,0))+INDEX('Scoring Method'!$B$173:$B$178,MATCH(AX69,'Scoring Method'!$A$173:$A$178,0))+INDEX('Scoring Method'!$B$349:$B$353,MATCH(X69,'Scoring Method'!$A$349:$A$353,0))+INDEX('Scoring Method'!$B$188:$B$190,MATCH(P69,'Scoring Method'!$A$188:$A$190,0)),1)</f>
        <v/>
      </c>
      <c r="AZ69" s="96">
        <f>AY69*U69/100</f>
        <v/>
      </c>
      <c r="BA69" s="92" t="inlineStr">
        <is>
          <t>No chain signal</t>
        </is>
      </c>
      <c r="BB69" s="94" t="n">
        <v>1</v>
      </c>
      <c r="BC69" s="92" t="inlineStr">
        <is>
          <t>Right-sized 0.35-0.75 AC</t>
        </is>
      </c>
      <c r="BD69" s="94" t="n">
        <v>1</v>
      </c>
      <c r="BE69" s="96">
        <f>ROUND(INDEX('Scoring Method'!$B$268:$B$276,MATCH(AE69,'Scoring Method'!$A$268:$A$276,0))+INDEX('Scoring Method'!$B$280:$B$288,MATCH(AP69,'Scoring Method'!$A$280:$A$288,0))+INDEX('Scoring Method'!$B$292:$B$296,MATCH(AQ69,'Scoring Method'!$A$292:$A$296,0))+INDEX('Scoring Method'!$B$300:$B$305,MATCH(AO69,'Scoring Method'!$A$300:$A$305,0))+INDEX('Scoring Method'!$B$309:$B$314,MATCH(AX69,'Scoring Method'!$A$309:$A$314,0))+INDEX('Scoring Method'!$B$337:$B$341,MATCH(X69,'Scoring Method'!$A$337:$A$341,0))+INDEX('Scoring Method'!$B$324:$B$326,MATCH(P69,'Scoring Method'!$A$324:$A$326,0)),1)</f>
        <v/>
      </c>
      <c r="BF69" s="96">
        <f>ROUND(INDEX('Scoring Method'!$B$268:$B$276,MATCH(AE69,'Scoring Method'!$A$268:$A$276,0))*BB69*BD69+INDEX('Scoring Method'!$B$280:$B$288,MATCH(AP69,'Scoring Method'!$A$280:$A$288,0))*BM69*BB69*BD69+INDEX('Scoring Method'!$B$292:$B$296,MATCH(AQ69,'Scoring Method'!$A$292:$A$296,0))*BD69+INDEX('Scoring Method'!$B$300:$B$305,MATCH(AO69,'Scoring Method'!$A$300:$A$305,0))*BM69*BB69+INDEX('Scoring Method'!$B$309:$B$314,MATCH(AX69,'Scoring Method'!$A$309:$A$314,0))+INDEX('Scoring Method'!$B$337:$B$341,MATCH(X69,'Scoring Method'!$A$337:$A$341,0))+INDEX('Scoring Method'!$B$324:$B$326,MATCH(P69,'Scoring Method'!$A$324:$A$326,0)),1)</f>
        <v/>
      </c>
      <c r="BG69" s="92" t="inlineStr">
        <is>
          <t>Fits (~$8,250/mo)</t>
        </is>
      </c>
      <c r="BH69" s="61" t="inlineStr">
        <is>
          <t>AUC</t>
        </is>
      </c>
      <c r="BI69" s="61" t="inlineStr">
        <is>
          <t>Auto-Urban Commercial</t>
        </is>
      </c>
      <c r="BJ69" s="61" t="inlineStr"/>
      <c r="BK69" s="61" t="inlineStr"/>
      <c r="BL69" s="61" t="inlineStr">
        <is>
          <t>Bar permitted</t>
        </is>
      </c>
      <c r="BM69" s="61">
        <f>INDEX('Scoring Method'!$B$358:$B$363,MATCH(BL69,'Scoring Method'!$A$358:$A$363,0))</f>
        <v/>
      </c>
    </row>
    <row r="70" ht="15" customHeight="1" s="62">
      <c r="A70" s="92" t="n">
        <v>69</v>
      </c>
      <c r="B70" s="92" t="inlineStr">
        <is>
          <t>056-13-17-002.00</t>
        </is>
      </c>
      <c r="C70" s="92" t="inlineStr">
        <is>
          <t>3403 DECOURSEY AVE</t>
        </is>
      </c>
      <c r="D70" s="92" t="inlineStr">
        <is>
          <t>PWBC HOLDINGS LLC</t>
        </is>
      </c>
      <c r="E70" s="92" t="inlineStr">
        <is>
          <t>1206 RUSSELL ST</t>
        </is>
      </c>
      <c r="F70" s="92" t="inlineStr">
        <is>
          <t>COVINGTON</t>
        </is>
      </c>
      <c r="G70" s="92" t="inlineStr">
        <is>
          <t>KY</t>
        </is>
      </c>
      <c r="H70" s="92" t="inlineStr">
        <is>
          <t>AUTO SERVICE/REPAIR</t>
        </is>
      </c>
      <c r="I70" s="93" t="n">
        <v>18450</v>
      </c>
      <c r="J70" s="94">
        <f>I70/43560</f>
        <v/>
      </c>
      <c r="K70" s="93" t="n">
        <v>653.6</v>
      </c>
      <c r="L70" s="95">
        <f>I70/(K70^2)</f>
        <v/>
      </c>
      <c r="M70" s="92" t="inlineStr">
        <is>
          <t>Ideal 18-32k</t>
        </is>
      </c>
      <c r="N70" s="92" t="inlineStr">
        <is>
          <t>A</t>
        </is>
      </c>
      <c r="O70" s="92" t="inlineStr">
        <is>
          <t>Elongated .035-.045</t>
        </is>
      </c>
      <c r="P70" s="92" t="inlineStr">
        <is>
          <t>Moderate</t>
        </is>
      </c>
      <c r="Q70" s="92" t="inlineStr">
        <is>
          <t>Local absentee</t>
        </is>
      </c>
      <c r="R70" s="92" t="inlineStr">
        <is>
          <t>Passive vehicle</t>
        </is>
      </c>
      <c r="S70" s="92" t="n">
        <v>1</v>
      </c>
      <c r="T70" s="96">
        <f>INDEX('Scoring Method'!$B$6:$B$9,MATCH(M70,'Scoring Method'!$A$6:$A$9,0))+INDEX('Scoring Method'!$B$12:$B$16,MATCH(N70,'Scoring Method'!$A$12:$A$16,0))+INDEX('Scoring Method'!$B$19:$B$22,MATCH(O70,'Scoring Method'!$A$19:$A$22,0))+INDEX('Scoring Method'!$B$25:$B$27,MATCH(P70,'Scoring Method'!$A$25:$A$27,0))</f>
        <v/>
      </c>
      <c r="U70" s="96">
        <f>(INDEX('Scoring Method'!$B$30:$B$33,MATCH(Q70,'Scoring Method'!$A$30:$A$33,0))+INDEX('Scoring Method'!$B$36:$B$42,MATCH(R70,'Scoring Method'!$A$36:$A$42,0))+INDEX('Scoring Method'!$B$45:$B$47,MATCH(IF(S70=1,"1",IF(S70=2,"2","3+")),'Scoring Method'!$A$45:$A$47,0)))/90*100</f>
        <v/>
      </c>
      <c r="V70" s="96">
        <f>T70*U70/100</f>
        <v/>
      </c>
      <c r="W70" s="93" t="n">
        <v>2008</v>
      </c>
      <c r="X70" s="92" t="inlineStr">
        <is>
          <t>X (minimal hazard)</t>
        </is>
      </c>
      <c r="Y70" s="93" t="n">
        <v>14000</v>
      </c>
      <c r="Z70" s="97" t="n"/>
      <c r="AA70" s="98">
        <f>MAX(0,(Y70-5000)/300)</f>
        <v/>
      </c>
      <c r="AB70" s="92" t="n"/>
      <c r="AC70" s="92" t="n"/>
      <c r="AD70" s="92" t="n"/>
      <c r="AE70" s="92" t="inlineStr">
        <is>
          <t>Target 1.5-2.5k</t>
        </is>
      </c>
      <c r="AF70" s="96">
        <f>INDEX('Scoring Method'!$B$63:$B$71,MATCH(AE70,'Scoring Method'!$A$63:$A$71,0))+INDEX('Scoring Method'!$B$75:$B$79,MATCH("Good 8-15k",'Scoring Method'!$A$75:$A$79,0))+INDEX('Scoring Method'!$B$343:$B$347,MATCH(X70,'Scoring Method'!$A$343:$A$347,0))+INDEX('Scoring Method'!$B$25:$B$27,MATCH(P70,'Scoring Method'!$A$25:$A$27,0))</f>
        <v/>
      </c>
      <c r="AG70" s="96">
        <f>AF70*U70/100</f>
        <v/>
      </c>
      <c r="AH70" s="92" t="inlineStr">
        <is>
          <t>LINK-GIS + LoopNet (2026-08-02)</t>
        </is>
      </c>
      <c r="AI70" s="99" t="n">
        <v>39.05</v>
      </c>
      <c r="AJ70" s="99" t="n">
        <v>-84.50348</v>
      </c>
      <c r="AK70" s="94" t="n">
        <v>2.5</v>
      </c>
      <c r="AL70" s="94" t="n">
        <v>2.83</v>
      </c>
      <c r="AM70" s="94" t="n">
        <v>3.59</v>
      </c>
      <c r="AN70" s="94" t="n">
        <v>2.38</v>
      </c>
      <c r="AO70" s="92" t="inlineStr">
        <is>
          <t>Distant 2-3mi</t>
        </is>
      </c>
      <c r="AP70" s="92" t="inlineStr">
        <is>
          <t>Open span</t>
        </is>
      </c>
      <c r="AQ70" s="92" t="inlineStr">
        <is>
          <t>Good 8-15k</t>
        </is>
      </c>
      <c r="AR70" s="100" t="n"/>
      <c r="AS70" s="96">
        <f>ROUND(INDEX('Scoring Method'!$B$63:$B$70,MATCH(AE70,'Scoring Method'!$A$63:$A$70,0))*0.625+INDEX('Scoring Method'!$B$105:$B$113,MATCH(AP70,'Scoring Method'!$A$105:$A$113,0))+INDEX('Scoring Method'!$B$74:$B$78,MATCH(AQ70,'Scoring Method'!$A$74:$A$78,0))*0.6667+INDEX('Scoring Method'!$B$96:$B$101,MATCH(AO70,'Scoring Method'!$A$96:$A$101,0))+INDEX('Scoring Method'!$B$343:$B$347,MATCH(X70,'Scoring Method'!$A$343:$A$347,0))*0.3333+INDEX('Scoring Method'!$B$25:$B$27,MATCH(P70,'Scoring Method'!$A$25:$A$27,0))*0.3333,1)</f>
        <v/>
      </c>
      <c r="AT70" s="96">
        <f>AS70*U70/100</f>
        <v/>
      </c>
      <c r="AU70" s="92" t="inlineStr">
        <is>
          <t>Latonia</t>
        </is>
      </c>
      <c r="AV70" s="92" t="n">
        <v>78</v>
      </c>
      <c r="AW70" s="92" t="inlineStr">
        <is>
          <t>Sourced</t>
        </is>
      </c>
      <c r="AX70" s="92" t="inlineStr">
        <is>
          <t>Safe 70-79</t>
        </is>
      </c>
      <c r="AY70" s="96">
        <f>ROUND(INDEX('Scoring Method'!$B$132:$B$140,MATCH(AE70,'Scoring Method'!$A$132:$A$140,0))+INDEX('Scoring Method'!$B$144:$B$152,MATCH(AP70,'Scoring Method'!$A$144:$A$152,0))+INDEX('Scoring Method'!$B$156:$B$160,MATCH(AQ70,'Scoring Method'!$A$156:$A$160,0))+INDEX('Scoring Method'!$B$164:$B$169,MATCH(AO70,'Scoring Method'!$A$164:$A$169,0))+INDEX('Scoring Method'!$B$173:$B$178,MATCH(AX70,'Scoring Method'!$A$173:$A$178,0))+INDEX('Scoring Method'!$B$349:$B$353,MATCH(X70,'Scoring Method'!$A$349:$A$353,0))+INDEX('Scoring Method'!$B$188:$B$190,MATCH(P70,'Scoring Method'!$A$188:$A$190,0)),1)</f>
        <v/>
      </c>
      <c r="AZ70" s="96">
        <f>AY70*U70/100</f>
        <v/>
      </c>
      <c r="BA70" s="92" t="inlineStr">
        <is>
          <t>No chain signal</t>
        </is>
      </c>
      <c r="BB70" s="94" t="n">
        <v>1</v>
      </c>
      <c r="BC70" s="92" t="inlineStr">
        <is>
          <t>Right-sized 0.35-0.75 AC</t>
        </is>
      </c>
      <c r="BD70" s="94" t="n">
        <v>1</v>
      </c>
      <c r="BE70" s="96">
        <f>ROUND(INDEX('Scoring Method'!$B$268:$B$276,MATCH(AE70,'Scoring Method'!$A$268:$A$276,0))+INDEX('Scoring Method'!$B$280:$B$288,MATCH(AP70,'Scoring Method'!$A$280:$A$288,0))+INDEX('Scoring Method'!$B$292:$B$296,MATCH(AQ70,'Scoring Method'!$A$292:$A$296,0))+INDEX('Scoring Method'!$B$300:$B$305,MATCH(AO70,'Scoring Method'!$A$300:$A$305,0))+INDEX('Scoring Method'!$B$309:$B$314,MATCH(AX70,'Scoring Method'!$A$309:$A$314,0))+INDEX('Scoring Method'!$B$337:$B$341,MATCH(X70,'Scoring Method'!$A$337:$A$341,0))+INDEX('Scoring Method'!$B$324:$B$326,MATCH(P70,'Scoring Method'!$A$324:$A$326,0)),1)</f>
        <v/>
      </c>
      <c r="BF70" s="96">
        <f>ROUND(INDEX('Scoring Method'!$B$268:$B$276,MATCH(AE70,'Scoring Method'!$A$268:$A$276,0))*BB70*BD70+INDEX('Scoring Method'!$B$280:$B$288,MATCH(AP70,'Scoring Method'!$A$280:$A$288,0))*BM70*BB70*BD70+INDEX('Scoring Method'!$B$292:$B$296,MATCH(AQ70,'Scoring Method'!$A$292:$A$296,0))*BD70+INDEX('Scoring Method'!$B$300:$B$305,MATCH(AO70,'Scoring Method'!$A$300:$A$305,0))*BM70*BB70+INDEX('Scoring Method'!$B$309:$B$314,MATCH(AX70,'Scoring Method'!$A$309:$A$314,0))+INDEX('Scoring Method'!$B$337:$B$341,MATCH(X70,'Scoring Method'!$A$337:$A$341,0))+INDEX('Scoring Method'!$B$324:$B$326,MATCH(P70,'Scoring Method'!$A$324:$A$326,0)),1)</f>
        <v/>
      </c>
      <c r="BG70" s="92" t="inlineStr">
        <is>
          <t>Fits (~$1,841/mo)</t>
        </is>
      </c>
      <c r="BH70" s="61" t="inlineStr">
        <is>
          <t>TUMU</t>
        </is>
      </c>
      <c r="BI70" s="61" t="inlineStr">
        <is>
          <t>Traditional Urban Mixed Use</t>
        </is>
      </c>
      <c r="BJ70" s="61" t="inlineStr"/>
      <c r="BK70" s="61" t="inlineStr"/>
      <c r="BL70" s="61" t="inlineStr">
        <is>
          <t>Bar permitted</t>
        </is>
      </c>
      <c r="BM70" s="61">
        <f>INDEX('Scoring Method'!$B$358:$B$363,MATCH(BL70,'Scoring Method'!$A$358:$A$363,0))</f>
        <v/>
      </c>
    </row>
    <row r="71" ht="15" customHeight="1" s="62">
      <c r="A71" s="92" t="n">
        <v>70</v>
      </c>
      <c r="B71" s="92" t="inlineStr">
        <is>
          <t>054-21-17-002.00</t>
        </is>
      </c>
      <c r="C71" s="92" t="inlineStr">
        <is>
          <t>W 4TH ST</t>
        </is>
      </c>
      <c r="D71" s="92" t="inlineStr">
        <is>
          <t>FIFTH THIRD BANK</t>
        </is>
      </c>
      <c r="E71" s="92" t="inlineStr">
        <is>
          <t>PO BOX 2440</t>
        </is>
      </c>
      <c r="F71" s="92" t="inlineStr">
        <is>
          <t>SPOKANE</t>
        </is>
      </c>
      <c r="G71" s="92" t="inlineStr">
        <is>
          <t>WA</t>
        </is>
      </c>
      <c r="H71" s="92" t="inlineStr">
        <is>
          <t>FULL SERVICE BANK</t>
        </is>
      </c>
      <c r="I71" s="93" t="n">
        <v>43653</v>
      </c>
      <c r="J71" s="94">
        <f>I71/43560</f>
        <v/>
      </c>
      <c r="K71" s="93" t="n">
        <v>971</v>
      </c>
      <c r="L71" s="95">
        <f>I71/(K71^2)</f>
        <v/>
      </c>
      <c r="M71" s="92" t="inlineStr">
        <is>
          <t>Near 14-18k/32-45k</t>
        </is>
      </c>
      <c r="N71" s="92" t="inlineStr">
        <is>
          <t>E</t>
        </is>
      </c>
      <c r="O71" s="92" t="inlineStr">
        <is>
          <t>Regular .045-.055</t>
        </is>
      </c>
      <c r="P71" s="92" t="inlineStr">
        <is>
          <t>Low</t>
        </is>
      </c>
      <c r="Q71" s="92" t="inlineStr">
        <is>
          <t>Out-of-state</t>
        </is>
      </c>
      <c r="R71" s="92" t="inlineStr">
        <is>
          <t>Individual</t>
        </is>
      </c>
      <c r="S71" s="92" t="n">
        <v>1</v>
      </c>
      <c r="T71" s="96">
        <f>INDEX('Scoring Method'!$B$6:$B$9,MATCH(M71,'Scoring Method'!$A$6:$A$9,0))+INDEX('Scoring Method'!$B$12:$B$16,MATCH(N71,'Scoring Method'!$A$12:$A$16,0))+INDEX('Scoring Method'!$B$19:$B$22,MATCH(O71,'Scoring Method'!$A$19:$A$22,0))+INDEX('Scoring Method'!$B$25:$B$27,MATCH(P71,'Scoring Method'!$A$25:$A$27,0))</f>
        <v/>
      </c>
      <c r="U71" s="96">
        <f>(INDEX('Scoring Method'!$B$30:$B$33,MATCH(Q71,'Scoring Method'!$A$30:$A$33,0))+INDEX('Scoring Method'!$B$36:$B$42,MATCH(R71,'Scoring Method'!$A$36:$A$42,0))+INDEX('Scoring Method'!$B$45:$B$47,MATCH(IF(S71=1,"1",IF(S71=2,"2","3+")),'Scoring Method'!$A$45:$A$47,0)))/90*100</f>
        <v/>
      </c>
      <c r="V71" s="96">
        <f>T71*U71/100</f>
        <v/>
      </c>
      <c r="W71" s="93" t="n">
        <v>3964</v>
      </c>
      <c r="X71" s="92" t="inlineStr">
        <is>
          <t>X (minimal hazard)</t>
        </is>
      </c>
      <c r="Y71" s="93" t="n">
        <v>34375</v>
      </c>
      <c r="Z71" s="97" t="n"/>
      <c r="AA71" s="98">
        <f>MAX(0,(Y71-5000)/300)</f>
        <v/>
      </c>
      <c r="AB71" s="92" t="n"/>
      <c r="AC71" s="92" t="n"/>
      <c r="AD71" s="92" t="n"/>
      <c r="AE71" s="92" t="inlineStr">
        <is>
          <t>Above 2.5-4k</t>
        </is>
      </c>
      <c r="AF71" s="96">
        <f>INDEX('Scoring Method'!$B$63:$B$71,MATCH(AE71,'Scoring Method'!$A$63:$A$71,0))+INDEX('Scoring Method'!$B$75:$B$79,MATCH("Ample &gt;=15k",'Scoring Method'!$A$75:$A$79,0))+INDEX('Scoring Method'!$B$343:$B$347,MATCH(X71,'Scoring Method'!$A$343:$A$347,0))+INDEX('Scoring Method'!$B$25:$B$27,MATCH(P71,'Scoring Method'!$A$25:$A$27,0))</f>
        <v/>
      </c>
      <c r="AG71" s="96">
        <f>AF71*U71/100</f>
        <v/>
      </c>
      <c r="AH71" s="92" t="inlineStr">
        <is>
          <t>LINK-GIS + LoopNet (2026-08-03)</t>
        </is>
      </c>
      <c r="AI71" s="99" t="n">
        <v>39.0866</v>
      </c>
      <c r="AJ71" s="99" t="n">
        <v>-84.51174</v>
      </c>
      <c r="AK71" s="94" t="n">
        <v>0.36</v>
      </c>
      <c r="AL71" s="94" t="n">
        <v>0.34</v>
      </c>
      <c r="AM71" s="94" t="n">
        <v>1.03</v>
      </c>
      <c r="AN71" s="94" t="n">
        <v>0.19</v>
      </c>
      <c r="AO71" s="92" t="inlineStr">
        <is>
          <t>Core &lt;=0.35mi</t>
        </is>
      </c>
      <c r="AP71" s="92" t="inlineStr">
        <is>
          <t>Office/institutional</t>
        </is>
      </c>
      <c r="AQ71" s="92" t="inlineStr">
        <is>
          <t>Ample &gt;=15k</t>
        </is>
      </c>
      <c r="AR71" s="100" t="n"/>
      <c r="AS71" s="96">
        <f>ROUND(INDEX('Scoring Method'!$B$63:$B$70,MATCH(AE71,'Scoring Method'!$A$63:$A$70,0))*0.625+INDEX('Scoring Method'!$B$105:$B$113,MATCH(AP71,'Scoring Method'!$A$105:$A$113,0))+INDEX('Scoring Method'!$B$74:$B$78,MATCH(AQ71,'Scoring Method'!$A$74:$A$78,0))*0.6667+INDEX('Scoring Method'!$B$96:$B$101,MATCH(AO71,'Scoring Method'!$A$96:$A$101,0))+INDEX('Scoring Method'!$B$343:$B$347,MATCH(X71,'Scoring Method'!$A$343:$A$347,0))*0.3333+INDEX('Scoring Method'!$B$25:$B$27,MATCH(P71,'Scoring Method'!$A$25:$A$27,0))*0.3333,1)</f>
        <v/>
      </c>
      <c r="AT71" s="96">
        <f>AS71*U71/100</f>
        <v/>
      </c>
      <c r="AU71" s="92" t="inlineStr">
        <is>
          <t>Central Business District</t>
        </is>
      </c>
      <c r="AV71" s="92" t="n">
        <v>48</v>
      </c>
      <c r="AW71" s="101" t="inlineStr">
        <is>
          <t>ESTIMATED</t>
        </is>
      </c>
      <c r="AX71" s="92" t="inlineStr">
        <is>
          <t>Mixed 45-59</t>
        </is>
      </c>
      <c r="AY71" s="96">
        <f>ROUND(INDEX('Scoring Method'!$B$132:$B$140,MATCH(AE71,'Scoring Method'!$A$132:$A$140,0))+INDEX('Scoring Method'!$B$144:$B$152,MATCH(AP71,'Scoring Method'!$A$144:$A$152,0))+INDEX('Scoring Method'!$B$156:$B$160,MATCH(AQ71,'Scoring Method'!$A$156:$A$160,0))+INDEX('Scoring Method'!$B$164:$B$169,MATCH(AO71,'Scoring Method'!$A$164:$A$169,0))+INDEX('Scoring Method'!$B$173:$B$178,MATCH(AX71,'Scoring Method'!$A$173:$A$178,0))+INDEX('Scoring Method'!$B$349:$B$353,MATCH(X71,'Scoring Method'!$A$349:$A$353,0))+INDEX('Scoring Method'!$B$188:$B$190,MATCH(P71,'Scoring Method'!$A$188:$A$190,0)),1)</f>
        <v/>
      </c>
      <c r="AZ71" s="96">
        <f>AY71*U71/100</f>
        <v/>
      </c>
      <c r="BA71" s="103" t="inlineStr">
        <is>
          <t>Brand-owned / net lease</t>
        </is>
      </c>
      <c r="BB71" s="94" t="n">
        <v>0.3</v>
      </c>
      <c r="BC71" s="102" t="inlineStr">
        <is>
          <t>Large 0.75-1.25 AC</t>
        </is>
      </c>
      <c r="BD71" s="94" t="n">
        <v>0.9</v>
      </c>
      <c r="BE71" s="96">
        <f>ROUND(INDEX('Scoring Method'!$B$268:$B$276,MATCH(AE71,'Scoring Method'!$A$268:$A$276,0))+INDEX('Scoring Method'!$B$280:$B$288,MATCH(AP71,'Scoring Method'!$A$280:$A$288,0))+INDEX('Scoring Method'!$B$292:$B$296,MATCH(AQ71,'Scoring Method'!$A$292:$A$296,0))+INDEX('Scoring Method'!$B$300:$B$305,MATCH(AO71,'Scoring Method'!$A$300:$A$305,0))+INDEX('Scoring Method'!$B$309:$B$314,MATCH(AX71,'Scoring Method'!$A$309:$A$314,0))+INDEX('Scoring Method'!$B$337:$B$341,MATCH(X71,'Scoring Method'!$A$337:$A$341,0))+INDEX('Scoring Method'!$B$324:$B$326,MATCH(P71,'Scoring Method'!$A$324:$A$326,0)),1)</f>
        <v/>
      </c>
      <c r="BF71" s="96">
        <f>ROUND(INDEX('Scoring Method'!$B$268:$B$276,MATCH(AE71,'Scoring Method'!$A$268:$A$276,0))*BB71*BD71+INDEX('Scoring Method'!$B$280:$B$288,MATCH(AP71,'Scoring Method'!$A$280:$A$288,0))*BM71*BB71*BD71+INDEX('Scoring Method'!$B$292:$B$296,MATCH(AQ71,'Scoring Method'!$A$292:$A$296,0))*BD71+INDEX('Scoring Method'!$B$300:$B$305,MATCH(AO71,'Scoring Method'!$A$300:$A$305,0))*BM71*BB71+INDEX('Scoring Method'!$B$309:$B$314,MATCH(AX71,'Scoring Method'!$A$309:$A$314,0))+INDEX('Scoring Method'!$B$337:$B$341,MATCH(X71,'Scoring Method'!$A$337:$A$341,0))+INDEX('Scoring Method'!$B$324:$B$326,MATCH(P71,'Scoring Method'!$A$324:$A$326,0)),1)</f>
        <v/>
      </c>
      <c r="BG71" s="92" t="inlineStr">
        <is>
          <t>Fits (~$3,634/mo)</t>
        </is>
      </c>
      <c r="BH71" s="61" t="inlineStr">
        <is>
          <t>DTC</t>
        </is>
      </c>
      <c r="BI71" s="61" t="inlineStr">
        <is>
          <t>Downtown Core</t>
        </is>
      </c>
      <c r="BJ71" s="61" t="inlineStr"/>
      <c r="BK71" s="61" t="inlineStr"/>
      <c r="BL71" s="61" t="inlineStr">
        <is>
          <t>Bar permitted</t>
        </is>
      </c>
      <c r="BM71" s="61">
        <f>INDEX('Scoring Method'!$B$358:$B$363,MATCH(BL71,'Scoring Method'!$A$358:$A$363,0))</f>
        <v/>
      </c>
    </row>
    <row r="72" ht="15" customHeight="1" s="62">
      <c r="A72" s="92" t="n">
        <v>71</v>
      </c>
      <c r="B72" s="92" t="inlineStr">
        <is>
          <t>054-23-17-001.00</t>
        </is>
      </c>
      <c r="C72" s="92" t="inlineStr">
        <is>
          <t>201 E 4TH ST</t>
        </is>
      </c>
      <c r="D72" s="92" t="inlineStr">
        <is>
          <t>RODNEY WILLIAMS</t>
        </is>
      </c>
      <c r="E72" s="92" t="inlineStr">
        <is>
          <t>159 LLOYD AVE</t>
        </is>
      </c>
      <c r="F72" s="92" t="inlineStr">
        <is>
          <t>FLORENCE</t>
        </is>
      </c>
      <c r="G72" s="92" t="inlineStr">
        <is>
          <t>KY</t>
        </is>
      </c>
      <c r="H72" s="92" t="inlineStr">
        <is>
          <t>OTHER RETAIL</t>
        </is>
      </c>
      <c r="I72" s="93" t="n">
        <v>10901</v>
      </c>
      <c r="J72" s="94">
        <f>I72/43560</f>
        <v/>
      </c>
      <c r="K72" s="93" t="n">
        <v>427.5</v>
      </c>
      <c r="L72" s="95">
        <f>I72/(K72^2)</f>
        <v/>
      </c>
      <c r="M72" s="92" t="inlineStr">
        <is>
          <t>Marginal 10-14k/45-60k</t>
        </is>
      </c>
      <c r="N72" s="92" t="inlineStr">
        <is>
          <t>C</t>
        </is>
      </c>
      <c r="O72" s="92" t="inlineStr">
        <is>
          <t>Compact &gt;=.055</t>
        </is>
      </c>
      <c r="P72" s="92" t="inlineStr">
        <is>
          <t>Low</t>
        </is>
      </c>
      <c r="Q72" s="92" t="inlineStr">
        <is>
          <t>Out-of-city KY</t>
        </is>
      </c>
      <c r="R72" s="92" t="inlineStr">
        <is>
          <t>Individual</t>
        </is>
      </c>
      <c r="S72" s="92" t="n">
        <v>1</v>
      </c>
      <c r="T72" s="96">
        <f>INDEX('Scoring Method'!$B$6:$B$9,MATCH(M72,'Scoring Method'!$A$6:$A$9,0))+INDEX('Scoring Method'!$B$12:$B$16,MATCH(N72,'Scoring Method'!$A$12:$A$16,0))+INDEX('Scoring Method'!$B$19:$B$22,MATCH(O72,'Scoring Method'!$A$19:$A$22,0))+INDEX('Scoring Method'!$B$25:$B$27,MATCH(P72,'Scoring Method'!$A$25:$A$27,0))</f>
        <v/>
      </c>
      <c r="U72" s="96">
        <f>(INDEX('Scoring Method'!$B$30:$B$33,MATCH(Q72,'Scoring Method'!$A$30:$A$33,0))+INDEX('Scoring Method'!$B$36:$B$42,MATCH(R72,'Scoring Method'!$A$36:$A$42,0))+INDEX('Scoring Method'!$B$45:$B$47,MATCH(IF(S72=1,"1",IF(S72=2,"2","3+")),'Scoring Method'!$A$45:$A$47,0)))/90*100</f>
        <v/>
      </c>
      <c r="V72" s="96">
        <f>T72*U72/100</f>
        <v/>
      </c>
      <c r="W72" s="93" t="n">
        <v>1456</v>
      </c>
      <c r="X72" s="92" t="inlineStr">
        <is>
          <t>X (minimal hazard)</t>
        </is>
      </c>
      <c r="Y72" s="93" t="n">
        <v>8600</v>
      </c>
      <c r="Z72" s="97">
        <f>W72/I72</f>
        <v/>
      </c>
      <c r="AA72" s="98">
        <f>MAX(0,(Y72-5000)/300)</f>
        <v/>
      </c>
      <c r="AB72" s="92" t="n"/>
      <c r="AC72" s="92" t="n">
        <v>0.25</v>
      </c>
      <c r="AD72" s="92" t="inlineStr">
        <is>
          <t>ok</t>
        </is>
      </c>
      <c r="AE72" s="92" t="inlineStr">
        <is>
          <t>Below 1.2-1.5k</t>
        </is>
      </c>
      <c r="AF72" s="96">
        <f>INDEX('Scoring Method'!$B$63:$B$71,MATCH(AE72,'Scoring Method'!$A$63:$A$71,0))+INDEX('Scoring Method'!$B$75:$B$79,MATCH("Good 8-15k",'Scoring Method'!$A$75:$A$79,0))+INDEX('Scoring Method'!$B$343:$B$347,MATCH(X72,'Scoring Method'!$A$343:$A$347,0))+INDEX('Scoring Method'!$B$25:$B$27,MATCH(P72,'Scoring Method'!$A$25:$A$27,0))</f>
        <v/>
      </c>
      <c r="AG72" s="96">
        <f>AF72*U72/100</f>
        <v/>
      </c>
      <c r="AH72" s="92" t="inlineStr">
        <is>
          <t>LINK-GIS + LoopNet</t>
        </is>
      </c>
      <c r="AI72" s="99" t="n">
        <v>39.08734</v>
      </c>
      <c r="AJ72" s="99" t="n">
        <v>-84.50747</v>
      </c>
      <c r="AK72" s="94" t="n">
        <v>0.59</v>
      </c>
      <c r="AL72" s="94" t="n">
        <v>0.25</v>
      </c>
      <c r="AM72" s="94" t="n">
        <v>1.01</v>
      </c>
      <c r="AN72" s="94" t="n">
        <v>0.25</v>
      </c>
      <c r="AO72" s="92" t="inlineStr">
        <is>
          <t>Core &lt;=0.35mi</t>
        </is>
      </c>
      <c r="AP72" s="92" t="inlineStr">
        <is>
          <t>Retail shell</t>
        </is>
      </c>
      <c r="AQ72" s="92" t="inlineStr">
        <is>
          <t>Good 8-15k</t>
        </is>
      </c>
      <c r="AR72" s="100" t="n"/>
      <c r="AS72" s="96">
        <f>ROUND(INDEX('Scoring Method'!$B$63:$B$70,MATCH(AE72,'Scoring Method'!$A$63:$A$70,0))*0.625+INDEX('Scoring Method'!$B$105:$B$113,MATCH(AP72,'Scoring Method'!$A$105:$A$113,0))+INDEX('Scoring Method'!$B$74:$B$78,MATCH(AQ72,'Scoring Method'!$A$74:$A$78,0))*0.6667+INDEX('Scoring Method'!$B$96:$B$101,MATCH(AO72,'Scoring Method'!$A$96:$A$101,0))+INDEX('Scoring Method'!$B$343:$B$347,MATCH(X72,'Scoring Method'!$A$343:$A$347,0))*0.3333+INDEX('Scoring Method'!$B$25:$B$27,MATCH(P72,'Scoring Method'!$A$25:$A$27,0))*0.3333,1)</f>
        <v/>
      </c>
      <c r="AT72" s="96">
        <f>AS72*U72/100</f>
        <v/>
      </c>
      <c r="AU72" s="92" t="inlineStr">
        <is>
          <t>Central Business District</t>
        </is>
      </c>
      <c r="AV72" s="92" t="n">
        <v>48</v>
      </c>
      <c r="AW72" s="101" t="inlineStr">
        <is>
          <t>ESTIMATED</t>
        </is>
      </c>
      <c r="AX72" s="92" t="inlineStr">
        <is>
          <t>Mixed 45-59</t>
        </is>
      </c>
      <c r="AY72" s="96">
        <f>ROUND(INDEX('Scoring Method'!$B$132:$B$140,MATCH(AE72,'Scoring Method'!$A$132:$A$140,0))+INDEX('Scoring Method'!$B$144:$B$152,MATCH(AP72,'Scoring Method'!$A$144:$A$152,0))+INDEX('Scoring Method'!$B$156:$B$160,MATCH(AQ72,'Scoring Method'!$A$156:$A$160,0))+INDEX('Scoring Method'!$B$164:$B$169,MATCH(AO72,'Scoring Method'!$A$164:$A$169,0))+INDEX('Scoring Method'!$B$173:$B$178,MATCH(AX72,'Scoring Method'!$A$173:$A$178,0))+INDEX('Scoring Method'!$B$349:$B$353,MATCH(X72,'Scoring Method'!$A$349:$A$353,0))+INDEX('Scoring Method'!$B$188:$B$190,MATCH(P72,'Scoring Method'!$A$188:$A$190,0)),1)</f>
        <v/>
      </c>
      <c r="AZ72" s="96">
        <f>AY72*U72/100</f>
        <v/>
      </c>
      <c r="BA72" s="92" t="inlineStr">
        <is>
          <t>No chain signal</t>
        </is>
      </c>
      <c r="BB72" s="94" t="n">
        <v>1</v>
      </c>
      <c r="BC72" s="102" t="inlineStr">
        <is>
          <t>Small 0.25-0.35 AC</t>
        </is>
      </c>
      <c r="BD72" s="94" t="n">
        <v>0.9</v>
      </c>
      <c r="BE72" s="96">
        <f>ROUND(INDEX('Scoring Method'!$B$268:$B$276,MATCH(AE72,'Scoring Method'!$A$268:$A$276,0))+INDEX('Scoring Method'!$B$280:$B$288,MATCH(AP72,'Scoring Method'!$A$280:$A$288,0))+INDEX('Scoring Method'!$B$292:$B$296,MATCH(AQ72,'Scoring Method'!$A$292:$A$296,0))+INDEX('Scoring Method'!$B$300:$B$305,MATCH(AO72,'Scoring Method'!$A$300:$A$305,0))+INDEX('Scoring Method'!$B$309:$B$314,MATCH(AX72,'Scoring Method'!$A$309:$A$314,0))+INDEX('Scoring Method'!$B$337:$B$341,MATCH(X72,'Scoring Method'!$A$337:$A$341,0))+INDEX('Scoring Method'!$B$324:$B$326,MATCH(P72,'Scoring Method'!$A$324:$A$326,0)),1)</f>
        <v/>
      </c>
      <c r="BF72" s="96">
        <f>ROUND(INDEX('Scoring Method'!$B$268:$B$276,MATCH(AE72,'Scoring Method'!$A$268:$A$276,0))*BB72*BD72+INDEX('Scoring Method'!$B$280:$B$288,MATCH(AP72,'Scoring Method'!$A$280:$A$288,0))*BM72*BB72*BD72+INDEX('Scoring Method'!$B$292:$B$296,MATCH(AQ72,'Scoring Method'!$A$292:$A$296,0))*BD72+INDEX('Scoring Method'!$B$300:$B$305,MATCH(AO72,'Scoring Method'!$A$300:$A$305,0))*BM72*BB72+INDEX('Scoring Method'!$B$309:$B$314,MATCH(AX72,'Scoring Method'!$A$309:$A$314,0))+INDEX('Scoring Method'!$B$337:$B$341,MATCH(X72,'Scoring Method'!$A$337:$A$341,0))+INDEX('Scoring Method'!$B$324:$B$326,MATCH(P72,'Scoring Method'!$A$324:$A$326,0)),1)</f>
        <v/>
      </c>
      <c r="BG72" s="92" t="inlineStr">
        <is>
          <t>Fits (~$1,335/mo)</t>
        </is>
      </c>
      <c r="BH72" s="61" t="inlineStr">
        <is>
          <t>TUR (HP)</t>
        </is>
      </c>
      <c r="BI72" s="61" t="inlineStr">
        <is>
          <t>Traditional Urban Residential</t>
        </is>
      </c>
      <c r="BJ72" s="61" t="inlineStr">
        <is>
          <t>HP</t>
        </is>
      </c>
      <c r="BK72" s="61" t="inlineStr"/>
      <c r="BL72" s="61" t="inlineStr">
        <is>
          <t>Bar prohibited, alt-path</t>
        </is>
      </c>
      <c r="BM72" s="61">
        <f>INDEX('Scoring Method'!$B$358:$B$363,MATCH(BL72,'Scoring Method'!$A$358:$A$363,0))</f>
        <v/>
      </c>
    </row>
    <row r="73" ht="15" customHeight="1" s="62">
      <c r="A73" s="92" t="n">
        <v>72</v>
      </c>
      <c r="B73" s="92" t="inlineStr">
        <is>
          <t>055-23-13-007.00</t>
        </is>
      </c>
      <c r="C73" s="92" t="inlineStr">
        <is>
          <t>2519 MADISON AVE</t>
        </is>
      </c>
      <c r="D73" s="92" t="inlineStr">
        <is>
          <t>ASAD ALI</t>
        </is>
      </c>
      <c r="E73" s="92" t="inlineStr">
        <is>
          <t>405 WOLFE PL</t>
        </is>
      </c>
      <c r="F73" s="92" t="inlineStr">
        <is>
          <t>COLD SPRING</t>
        </is>
      </c>
      <c r="G73" s="92" t="inlineStr">
        <is>
          <t>KY</t>
        </is>
      </c>
      <c r="H73" s="92" t="inlineStr">
        <is>
          <t>OTHER RETAIL</t>
        </is>
      </c>
      <c r="I73" s="93" t="n">
        <v>10307</v>
      </c>
      <c r="J73" s="94">
        <f>I73/43560</f>
        <v/>
      </c>
      <c r="K73" s="93" t="n">
        <v>417.5</v>
      </c>
      <c r="L73" s="95">
        <f>I73/(K73^2)</f>
        <v/>
      </c>
      <c r="M73" s="92" t="inlineStr">
        <is>
          <t>Marginal 10-14k/45-60k</t>
        </is>
      </c>
      <c r="N73" s="92" t="inlineStr">
        <is>
          <t>C</t>
        </is>
      </c>
      <c r="O73" s="92" t="inlineStr">
        <is>
          <t>Compact &gt;=.055</t>
        </is>
      </c>
      <c r="P73" s="92" t="inlineStr">
        <is>
          <t>Low</t>
        </is>
      </c>
      <c r="Q73" s="92" t="inlineStr">
        <is>
          <t>Out-of-city KY</t>
        </is>
      </c>
      <c r="R73" s="92" t="inlineStr">
        <is>
          <t>Individual</t>
        </is>
      </c>
      <c r="S73" s="92" t="n">
        <v>1</v>
      </c>
      <c r="T73" s="96">
        <f>INDEX('Scoring Method'!$B$6:$B$9,MATCH(M73,'Scoring Method'!$A$6:$A$9,0))+INDEX('Scoring Method'!$B$12:$B$16,MATCH(N73,'Scoring Method'!$A$12:$A$16,0))+INDEX('Scoring Method'!$B$19:$B$22,MATCH(O73,'Scoring Method'!$A$19:$A$22,0))+INDEX('Scoring Method'!$B$25:$B$27,MATCH(P73,'Scoring Method'!$A$25:$A$27,0))</f>
        <v/>
      </c>
      <c r="U73" s="96">
        <f>(INDEX('Scoring Method'!$B$30:$B$33,MATCH(Q73,'Scoring Method'!$A$30:$A$33,0))+INDEX('Scoring Method'!$B$36:$B$42,MATCH(R73,'Scoring Method'!$A$36:$A$42,0))+INDEX('Scoring Method'!$B$45:$B$47,MATCH(IF(S73=1,"1",IF(S73=2,"2","3+")),'Scoring Method'!$A$45:$A$47,0)))/90*100</f>
        <v/>
      </c>
      <c r="V73" s="96">
        <f>T73*U73/100</f>
        <v/>
      </c>
      <c r="W73" s="93" t="n">
        <v>2236</v>
      </c>
      <c r="X73" s="92" t="inlineStr">
        <is>
          <t>X (minimal hazard)</t>
        </is>
      </c>
      <c r="Y73" s="93" t="n">
        <v>6400</v>
      </c>
      <c r="Z73" s="97" t="n"/>
      <c r="AA73" s="98">
        <f>MAX(0,(Y73-5000)/300)</f>
        <v/>
      </c>
      <c r="AB73" s="92" t="n"/>
      <c r="AC73" s="92" t="n"/>
      <c r="AD73" s="92" t="n"/>
      <c r="AE73" s="92" t="inlineStr">
        <is>
          <t>Target 1.5-2.5k</t>
        </is>
      </c>
      <c r="AF73" s="96">
        <f>INDEX('Scoring Method'!$B$63:$B$71,MATCH(AE73,'Scoring Method'!$A$63:$A$71,0))+INDEX('Scoring Method'!$B$75:$B$79,MATCH("Adequate 5-8k",'Scoring Method'!$A$75:$A$79,0))+INDEX('Scoring Method'!$B$343:$B$347,MATCH(X73,'Scoring Method'!$A$343:$A$347,0))+INDEX('Scoring Method'!$B$25:$B$27,MATCH(P73,'Scoring Method'!$A$25:$A$27,0))</f>
        <v/>
      </c>
      <c r="AG73" s="96">
        <f>AF73*U73/100</f>
        <v/>
      </c>
      <c r="AH73" s="92" t="inlineStr">
        <is>
          <t>LINK-GIS + LoopNet (2026-08-03)</t>
        </is>
      </c>
      <c r="AI73" s="99" t="n">
        <v>39.06032</v>
      </c>
      <c r="AJ73" s="99" t="n">
        <v>-84.50385</v>
      </c>
      <c r="AK73" s="94" t="n">
        <v>1.83</v>
      </c>
      <c r="AL73" s="94" t="n">
        <v>2.12</v>
      </c>
      <c r="AM73" s="94" t="n">
        <v>2.88</v>
      </c>
      <c r="AN73" s="94" t="n">
        <v>1.68</v>
      </c>
      <c r="AO73" s="92" t="inlineStr">
        <is>
          <t>Outer 1.25-2mi</t>
        </is>
      </c>
      <c r="AP73" s="92" t="inlineStr">
        <is>
          <t>Retail shell</t>
        </is>
      </c>
      <c r="AQ73" s="92" t="inlineStr">
        <is>
          <t>Adequate 5-8k</t>
        </is>
      </c>
      <c r="AR73" s="100" t="n"/>
      <c r="AS73" s="96">
        <f>ROUND(INDEX('Scoring Method'!$B$63:$B$70,MATCH(AE73,'Scoring Method'!$A$63:$A$70,0))*0.625+INDEX('Scoring Method'!$B$105:$B$113,MATCH(AP73,'Scoring Method'!$A$105:$A$113,0))+INDEX('Scoring Method'!$B$74:$B$78,MATCH(AQ73,'Scoring Method'!$A$74:$A$78,0))*0.6667+INDEX('Scoring Method'!$B$96:$B$101,MATCH(AO73,'Scoring Method'!$A$96:$A$101,0))+INDEX('Scoring Method'!$B$343:$B$347,MATCH(X73,'Scoring Method'!$A$343:$A$347,0))*0.3333+INDEX('Scoring Method'!$B$25:$B$27,MATCH(P73,'Scoring Method'!$A$25:$A$27,0))*0.3333,1)</f>
        <v/>
      </c>
      <c r="AT73" s="96">
        <f>AS73*U73/100</f>
        <v/>
      </c>
      <c r="AU73" s="92" t="inlineStr">
        <is>
          <t>Levassor Park</t>
        </is>
      </c>
      <c r="AV73" s="92" t="n">
        <v>42</v>
      </c>
      <c r="AW73" s="101" t="inlineStr">
        <is>
          <t>ESTIMATED</t>
        </is>
      </c>
      <c r="AX73" s="92" t="inlineStr">
        <is>
          <t>Elevated 35-44</t>
        </is>
      </c>
      <c r="AY73" s="96">
        <f>ROUND(INDEX('Scoring Method'!$B$132:$B$140,MATCH(AE73,'Scoring Method'!$A$132:$A$140,0))+INDEX('Scoring Method'!$B$144:$B$152,MATCH(AP73,'Scoring Method'!$A$144:$A$152,0))+INDEX('Scoring Method'!$B$156:$B$160,MATCH(AQ73,'Scoring Method'!$A$156:$A$160,0))+INDEX('Scoring Method'!$B$164:$B$169,MATCH(AO73,'Scoring Method'!$A$164:$A$169,0))+INDEX('Scoring Method'!$B$173:$B$178,MATCH(AX73,'Scoring Method'!$A$173:$A$178,0))+INDEX('Scoring Method'!$B$349:$B$353,MATCH(X73,'Scoring Method'!$A$349:$A$353,0))+INDEX('Scoring Method'!$B$188:$B$190,MATCH(P73,'Scoring Method'!$A$188:$A$190,0)),1)</f>
        <v/>
      </c>
      <c r="AZ73" s="96">
        <f>AY73*U73/100</f>
        <v/>
      </c>
      <c r="BA73" s="92" t="inlineStr">
        <is>
          <t>No chain signal</t>
        </is>
      </c>
      <c r="BB73" s="94" t="n">
        <v>1</v>
      </c>
      <c r="BC73" s="103" t="inlineStr">
        <is>
          <t>Extra small 0.15-0.25 AC</t>
        </is>
      </c>
      <c r="BD73" s="94" t="n">
        <v>0.8</v>
      </c>
      <c r="BE73" s="96">
        <f>ROUND(INDEX('Scoring Method'!$B$268:$B$276,MATCH(AE73,'Scoring Method'!$A$268:$A$276,0))+INDEX('Scoring Method'!$B$280:$B$288,MATCH(AP73,'Scoring Method'!$A$280:$A$288,0))+INDEX('Scoring Method'!$B$292:$B$296,MATCH(AQ73,'Scoring Method'!$A$292:$A$296,0))+INDEX('Scoring Method'!$B$300:$B$305,MATCH(AO73,'Scoring Method'!$A$300:$A$305,0))+INDEX('Scoring Method'!$B$309:$B$314,MATCH(AX73,'Scoring Method'!$A$309:$A$314,0))+INDEX('Scoring Method'!$B$337:$B$341,MATCH(X73,'Scoring Method'!$A$337:$A$341,0))+INDEX('Scoring Method'!$B$324:$B$326,MATCH(P73,'Scoring Method'!$A$324:$A$326,0)),1)</f>
        <v/>
      </c>
      <c r="BF73" s="96">
        <f>ROUND(INDEX('Scoring Method'!$B$268:$B$276,MATCH(AE73,'Scoring Method'!$A$268:$A$276,0))*BB73*BD73+INDEX('Scoring Method'!$B$280:$B$288,MATCH(AP73,'Scoring Method'!$A$280:$A$288,0))*BM73*BB73*BD73+INDEX('Scoring Method'!$B$292:$B$296,MATCH(AQ73,'Scoring Method'!$A$292:$A$296,0))*BD73+INDEX('Scoring Method'!$B$300:$B$305,MATCH(AO73,'Scoring Method'!$A$300:$A$305,0))*BM73*BB73+INDEX('Scoring Method'!$B$309:$B$314,MATCH(AX73,'Scoring Method'!$A$309:$A$314,0))+INDEX('Scoring Method'!$B$337:$B$341,MATCH(X73,'Scoring Method'!$A$337:$A$341,0))+INDEX('Scoring Method'!$B$324:$B$326,MATCH(P73,'Scoring Method'!$A$324:$A$326,0)),1)</f>
        <v/>
      </c>
      <c r="BG73" s="92" t="inlineStr">
        <is>
          <t>Fits (~$2,050/mo)</t>
        </is>
      </c>
      <c r="BH73" s="61" t="inlineStr">
        <is>
          <t>AUC</t>
        </is>
      </c>
      <c r="BI73" s="61" t="inlineStr">
        <is>
          <t>Auto-Urban Commercial</t>
        </is>
      </c>
      <c r="BJ73" s="61" t="inlineStr"/>
      <c r="BK73" s="61" t="inlineStr"/>
      <c r="BL73" s="61" t="inlineStr">
        <is>
          <t>Bar permitted</t>
        </is>
      </c>
      <c r="BM73" s="61">
        <f>INDEX('Scoring Method'!$B$358:$B$363,MATCH(BL73,'Scoring Method'!$A$358:$A$363,0))</f>
        <v/>
      </c>
    </row>
    <row r="74" ht="15" customHeight="1" s="62">
      <c r="A74" s="92" t="n">
        <v>73</v>
      </c>
      <c r="B74" s="92" t="inlineStr">
        <is>
          <t>056-31-08-002.00</t>
        </is>
      </c>
      <c r="C74" s="92" t="inlineStr">
        <is>
          <t>121 E 31ST ST</t>
        </is>
      </c>
      <c r="D74" s="92" t="inlineStr">
        <is>
          <t>EVERSOLE TRACEY</t>
        </is>
      </c>
      <c r="E74" s="92" t="inlineStr">
        <is>
          <t>462 WISTERIA VILLAGE DR</t>
        </is>
      </c>
      <c r="F74" s="92" t="inlineStr">
        <is>
          <t>FLORENCE</t>
        </is>
      </c>
      <c r="G74" s="92" t="inlineStr">
        <is>
          <t>KY</t>
        </is>
      </c>
      <c r="H74" s="92" t="inlineStr">
        <is>
          <t>HEALTH/RECREATIONAL FACILITY</t>
        </is>
      </c>
      <c r="I74" s="93" t="n">
        <v>11678</v>
      </c>
      <c r="J74" s="94">
        <f>I74/43560</f>
        <v/>
      </c>
      <c r="K74" s="93" t="n">
        <v>434.9</v>
      </c>
      <c r="L74" s="95">
        <f>I74/(K74^2)</f>
        <v/>
      </c>
      <c r="M74" s="92" t="inlineStr">
        <is>
          <t>Marginal 10-14k/45-60k</t>
        </is>
      </c>
      <c r="N74" s="92" t="inlineStr">
        <is>
          <t>C</t>
        </is>
      </c>
      <c r="O74" s="92" t="inlineStr">
        <is>
          <t>Compact &gt;=.055</t>
        </is>
      </c>
      <c r="P74" s="92" t="inlineStr">
        <is>
          <t>Low</t>
        </is>
      </c>
      <c r="Q74" s="92" t="inlineStr">
        <is>
          <t>Out-of-city KY</t>
        </is>
      </c>
      <c r="R74" s="92" t="inlineStr">
        <is>
          <t>Individual</t>
        </is>
      </c>
      <c r="S74" s="92" t="n">
        <v>1</v>
      </c>
      <c r="T74" s="96">
        <f>INDEX('Scoring Method'!$B$6:$B$9,MATCH(M74,'Scoring Method'!$A$6:$A$9,0))+INDEX('Scoring Method'!$B$12:$B$16,MATCH(N74,'Scoring Method'!$A$12:$A$16,0))+INDEX('Scoring Method'!$B$19:$B$22,MATCH(O74,'Scoring Method'!$A$19:$A$22,0))+INDEX('Scoring Method'!$B$25:$B$27,MATCH(P74,'Scoring Method'!$A$25:$A$27,0))</f>
        <v/>
      </c>
      <c r="U74" s="96">
        <f>(INDEX('Scoring Method'!$B$30:$B$33,MATCH(Q74,'Scoring Method'!$A$30:$A$33,0))+INDEX('Scoring Method'!$B$36:$B$42,MATCH(R74,'Scoring Method'!$A$36:$A$42,0))+INDEX('Scoring Method'!$B$45:$B$47,MATCH(IF(S74=1,"1",IF(S74=2,"2","3+")),'Scoring Method'!$A$45:$A$47,0)))/90*100</f>
        <v/>
      </c>
      <c r="V74" s="96">
        <f>T74*U74/100</f>
        <v/>
      </c>
      <c r="W74" s="93" t="n">
        <v>8355</v>
      </c>
      <c r="X74" s="92" t="inlineStr">
        <is>
          <t>X (minimal hazard)</t>
        </is>
      </c>
      <c r="Y74" s="93" t="n">
        <v>0</v>
      </c>
      <c r="Z74" s="97" t="n"/>
      <c r="AA74" s="98">
        <f>MAX(0,(Y74-5000)/300)</f>
        <v/>
      </c>
      <c r="AB74" s="92" t="n"/>
      <c r="AC74" s="92" t="n"/>
      <c r="AD74" s="92" t="n"/>
      <c r="AE74" s="92" t="inlineStr">
        <is>
          <t>Oversize 6-12k</t>
        </is>
      </c>
      <c r="AF74" s="96">
        <f>INDEX('Scoring Method'!$B$63:$B$71,MATCH(AE74,'Scoring Method'!$A$63:$A$71,0))+INDEX('Scoring Method'!$B$75:$B$79,MATCH("Insufficient &lt;2k",'Scoring Method'!$A$75:$A$79,0))+INDEX('Scoring Method'!$B$343:$B$347,MATCH(X74,'Scoring Method'!$A$343:$A$347,0))+INDEX('Scoring Method'!$B$25:$B$27,MATCH(P74,'Scoring Method'!$A$25:$A$27,0))</f>
        <v/>
      </c>
      <c r="AG74" s="96">
        <f>AF74*U74/100</f>
        <v/>
      </c>
      <c r="AH74" s="92" t="inlineStr">
        <is>
          <t>LINK-GIS + LoopNet (2026-08-03)</t>
        </is>
      </c>
      <c r="AI74" s="99" t="n">
        <v>39.05391</v>
      </c>
      <c r="AJ74" s="99" t="n">
        <v>-84.50075</v>
      </c>
      <c r="AK74" s="94" t="n">
        <v>2.3</v>
      </c>
      <c r="AL74" s="94" t="n">
        <v>2.58</v>
      </c>
      <c r="AM74" s="94" t="n">
        <v>3.35</v>
      </c>
      <c r="AN74" s="94" t="n">
        <v>2.15</v>
      </c>
      <c r="AO74" s="92" t="inlineStr">
        <is>
          <t>Distant 2-3mi</t>
        </is>
      </c>
      <c r="AP74" s="92" t="inlineStr">
        <is>
          <t>Assembly hall</t>
        </is>
      </c>
      <c r="AQ74" s="92" t="inlineStr">
        <is>
          <t>Insufficient &lt;2k</t>
        </is>
      </c>
      <c r="AR74" s="100" t="n"/>
      <c r="AS74" s="96">
        <f>ROUND(INDEX('Scoring Method'!$B$63:$B$70,MATCH(AE74,'Scoring Method'!$A$63:$A$70,0))*0.625+INDEX('Scoring Method'!$B$105:$B$113,MATCH(AP74,'Scoring Method'!$A$105:$A$113,0))+INDEX('Scoring Method'!$B$74:$B$78,MATCH(AQ74,'Scoring Method'!$A$74:$A$78,0))*0.6667+INDEX('Scoring Method'!$B$96:$B$101,MATCH(AO74,'Scoring Method'!$A$96:$A$101,0))+INDEX('Scoring Method'!$B$343:$B$347,MATCH(X74,'Scoring Method'!$A$343:$A$347,0))*0.3333+INDEX('Scoring Method'!$B$25:$B$27,MATCH(P74,'Scoring Method'!$A$25:$A$27,0))*0.3333,1)</f>
        <v/>
      </c>
      <c r="AT74" s="96">
        <f>AS74*U74/100</f>
        <v/>
      </c>
      <c r="AU74" s="92" t="inlineStr">
        <is>
          <t>Latonia</t>
        </is>
      </c>
      <c r="AV74" s="92" t="n">
        <v>78</v>
      </c>
      <c r="AW74" s="92" t="inlineStr">
        <is>
          <t>Sourced</t>
        </is>
      </c>
      <c r="AX74" s="92" t="inlineStr">
        <is>
          <t>Safe 70-79</t>
        </is>
      </c>
      <c r="AY74" s="96">
        <f>ROUND(INDEX('Scoring Method'!$B$132:$B$140,MATCH(AE74,'Scoring Method'!$A$132:$A$140,0))+INDEX('Scoring Method'!$B$144:$B$152,MATCH(AP74,'Scoring Method'!$A$144:$A$152,0))+INDEX('Scoring Method'!$B$156:$B$160,MATCH(AQ74,'Scoring Method'!$A$156:$A$160,0))+INDEX('Scoring Method'!$B$164:$B$169,MATCH(AO74,'Scoring Method'!$A$164:$A$169,0))+INDEX('Scoring Method'!$B$173:$B$178,MATCH(AX74,'Scoring Method'!$A$173:$A$178,0))+INDEX('Scoring Method'!$B$349:$B$353,MATCH(X74,'Scoring Method'!$A$349:$A$353,0))+INDEX('Scoring Method'!$B$188:$B$190,MATCH(P74,'Scoring Method'!$A$188:$A$190,0)),1)</f>
        <v/>
      </c>
      <c r="AZ74" s="96">
        <f>AY74*U74/100</f>
        <v/>
      </c>
      <c r="BA74" s="92" t="inlineStr">
        <is>
          <t>No chain signal</t>
        </is>
      </c>
      <c r="BB74" s="94" t="n">
        <v>1</v>
      </c>
      <c r="BC74" s="102" t="inlineStr">
        <is>
          <t>Small 0.25-0.35 AC</t>
        </is>
      </c>
      <c r="BD74" s="94" t="n">
        <v>0.9</v>
      </c>
      <c r="BE74" s="96">
        <f>ROUND(INDEX('Scoring Method'!$B$268:$B$276,MATCH(AE74,'Scoring Method'!$A$268:$A$276,0))+INDEX('Scoring Method'!$B$280:$B$288,MATCH(AP74,'Scoring Method'!$A$280:$A$288,0))+INDEX('Scoring Method'!$B$292:$B$296,MATCH(AQ74,'Scoring Method'!$A$292:$A$296,0))+INDEX('Scoring Method'!$B$300:$B$305,MATCH(AO74,'Scoring Method'!$A$300:$A$305,0))+INDEX('Scoring Method'!$B$309:$B$314,MATCH(AX74,'Scoring Method'!$A$309:$A$314,0))+INDEX('Scoring Method'!$B$337:$B$341,MATCH(X74,'Scoring Method'!$A$337:$A$341,0))+INDEX('Scoring Method'!$B$324:$B$326,MATCH(P74,'Scoring Method'!$A$324:$A$326,0)),1)</f>
        <v/>
      </c>
      <c r="BF74" s="96">
        <f>ROUND(INDEX('Scoring Method'!$B$268:$B$276,MATCH(AE74,'Scoring Method'!$A$268:$A$276,0))*BB74*BD74+INDEX('Scoring Method'!$B$280:$B$288,MATCH(AP74,'Scoring Method'!$A$280:$A$288,0))*BM74*BB74*BD74+INDEX('Scoring Method'!$B$292:$B$296,MATCH(AQ74,'Scoring Method'!$A$292:$A$296,0))*BD74+INDEX('Scoring Method'!$B$300:$B$305,MATCH(AO74,'Scoring Method'!$A$300:$A$305,0))*BM74*BB74+INDEX('Scoring Method'!$B$309:$B$314,MATCH(AX74,'Scoring Method'!$A$309:$A$314,0))+INDEX('Scoring Method'!$B$337:$B$341,MATCH(X74,'Scoring Method'!$A$337:$A$341,0))+INDEX('Scoring Method'!$B$324:$B$326,MATCH(P74,'Scoring Method'!$A$324:$A$326,0)),1)</f>
        <v/>
      </c>
      <c r="BG74" s="92" t="inlineStr">
        <is>
          <t>Fits (~$7,659/mo)</t>
        </is>
      </c>
      <c r="BH74" s="61" t="inlineStr">
        <is>
          <t>SU</t>
        </is>
      </c>
      <c r="BI74" s="61" t="inlineStr">
        <is>
          <t>Semi-Urban Residential</t>
        </is>
      </c>
      <c r="BJ74" s="61" t="inlineStr"/>
      <c r="BK74" s="61" t="inlineStr"/>
      <c r="BL74" s="61" t="inlineStr">
        <is>
          <t>SU corner unverified</t>
        </is>
      </c>
      <c r="BM74" s="61">
        <f>INDEX('Scoring Method'!$B$358:$B$363,MATCH(BL74,'Scoring Method'!$A$358:$A$363,0))</f>
        <v/>
      </c>
    </row>
    <row r="75" ht="15" customHeight="1" s="62">
      <c r="A75" s="92" t="n">
        <v>74</v>
      </c>
      <c r="B75" s="92" t="inlineStr">
        <is>
          <t>059-40-00-390.00</t>
        </is>
      </c>
      <c r="C75" s="92" t="inlineStr">
        <is>
          <t>5970 TAYLOR MILL RD</t>
        </is>
      </c>
      <c r="D75" s="92" t="inlineStr">
        <is>
          <t>HAMILTON WILLIAM W &amp; PAMELA S</t>
        </is>
      </c>
      <c r="E75" s="92" t="inlineStr">
        <is>
          <t>805 STEPHENS RD</t>
        </is>
      </c>
      <c r="F75" s="92" t="inlineStr">
        <is>
          <t>INDEPENDENCE</t>
        </is>
      </c>
      <c r="G75" s="92" t="inlineStr">
        <is>
          <t>KY</t>
        </is>
      </c>
      <c r="H75" s="92" t="inlineStr">
        <is>
          <t>AUTO SERVICE/REPAIR</t>
        </is>
      </c>
      <c r="I75" s="93" t="n">
        <v>66359</v>
      </c>
      <c r="J75" s="94">
        <f>I75/43560</f>
        <v/>
      </c>
      <c r="K75" s="93" t="n">
        <v>1087.5</v>
      </c>
      <c r="L75" s="95">
        <f>I75/(K75^2)</f>
        <v/>
      </c>
      <c r="M75" s="92" t="inlineStr">
        <is>
          <t>Poor &lt;10k/&gt;60k</t>
        </is>
      </c>
      <c r="N75" s="92" t="inlineStr">
        <is>
          <t>A</t>
        </is>
      </c>
      <c r="O75" s="92" t="inlineStr">
        <is>
          <t>Compact &gt;=.055</t>
        </is>
      </c>
      <c r="P75" s="92" t="inlineStr">
        <is>
          <t>Moderate</t>
        </is>
      </c>
      <c r="Q75" s="92" t="inlineStr">
        <is>
          <t>Out-of-city KY</t>
        </is>
      </c>
      <c r="R75" s="92" t="inlineStr">
        <is>
          <t>Individual</t>
        </is>
      </c>
      <c r="S75" s="92" t="n">
        <v>1</v>
      </c>
      <c r="T75" s="96">
        <f>INDEX('Scoring Method'!$B$6:$B$9,MATCH(M75,'Scoring Method'!$A$6:$A$9,0))+INDEX('Scoring Method'!$B$12:$B$16,MATCH(N75,'Scoring Method'!$A$12:$A$16,0))+INDEX('Scoring Method'!$B$19:$B$22,MATCH(O75,'Scoring Method'!$A$19:$A$22,0))+INDEX('Scoring Method'!$B$25:$B$27,MATCH(P75,'Scoring Method'!$A$25:$A$27,0))</f>
        <v/>
      </c>
      <c r="U75" s="96">
        <f>(INDEX('Scoring Method'!$B$30:$B$33,MATCH(Q75,'Scoring Method'!$A$30:$A$33,0))+INDEX('Scoring Method'!$B$36:$B$42,MATCH(R75,'Scoring Method'!$A$36:$A$42,0))+INDEX('Scoring Method'!$B$45:$B$47,MATCH(IF(S75=1,"1",IF(S75=2,"2","3+")),'Scoring Method'!$A$45:$A$47,0)))/90*100</f>
        <v/>
      </c>
      <c r="V75" s="96">
        <f>T75*U75/100</f>
        <v/>
      </c>
      <c r="W75" s="93" t="n">
        <v>1760</v>
      </c>
      <c r="X75" s="92" t="inlineStr">
        <is>
          <t>X (minimal hazard)</t>
        </is>
      </c>
      <c r="Y75" s="93" t="n">
        <v>63000</v>
      </c>
      <c r="Z75" s="97" t="n"/>
      <c r="AA75" s="98">
        <f>MAX(0,(Y75-5000)/300)</f>
        <v/>
      </c>
      <c r="AB75" s="92" t="n"/>
      <c r="AC75" s="92" t="n"/>
      <c r="AD75" s="92" t="n"/>
      <c r="AE75" s="92" t="inlineStr">
        <is>
          <t>Target 1.5-2.5k</t>
        </is>
      </c>
      <c r="AF75" s="96">
        <f>INDEX('Scoring Method'!$B$63:$B$71,MATCH(AE75,'Scoring Method'!$A$63:$A$71,0))+INDEX('Scoring Method'!$B$75:$B$79,MATCH("Ample &gt;=15k",'Scoring Method'!$A$75:$A$79,0))+INDEX('Scoring Method'!$B$343:$B$347,MATCH(X75,'Scoring Method'!$A$343:$A$347,0))+INDEX('Scoring Method'!$B$25:$B$27,MATCH(P75,'Scoring Method'!$A$25:$A$27,0))</f>
        <v/>
      </c>
      <c r="AG75" s="96">
        <f>AF75*U75/100</f>
        <v/>
      </c>
      <c r="AH75" s="92" t="inlineStr">
        <is>
          <t>LINK-GIS + LoopNet (2026-08-02)</t>
        </is>
      </c>
      <c r="AI75" s="99" t="n">
        <v>38.97465</v>
      </c>
      <c r="AJ75" s="99" t="n">
        <v>-84.50132000000001</v>
      </c>
      <c r="AK75" s="94" t="n">
        <v>7.63</v>
      </c>
      <c r="AL75" s="94" t="n">
        <v>8.039999999999999</v>
      </c>
      <c r="AM75" s="94" t="n">
        <v>8.779999999999999</v>
      </c>
      <c r="AN75" s="94" t="n">
        <v>7.57</v>
      </c>
      <c r="AO75" s="92" t="inlineStr">
        <is>
          <t>Remote &gt;3mi</t>
        </is>
      </c>
      <c r="AP75" s="92" t="inlineStr">
        <is>
          <t>Open span</t>
        </is>
      </c>
      <c r="AQ75" s="92" t="inlineStr">
        <is>
          <t>Ample &gt;=15k</t>
        </is>
      </c>
      <c r="AR75" s="100" t="n"/>
      <c r="AS75" s="96">
        <f>ROUND(INDEX('Scoring Method'!$B$63:$B$70,MATCH(AE75,'Scoring Method'!$A$63:$A$70,0))*0.625+INDEX('Scoring Method'!$B$105:$B$113,MATCH(AP75,'Scoring Method'!$A$105:$A$113,0))+INDEX('Scoring Method'!$B$74:$B$78,MATCH(AQ75,'Scoring Method'!$A$74:$A$78,0))*0.6667+INDEX('Scoring Method'!$B$96:$B$101,MATCH(AO75,'Scoring Method'!$A$96:$A$101,0))+INDEX('Scoring Method'!$B$343:$B$347,MATCH(X75,'Scoring Method'!$A$343:$A$347,0))*0.3333+INDEX('Scoring Method'!$B$25:$B$27,MATCH(P75,'Scoring Method'!$A$25:$A$27,0))*0.3333,1)</f>
        <v/>
      </c>
      <c r="AT75" s="96">
        <f>AS75*U75/100</f>
        <v/>
      </c>
      <c r="AU75" s="92" t="inlineStr">
        <is>
          <t>South Covington</t>
        </is>
      </c>
      <c r="AV75" s="92" t="n">
        <v>88</v>
      </c>
      <c r="AW75" s="92" t="inlineStr">
        <is>
          <t>Sourced</t>
        </is>
      </c>
      <c r="AX75" s="92" t="inlineStr">
        <is>
          <t>Very safe 80+</t>
        </is>
      </c>
      <c r="AY75" s="96">
        <f>ROUND(INDEX('Scoring Method'!$B$132:$B$140,MATCH(AE75,'Scoring Method'!$A$132:$A$140,0))+INDEX('Scoring Method'!$B$144:$B$152,MATCH(AP75,'Scoring Method'!$A$144:$A$152,0))+INDEX('Scoring Method'!$B$156:$B$160,MATCH(AQ75,'Scoring Method'!$A$156:$A$160,0))+INDEX('Scoring Method'!$B$164:$B$169,MATCH(AO75,'Scoring Method'!$A$164:$A$169,0))+INDEX('Scoring Method'!$B$173:$B$178,MATCH(AX75,'Scoring Method'!$A$173:$A$178,0))+INDEX('Scoring Method'!$B$349:$B$353,MATCH(X75,'Scoring Method'!$A$349:$A$353,0))+INDEX('Scoring Method'!$B$188:$B$190,MATCH(P75,'Scoring Method'!$A$188:$A$190,0)),1)</f>
        <v/>
      </c>
      <c r="AZ75" s="96">
        <f>AY75*U75/100</f>
        <v/>
      </c>
      <c r="BA75" s="92" t="inlineStr">
        <is>
          <t>No chain signal</t>
        </is>
      </c>
      <c r="BB75" s="94" t="n">
        <v>1</v>
      </c>
      <c r="BC75" s="103" t="inlineStr">
        <is>
          <t>Oversized &gt;1.25 AC</t>
        </is>
      </c>
      <c r="BD75" s="94" t="n">
        <v>0.65</v>
      </c>
      <c r="BE75" s="96">
        <f>ROUND(INDEX('Scoring Method'!$B$268:$B$276,MATCH(AE75,'Scoring Method'!$A$268:$A$276,0))+INDEX('Scoring Method'!$B$280:$B$288,MATCH(AP75,'Scoring Method'!$A$280:$A$288,0))+INDEX('Scoring Method'!$B$292:$B$296,MATCH(AQ75,'Scoring Method'!$A$292:$A$296,0))+INDEX('Scoring Method'!$B$300:$B$305,MATCH(AO75,'Scoring Method'!$A$300:$A$305,0))+INDEX('Scoring Method'!$B$309:$B$314,MATCH(AX75,'Scoring Method'!$A$309:$A$314,0))+INDEX('Scoring Method'!$B$337:$B$341,MATCH(X75,'Scoring Method'!$A$337:$A$341,0))+INDEX('Scoring Method'!$B$324:$B$326,MATCH(P75,'Scoring Method'!$A$324:$A$326,0)),1)</f>
        <v/>
      </c>
      <c r="BF75" s="96">
        <f>ROUND(INDEX('Scoring Method'!$B$268:$B$276,MATCH(AE75,'Scoring Method'!$A$268:$A$276,0))*BB75*BD75+INDEX('Scoring Method'!$B$280:$B$288,MATCH(AP75,'Scoring Method'!$A$280:$A$288,0))*BM75*BB75*BD75+INDEX('Scoring Method'!$B$292:$B$296,MATCH(AQ75,'Scoring Method'!$A$292:$A$296,0))*BD75+INDEX('Scoring Method'!$B$300:$B$305,MATCH(AO75,'Scoring Method'!$A$300:$A$305,0))*BM75*BB75+INDEX('Scoring Method'!$B$309:$B$314,MATCH(AX75,'Scoring Method'!$A$309:$A$314,0))+INDEX('Scoring Method'!$B$337:$B$341,MATCH(X75,'Scoring Method'!$A$337:$A$341,0))+INDEX('Scoring Method'!$B$324:$B$326,MATCH(P75,'Scoring Method'!$A$324:$A$326,0)),1)</f>
        <v/>
      </c>
      <c r="BG75" s="92" t="inlineStr">
        <is>
          <t>Fits (~$1,613/mo)</t>
        </is>
      </c>
      <c r="BH75" s="61" t="inlineStr">
        <is>
          <t>CMU</t>
        </is>
      </c>
      <c r="BI75" s="61" t="inlineStr">
        <is>
          <t>Commercial Mixed Use</t>
        </is>
      </c>
      <c r="BJ75" s="61" t="inlineStr"/>
      <c r="BK75" s="61" t="inlineStr"/>
      <c r="BL75" s="61" t="inlineStr">
        <is>
          <t>Bar permitted</t>
        </is>
      </c>
      <c r="BM75" s="61">
        <f>INDEX('Scoring Method'!$B$358:$B$363,MATCH(BL75,'Scoring Method'!$A$358:$A$363,0))</f>
        <v/>
      </c>
    </row>
    <row r="76" ht="15" customHeight="1" s="62">
      <c r="A76" s="92" t="n">
        <v>75</v>
      </c>
      <c r="B76" s="92" t="inlineStr">
        <is>
          <t>056-13-10-001.00</t>
        </is>
      </c>
      <c r="C76" s="92" t="inlineStr">
        <is>
          <t>120 W 35TH ST</t>
        </is>
      </c>
      <c r="D76" s="92" t="inlineStr">
        <is>
          <t>120 W 35TH LLC</t>
        </is>
      </c>
      <c r="E76" s="92" t="inlineStr">
        <is>
          <t>5 GLENRIDGE DR</t>
        </is>
      </c>
      <c r="F76" s="92" t="inlineStr">
        <is>
          <t>COLD SPRING</t>
        </is>
      </c>
      <c r="G76" s="92" t="inlineStr">
        <is>
          <t>KY</t>
        </is>
      </c>
      <c r="H76" s="92" t="inlineStr">
        <is>
          <t>WAREHOUSE 20001 - 100000 SQ FT</t>
        </is>
      </c>
      <c r="I76" s="93" t="n">
        <v>28849</v>
      </c>
      <c r="J76" s="94">
        <f>I76/43560</f>
        <v/>
      </c>
      <c r="K76" s="93" t="n">
        <v>715</v>
      </c>
      <c r="L76" s="95">
        <f>I76/(K76^2)</f>
        <v/>
      </c>
      <c r="M76" s="92" t="inlineStr">
        <is>
          <t>Ideal 18-32k</t>
        </is>
      </c>
      <c r="N76" s="92" t="inlineStr">
        <is>
          <t>B</t>
        </is>
      </c>
      <c r="O76" s="92" t="inlineStr">
        <is>
          <t>Compact &gt;=.055</t>
        </is>
      </c>
      <c r="P76" s="92" t="inlineStr">
        <is>
          <t>Low</t>
        </is>
      </c>
      <c r="Q76" s="92" t="inlineStr">
        <is>
          <t>Out-of-city KY</t>
        </is>
      </c>
      <c r="R76" s="92" t="inlineStr">
        <is>
          <t>Operating entity</t>
        </is>
      </c>
      <c r="S76" s="92" t="n">
        <v>1</v>
      </c>
      <c r="T76" s="96">
        <f>INDEX('Scoring Method'!$B$6:$B$9,MATCH(M76,'Scoring Method'!$A$6:$A$9,0))+INDEX('Scoring Method'!$B$12:$B$16,MATCH(N76,'Scoring Method'!$A$12:$A$16,0))+INDEX('Scoring Method'!$B$19:$B$22,MATCH(O76,'Scoring Method'!$A$19:$A$22,0))+INDEX('Scoring Method'!$B$25:$B$27,MATCH(P76,'Scoring Method'!$A$25:$A$27,0))</f>
        <v/>
      </c>
      <c r="U76" s="96">
        <f>(INDEX('Scoring Method'!$B$30:$B$33,MATCH(Q76,'Scoring Method'!$A$30:$A$33,0))+INDEX('Scoring Method'!$B$36:$B$42,MATCH(R76,'Scoring Method'!$A$36:$A$42,0))+INDEX('Scoring Method'!$B$45:$B$47,MATCH(IF(S76=1,"1",IF(S76=2,"2","3+")),'Scoring Method'!$A$45:$A$47,0)))/90*100</f>
        <v/>
      </c>
      <c r="V76" s="96">
        <f>T76*U76/100</f>
        <v/>
      </c>
      <c r="W76" s="93" t="n">
        <v>18600</v>
      </c>
      <c r="X76" s="92" t="inlineStr">
        <is>
          <t>X (minimal hazard)</t>
        </is>
      </c>
      <c r="Y76" s="93" t="n">
        <v>5250</v>
      </c>
      <c r="Z76" s="97">
        <f>W76/I76</f>
        <v/>
      </c>
      <c r="AA76" s="98">
        <f>MAX(0,(Y76-5000)/300)</f>
        <v/>
      </c>
      <c r="AB76" s="92" t="n"/>
      <c r="AC76" s="92" t="n">
        <v>0.66</v>
      </c>
      <c r="AD76" s="92" t="inlineStr">
        <is>
          <t>ok</t>
        </is>
      </c>
      <c r="AE76" s="92" t="inlineStr">
        <is>
          <t>Far oversize &gt;12k</t>
        </is>
      </c>
      <c r="AF76" s="96">
        <f>INDEX('Scoring Method'!$B$63:$B$71,MATCH(AE76,'Scoring Method'!$A$63:$A$71,0))+INDEX('Scoring Method'!$B$75:$B$79,MATCH("Adequate 5-8k",'Scoring Method'!$A$75:$A$79,0))+INDEX('Scoring Method'!$B$343:$B$347,MATCH(X76,'Scoring Method'!$A$343:$A$347,0))+INDEX('Scoring Method'!$B$25:$B$27,MATCH(P76,'Scoring Method'!$A$25:$A$27,0))</f>
        <v/>
      </c>
      <c r="AG76" s="96">
        <f>AF76*U76/100</f>
        <v/>
      </c>
      <c r="AH76" s="92" t="inlineStr">
        <is>
          <t>LINK-GIS + LoopNet</t>
        </is>
      </c>
      <c r="AI76" s="99" t="n">
        <v>39.0493</v>
      </c>
      <c r="AJ76" s="99" t="n">
        <v>-84.50505</v>
      </c>
      <c r="AK76" s="94" t="n">
        <v>2.52</v>
      </c>
      <c r="AL76" s="94" t="n">
        <v>2.88</v>
      </c>
      <c r="AM76" s="94" t="n">
        <v>3.63</v>
      </c>
      <c r="AN76" s="94" t="n">
        <v>2.42</v>
      </c>
      <c r="AO76" s="92" t="inlineStr">
        <is>
          <t>Distant 2-3mi</t>
        </is>
      </c>
      <c r="AP76" s="92" t="inlineStr">
        <is>
          <t>Open span</t>
        </is>
      </c>
      <c r="AQ76" s="92" t="inlineStr">
        <is>
          <t>Adequate 5-8k</t>
        </is>
      </c>
      <c r="AR76" s="100" t="n"/>
      <c r="AS76" s="96">
        <f>ROUND(INDEX('Scoring Method'!$B$63:$B$70,MATCH(AE76,'Scoring Method'!$A$63:$A$70,0))*0.625+INDEX('Scoring Method'!$B$105:$B$113,MATCH(AP76,'Scoring Method'!$A$105:$A$113,0))+INDEX('Scoring Method'!$B$74:$B$78,MATCH(AQ76,'Scoring Method'!$A$74:$A$78,0))*0.6667+INDEX('Scoring Method'!$B$96:$B$101,MATCH(AO76,'Scoring Method'!$A$96:$A$101,0))+INDEX('Scoring Method'!$B$343:$B$347,MATCH(X76,'Scoring Method'!$A$343:$A$347,0))*0.3333+INDEX('Scoring Method'!$B$25:$B$27,MATCH(P76,'Scoring Method'!$A$25:$A$27,0))*0.3333,1)</f>
        <v/>
      </c>
      <c r="AT76" s="96">
        <f>AS76*U76/100</f>
        <v/>
      </c>
      <c r="AU76" s="92" t="inlineStr">
        <is>
          <t>Latonia</t>
        </is>
      </c>
      <c r="AV76" s="92" t="n">
        <v>78</v>
      </c>
      <c r="AW76" s="92" t="inlineStr">
        <is>
          <t>Sourced</t>
        </is>
      </c>
      <c r="AX76" s="92" t="inlineStr">
        <is>
          <t>Safe 70-79</t>
        </is>
      </c>
      <c r="AY76" s="96">
        <f>ROUND(INDEX('Scoring Method'!$B$132:$B$140,MATCH(AE76,'Scoring Method'!$A$132:$A$140,0))+INDEX('Scoring Method'!$B$144:$B$152,MATCH(AP76,'Scoring Method'!$A$144:$A$152,0))+INDEX('Scoring Method'!$B$156:$B$160,MATCH(AQ76,'Scoring Method'!$A$156:$A$160,0))+INDEX('Scoring Method'!$B$164:$B$169,MATCH(AO76,'Scoring Method'!$A$164:$A$169,0))+INDEX('Scoring Method'!$B$173:$B$178,MATCH(AX76,'Scoring Method'!$A$173:$A$178,0))+INDEX('Scoring Method'!$B$349:$B$353,MATCH(X76,'Scoring Method'!$A$349:$A$353,0))+INDEX('Scoring Method'!$B$188:$B$190,MATCH(P76,'Scoring Method'!$A$188:$A$190,0)),1)</f>
        <v/>
      </c>
      <c r="AZ76" s="96">
        <f>AY76*U76/100</f>
        <v/>
      </c>
      <c r="BA76" s="92" t="inlineStr">
        <is>
          <t>No chain signal</t>
        </is>
      </c>
      <c r="BB76" s="94" t="n">
        <v>1</v>
      </c>
      <c r="BC76" s="92" t="inlineStr">
        <is>
          <t>Right-sized 0.35-0.75 AC</t>
        </is>
      </c>
      <c r="BD76" s="94" t="n">
        <v>1</v>
      </c>
      <c r="BE76" s="96">
        <f>ROUND(INDEX('Scoring Method'!$B$268:$B$276,MATCH(AE76,'Scoring Method'!$A$268:$A$276,0))+INDEX('Scoring Method'!$B$280:$B$288,MATCH(AP76,'Scoring Method'!$A$280:$A$288,0))+INDEX('Scoring Method'!$B$292:$B$296,MATCH(AQ76,'Scoring Method'!$A$292:$A$296,0))+INDEX('Scoring Method'!$B$300:$B$305,MATCH(AO76,'Scoring Method'!$A$300:$A$305,0))+INDEX('Scoring Method'!$B$309:$B$314,MATCH(AX76,'Scoring Method'!$A$309:$A$314,0))+INDEX('Scoring Method'!$B$337:$B$341,MATCH(X76,'Scoring Method'!$A$337:$A$341,0))+INDEX('Scoring Method'!$B$324:$B$326,MATCH(P76,'Scoring Method'!$A$324:$A$326,0)),1)</f>
        <v/>
      </c>
      <c r="BF76" s="96">
        <f>ROUND(INDEX('Scoring Method'!$B$268:$B$276,MATCH(AE76,'Scoring Method'!$A$268:$A$276,0))*BB76*BD76+INDEX('Scoring Method'!$B$280:$B$288,MATCH(AP76,'Scoring Method'!$A$280:$A$288,0))*BM76*BB76*BD76+INDEX('Scoring Method'!$B$292:$B$296,MATCH(AQ76,'Scoring Method'!$A$292:$A$296,0))*BD76+INDEX('Scoring Method'!$B$300:$B$305,MATCH(AO76,'Scoring Method'!$A$300:$A$305,0))*BM76*BB76+INDEX('Scoring Method'!$B$309:$B$314,MATCH(AX76,'Scoring Method'!$A$309:$A$314,0))+INDEX('Scoring Method'!$B$337:$B$341,MATCH(X76,'Scoring Method'!$A$337:$A$341,0))+INDEX('Scoring Method'!$B$324:$B$326,MATCH(P76,'Scoring Method'!$A$324:$A$326,0)),1)</f>
        <v/>
      </c>
      <c r="BG76" s="102" t="inlineStr">
        <is>
          <t>Over (~$17,050/mo)</t>
        </is>
      </c>
      <c r="BH76" s="61" t="inlineStr">
        <is>
          <t>LI</t>
        </is>
      </c>
      <c r="BI76" s="61" t="inlineStr">
        <is>
          <t>Limited Industrial</t>
        </is>
      </c>
      <c r="BJ76" s="61" t="inlineStr"/>
      <c r="BK76" s="61" t="inlineStr"/>
      <c r="BL76" s="61" t="inlineStr">
        <is>
          <t>Bar prohibited, alt-path</t>
        </is>
      </c>
      <c r="BM76" s="61">
        <f>INDEX('Scoring Method'!$B$358:$B$363,MATCH(BL76,'Scoring Method'!$A$358:$A$363,0))</f>
        <v/>
      </c>
    </row>
    <row r="77" ht="15" customHeight="1" s="62">
      <c r="A77" s="92" t="n">
        <v>76</v>
      </c>
      <c r="B77" s="92" t="inlineStr">
        <is>
          <t>055-42-04-011.00</t>
        </is>
      </c>
      <c r="C77" s="92" t="inlineStr">
        <is>
          <t>14 E 30TH ST</t>
        </is>
      </c>
      <c r="D77" s="92" t="inlineStr">
        <is>
          <t>GSE INC</t>
        </is>
      </c>
      <c r="E77" s="92" t="inlineStr">
        <is>
          <t>13390 SERVICE RD</t>
        </is>
      </c>
      <c r="F77" s="92" t="inlineStr">
        <is>
          <t>WALTON</t>
        </is>
      </c>
      <c r="G77" s="92" t="inlineStr">
        <is>
          <t>KY</t>
        </is>
      </c>
      <c r="H77" s="92" t="inlineStr">
        <is>
          <t>CAR WASH</t>
        </is>
      </c>
      <c r="I77" s="93" t="n">
        <v>14255</v>
      </c>
      <c r="J77" s="94">
        <f>I77/43560</f>
        <v/>
      </c>
      <c r="K77" s="93" t="n">
        <v>477.7</v>
      </c>
      <c r="L77" s="95">
        <f>I77/(K77^2)</f>
        <v/>
      </c>
      <c r="M77" s="92" t="inlineStr">
        <is>
          <t>Near 14-18k/32-45k</t>
        </is>
      </c>
      <c r="N77" s="92" t="inlineStr">
        <is>
          <t>B</t>
        </is>
      </c>
      <c r="O77" s="92" t="inlineStr">
        <is>
          <t>Compact &gt;=.055</t>
        </is>
      </c>
      <c r="P77" s="92" t="inlineStr">
        <is>
          <t>Moderate</t>
        </is>
      </c>
      <c r="Q77" s="92" t="inlineStr">
        <is>
          <t>Out-of-city KY</t>
        </is>
      </c>
      <c r="R77" s="92" t="inlineStr">
        <is>
          <t>Operating entity</t>
        </is>
      </c>
      <c r="S77" s="92" t="n">
        <v>2</v>
      </c>
      <c r="T77" s="96">
        <f>INDEX('Scoring Method'!$B$6:$B$9,MATCH(M77,'Scoring Method'!$A$6:$A$9,0))+INDEX('Scoring Method'!$B$12:$B$16,MATCH(N77,'Scoring Method'!$A$12:$A$16,0))+INDEX('Scoring Method'!$B$19:$B$22,MATCH(O77,'Scoring Method'!$A$19:$A$22,0))+INDEX('Scoring Method'!$B$25:$B$27,MATCH(P77,'Scoring Method'!$A$25:$A$27,0))</f>
        <v/>
      </c>
      <c r="U77" s="96">
        <f>(INDEX('Scoring Method'!$B$30:$B$33,MATCH(Q77,'Scoring Method'!$A$30:$A$33,0))+INDEX('Scoring Method'!$B$36:$B$42,MATCH(R77,'Scoring Method'!$A$36:$A$42,0))+INDEX('Scoring Method'!$B$45:$B$47,MATCH(IF(S77=1,"1",IF(S77=2,"2","3+")),'Scoring Method'!$A$45:$A$47,0)))/90*100</f>
        <v/>
      </c>
      <c r="V77" s="96">
        <f>T77*U77/100</f>
        <v/>
      </c>
      <c r="W77" s="93" t="n">
        <v>2185</v>
      </c>
      <c r="X77" s="92" t="inlineStr">
        <is>
          <t>X shaded (0.2%)</t>
        </is>
      </c>
      <c r="Y77" s="93" t="n">
        <v>11400</v>
      </c>
      <c r="Z77" s="97" t="n"/>
      <c r="AA77" s="98">
        <f>MAX(0,(Y77-5000)/300)</f>
        <v/>
      </c>
      <c r="AB77" s="92" t="n"/>
      <c r="AC77" s="92" t="n"/>
      <c r="AD77" s="92" t="n"/>
      <c r="AE77" s="92" t="inlineStr">
        <is>
          <t>Target 1.5-2.5k</t>
        </is>
      </c>
      <c r="AF77" s="96">
        <f>INDEX('Scoring Method'!$B$63:$B$71,MATCH(AE77,'Scoring Method'!$A$63:$A$71,0))+INDEX('Scoring Method'!$B$75:$B$79,MATCH("Good 8-15k",'Scoring Method'!$A$75:$A$79,0))+INDEX('Scoring Method'!$B$343:$B$347,MATCH(X77,'Scoring Method'!$A$343:$A$347,0))+INDEX('Scoring Method'!$B$25:$B$27,MATCH(P77,'Scoring Method'!$A$25:$A$27,0))</f>
        <v/>
      </c>
      <c r="AG77" s="96">
        <f>AF77*U77/100</f>
        <v/>
      </c>
      <c r="AH77" s="92" t="inlineStr">
        <is>
          <t>LINK-GIS + LoopNet (2026-08-02)</t>
        </is>
      </c>
      <c r="AI77" s="99" t="n">
        <v>39.05446</v>
      </c>
      <c r="AJ77" s="99" t="n">
        <v>-84.50256</v>
      </c>
      <c r="AK77" s="94" t="n">
        <v>2.23</v>
      </c>
      <c r="AL77" s="94" t="n">
        <v>2.53</v>
      </c>
      <c r="AM77" s="94" t="n">
        <v>3.29</v>
      </c>
      <c r="AN77" s="94" t="n">
        <v>2.09</v>
      </c>
      <c r="AO77" s="92" t="inlineStr">
        <is>
          <t>Distant 2-3mi</t>
        </is>
      </c>
      <c r="AP77" s="92" t="inlineStr">
        <is>
          <t>Lot / minimal bldg</t>
        </is>
      </c>
      <c r="AQ77" s="92" t="inlineStr">
        <is>
          <t>Good 8-15k</t>
        </is>
      </c>
      <c r="AR77" s="100" t="n"/>
      <c r="AS77" s="96">
        <f>ROUND(INDEX('Scoring Method'!$B$63:$B$70,MATCH(AE77,'Scoring Method'!$A$63:$A$70,0))*0.625+INDEX('Scoring Method'!$B$105:$B$113,MATCH(AP77,'Scoring Method'!$A$105:$A$113,0))+INDEX('Scoring Method'!$B$74:$B$78,MATCH(AQ77,'Scoring Method'!$A$74:$A$78,0))*0.6667+INDEX('Scoring Method'!$B$96:$B$101,MATCH(AO77,'Scoring Method'!$A$96:$A$101,0))+INDEX('Scoring Method'!$B$343:$B$347,MATCH(X77,'Scoring Method'!$A$343:$A$347,0))*0.3333+INDEX('Scoring Method'!$B$25:$B$27,MATCH(P77,'Scoring Method'!$A$25:$A$27,0))*0.3333,1)</f>
        <v/>
      </c>
      <c r="AT77" s="96">
        <f>AS77*U77/100</f>
        <v/>
      </c>
      <c r="AU77" s="92" t="inlineStr">
        <is>
          <t>Latonia</t>
        </is>
      </c>
      <c r="AV77" s="92" t="n">
        <v>78</v>
      </c>
      <c r="AW77" s="92" t="inlineStr">
        <is>
          <t>Sourced</t>
        </is>
      </c>
      <c r="AX77" s="92" t="inlineStr">
        <is>
          <t>Safe 70-79</t>
        </is>
      </c>
      <c r="AY77" s="96">
        <f>ROUND(INDEX('Scoring Method'!$B$132:$B$140,MATCH(AE77,'Scoring Method'!$A$132:$A$140,0))+INDEX('Scoring Method'!$B$144:$B$152,MATCH(AP77,'Scoring Method'!$A$144:$A$152,0))+INDEX('Scoring Method'!$B$156:$B$160,MATCH(AQ77,'Scoring Method'!$A$156:$A$160,0))+INDEX('Scoring Method'!$B$164:$B$169,MATCH(AO77,'Scoring Method'!$A$164:$A$169,0))+INDEX('Scoring Method'!$B$173:$B$178,MATCH(AX77,'Scoring Method'!$A$173:$A$178,0))+INDEX('Scoring Method'!$B$349:$B$353,MATCH(X77,'Scoring Method'!$A$349:$A$353,0))+INDEX('Scoring Method'!$B$188:$B$190,MATCH(P77,'Scoring Method'!$A$188:$A$190,0)),1)</f>
        <v/>
      </c>
      <c r="AZ77" s="96">
        <f>AY77*U77/100</f>
        <v/>
      </c>
      <c r="BA77" s="92" t="inlineStr">
        <is>
          <t>No chain signal</t>
        </is>
      </c>
      <c r="BB77" s="94" t="n">
        <v>1</v>
      </c>
      <c r="BC77" s="102" t="inlineStr">
        <is>
          <t>Small 0.25-0.35 AC</t>
        </is>
      </c>
      <c r="BD77" s="94" t="n">
        <v>0.9</v>
      </c>
      <c r="BE77" s="96">
        <f>ROUND(INDEX('Scoring Method'!$B$268:$B$276,MATCH(AE77,'Scoring Method'!$A$268:$A$276,0))+INDEX('Scoring Method'!$B$280:$B$288,MATCH(AP77,'Scoring Method'!$A$280:$A$288,0))+INDEX('Scoring Method'!$B$292:$B$296,MATCH(AQ77,'Scoring Method'!$A$292:$A$296,0))+INDEX('Scoring Method'!$B$300:$B$305,MATCH(AO77,'Scoring Method'!$A$300:$A$305,0))+INDEX('Scoring Method'!$B$309:$B$314,MATCH(AX77,'Scoring Method'!$A$309:$A$314,0))+INDEX('Scoring Method'!$B$337:$B$341,MATCH(X77,'Scoring Method'!$A$337:$A$341,0))+INDEX('Scoring Method'!$B$324:$B$326,MATCH(P77,'Scoring Method'!$A$324:$A$326,0)),1)</f>
        <v/>
      </c>
      <c r="BF77" s="96">
        <f>ROUND(INDEX('Scoring Method'!$B$268:$B$276,MATCH(AE77,'Scoring Method'!$A$268:$A$276,0))*BB77*BD77+INDEX('Scoring Method'!$B$280:$B$288,MATCH(AP77,'Scoring Method'!$A$280:$A$288,0))*BM77*BB77*BD77+INDEX('Scoring Method'!$B$292:$B$296,MATCH(AQ77,'Scoring Method'!$A$292:$A$296,0))*BD77+INDEX('Scoring Method'!$B$300:$B$305,MATCH(AO77,'Scoring Method'!$A$300:$A$305,0))*BM77*BB77+INDEX('Scoring Method'!$B$309:$B$314,MATCH(AX77,'Scoring Method'!$A$309:$A$314,0))+INDEX('Scoring Method'!$B$337:$B$341,MATCH(X77,'Scoring Method'!$A$337:$A$341,0))+INDEX('Scoring Method'!$B$324:$B$326,MATCH(P77,'Scoring Method'!$A$324:$A$326,0)),1)</f>
        <v/>
      </c>
      <c r="BG77" s="92" t="inlineStr">
        <is>
          <t>Fits (~$2,003/mo)</t>
        </is>
      </c>
      <c r="BH77" s="61" t="inlineStr">
        <is>
          <t>AUC</t>
        </is>
      </c>
      <c r="BI77" s="61" t="inlineStr">
        <is>
          <t>Auto-Urban Commercial</t>
        </is>
      </c>
      <c r="BJ77" s="61" t="inlineStr"/>
      <c r="BK77" s="61" t="inlineStr"/>
      <c r="BL77" s="61" t="inlineStr">
        <is>
          <t>Bar permitted</t>
        </is>
      </c>
      <c r="BM77" s="61">
        <f>INDEX('Scoring Method'!$B$358:$B$363,MATCH(BL77,'Scoring Method'!$A$358:$A$363,0))</f>
        <v/>
      </c>
    </row>
    <row r="78" ht="15" customHeight="1" s="62">
      <c r="A78" s="92" t="n">
        <v>77</v>
      </c>
      <c r="B78" s="92" t="inlineStr">
        <is>
          <t>041-33-06-007.00</t>
        </is>
      </c>
      <c r="C78" s="92" t="inlineStr">
        <is>
          <t>1246 W PIKE ST</t>
        </is>
      </c>
      <c r="D78" s="92" t="inlineStr">
        <is>
          <t>GABHART LAND COMPANY LLC</t>
        </is>
      </c>
      <c r="E78" s="92" t="inlineStr">
        <is>
          <t>6590 S 1050 E</t>
        </is>
      </c>
      <c r="F78" s="92" t="inlineStr">
        <is>
          <t>LOOGOOTEE</t>
        </is>
      </c>
      <c r="G78" s="92" t="inlineStr">
        <is>
          <t>IN</t>
        </is>
      </c>
      <c r="H78" s="92" t="inlineStr">
        <is>
          <t>LAND/W MISCELLANEOUS IMPROVEMENT</t>
        </is>
      </c>
      <c r="I78" s="93" t="n">
        <v>27837</v>
      </c>
      <c r="J78" s="94">
        <f>I78/43560</f>
        <v/>
      </c>
      <c r="K78" s="93" t="n">
        <v>944.6</v>
      </c>
      <c r="L78" s="95">
        <f>I78/(K78^2)</f>
        <v/>
      </c>
      <c r="M78" s="92" t="inlineStr">
        <is>
          <t>Ideal 18-32k</t>
        </is>
      </c>
      <c r="N78" s="92" t="inlineStr">
        <is>
          <t>D</t>
        </is>
      </c>
      <c r="O78" s="92" t="inlineStr">
        <is>
          <t>Irregular &lt;.035</t>
        </is>
      </c>
      <c r="P78" s="92" t="inlineStr">
        <is>
          <t>Low</t>
        </is>
      </c>
      <c r="Q78" s="92" t="inlineStr">
        <is>
          <t>Out-of-state</t>
        </is>
      </c>
      <c r="R78" s="92" t="inlineStr">
        <is>
          <t>Passive vehicle</t>
        </is>
      </c>
      <c r="S78" s="92" t="n">
        <v>1</v>
      </c>
      <c r="T78" s="96">
        <f>INDEX('Scoring Method'!$B$6:$B$9,MATCH(M78,'Scoring Method'!$A$6:$A$9,0))+INDEX('Scoring Method'!$B$12:$B$16,MATCH(N78,'Scoring Method'!$A$12:$A$16,0))+INDEX('Scoring Method'!$B$19:$B$22,MATCH(O78,'Scoring Method'!$A$19:$A$22,0))+INDEX('Scoring Method'!$B$25:$B$27,MATCH(P78,'Scoring Method'!$A$25:$A$27,0))</f>
        <v/>
      </c>
      <c r="U78" s="96">
        <f>(INDEX('Scoring Method'!$B$30:$B$33,MATCH(Q78,'Scoring Method'!$A$30:$A$33,0))+INDEX('Scoring Method'!$B$36:$B$42,MATCH(R78,'Scoring Method'!$A$36:$A$42,0))+INDEX('Scoring Method'!$B$45:$B$47,MATCH(IF(S78=1,"1",IF(S78=2,"2","3+")),'Scoring Method'!$A$45:$A$47,0)))/90*100</f>
        <v/>
      </c>
      <c r="V78" s="96">
        <f>T78*U78/100</f>
        <v/>
      </c>
      <c r="W78" s="93" t="n">
        <v>1437</v>
      </c>
      <c r="X78" s="92" t="inlineStr">
        <is>
          <t>X (minimal hazard)</t>
        </is>
      </c>
      <c r="Y78" s="93" t="n">
        <v>26025</v>
      </c>
      <c r="Z78" s="97" t="n"/>
      <c r="AA78" s="98">
        <f>MAX(0,(Y78-5000)/300)</f>
        <v/>
      </c>
      <c r="AB78" s="92" t="n"/>
      <c r="AC78" s="92" t="n"/>
      <c r="AD78" s="92" t="n"/>
      <c r="AE78" s="92" t="inlineStr">
        <is>
          <t>Below 1.2-1.5k</t>
        </is>
      </c>
      <c r="AF78" s="96">
        <f>INDEX('Scoring Method'!$B$63:$B$71,MATCH(AE78,'Scoring Method'!$A$63:$A$71,0))+INDEX('Scoring Method'!$B$75:$B$79,MATCH("Ample &gt;=15k",'Scoring Method'!$A$75:$A$79,0))+INDEX('Scoring Method'!$B$343:$B$347,MATCH(X78,'Scoring Method'!$A$343:$A$347,0))+INDEX('Scoring Method'!$B$25:$B$27,MATCH(P78,'Scoring Method'!$A$25:$A$27,0))</f>
        <v/>
      </c>
      <c r="AG78" s="96">
        <f>AF78*U78/100</f>
        <v/>
      </c>
      <c r="AH78" s="92" t="inlineStr">
        <is>
          <t>LINK-GIS only</t>
        </is>
      </c>
      <c r="AI78" s="99" t="n">
        <v>39.07302</v>
      </c>
      <c r="AJ78" s="99" t="n">
        <v>-84.52124000000001</v>
      </c>
      <c r="AK78" s="94" t="n">
        <v>0.8100000000000001</v>
      </c>
      <c r="AL78" s="94" t="n">
        <v>1.41</v>
      </c>
      <c r="AM78" s="94" t="n">
        <v>2.02</v>
      </c>
      <c r="AN78" s="94" t="n">
        <v>0.8100000000000001</v>
      </c>
      <c r="AO78" s="92" t="inlineStr">
        <is>
          <t>Fringe 0.75-1.25mi</t>
        </is>
      </c>
      <c r="AP78" s="92" t="inlineStr">
        <is>
          <t>Lot / minimal bldg</t>
        </is>
      </c>
      <c r="AQ78" s="92" t="inlineStr">
        <is>
          <t>Ample &gt;=15k</t>
        </is>
      </c>
      <c r="AR78" s="100" t="n"/>
      <c r="AS78" s="96">
        <f>ROUND(INDEX('Scoring Method'!$B$63:$B$70,MATCH(AE78,'Scoring Method'!$A$63:$A$70,0))*0.625+INDEX('Scoring Method'!$B$105:$B$113,MATCH(AP78,'Scoring Method'!$A$105:$A$113,0))+INDEX('Scoring Method'!$B$74:$B$78,MATCH(AQ78,'Scoring Method'!$A$74:$A$78,0))*0.6667+INDEX('Scoring Method'!$B$96:$B$101,MATCH(AO78,'Scoring Method'!$A$96:$A$101,0))+INDEX('Scoring Method'!$B$343:$B$347,MATCH(X78,'Scoring Method'!$A$343:$A$347,0))*0.3333+INDEX('Scoring Method'!$B$25:$B$27,MATCH(P78,'Scoring Method'!$A$25:$A$27,0))*0.3333,1)</f>
        <v/>
      </c>
      <c r="AT78" s="96">
        <f>AS78*U78/100</f>
        <v/>
      </c>
      <c r="AU78" s="92" t="inlineStr">
        <is>
          <t>Lewisburg</t>
        </is>
      </c>
      <c r="AV78" s="92" t="n">
        <v>65</v>
      </c>
      <c r="AW78" s="92" t="inlineStr">
        <is>
          <t>Sourced</t>
        </is>
      </c>
      <c r="AX78" s="92" t="inlineStr">
        <is>
          <t>Moderate 60-69</t>
        </is>
      </c>
      <c r="AY78" s="96">
        <f>ROUND(INDEX('Scoring Method'!$B$132:$B$140,MATCH(AE78,'Scoring Method'!$A$132:$A$140,0))+INDEX('Scoring Method'!$B$144:$B$152,MATCH(AP78,'Scoring Method'!$A$144:$A$152,0))+INDEX('Scoring Method'!$B$156:$B$160,MATCH(AQ78,'Scoring Method'!$A$156:$A$160,0))+INDEX('Scoring Method'!$B$164:$B$169,MATCH(AO78,'Scoring Method'!$A$164:$A$169,0))+INDEX('Scoring Method'!$B$173:$B$178,MATCH(AX78,'Scoring Method'!$A$173:$A$178,0))+INDEX('Scoring Method'!$B$349:$B$353,MATCH(X78,'Scoring Method'!$A$349:$A$353,0))+INDEX('Scoring Method'!$B$188:$B$190,MATCH(P78,'Scoring Method'!$A$188:$A$190,0)),1)</f>
        <v/>
      </c>
      <c r="AZ78" s="96">
        <f>AY78*U78/100</f>
        <v/>
      </c>
      <c r="BA78" s="92" t="inlineStr">
        <is>
          <t>No chain signal</t>
        </is>
      </c>
      <c r="BB78" s="94" t="n">
        <v>1</v>
      </c>
      <c r="BC78" s="92" t="inlineStr">
        <is>
          <t>Right-sized 0.35-0.75 AC</t>
        </is>
      </c>
      <c r="BD78" s="94" t="n">
        <v>1</v>
      </c>
      <c r="BE78" s="96">
        <f>ROUND(INDEX('Scoring Method'!$B$268:$B$276,MATCH(AE78,'Scoring Method'!$A$268:$A$276,0))+INDEX('Scoring Method'!$B$280:$B$288,MATCH(AP78,'Scoring Method'!$A$280:$A$288,0))+INDEX('Scoring Method'!$B$292:$B$296,MATCH(AQ78,'Scoring Method'!$A$292:$A$296,0))+INDEX('Scoring Method'!$B$300:$B$305,MATCH(AO78,'Scoring Method'!$A$300:$A$305,0))+INDEX('Scoring Method'!$B$309:$B$314,MATCH(AX78,'Scoring Method'!$A$309:$A$314,0))+INDEX('Scoring Method'!$B$337:$B$341,MATCH(X78,'Scoring Method'!$A$337:$A$341,0))+INDEX('Scoring Method'!$B$324:$B$326,MATCH(P78,'Scoring Method'!$A$324:$A$326,0)),1)</f>
        <v/>
      </c>
      <c r="BF78" s="96">
        <f>ROUND(INDEX('Scoring Method'!$B$268:$B$276,MATCH(AE78,'Scoring Method'!$A$268:$A$276,0))*BB78*BD78+INDEX('Scoring Method'!$B$280:$B$288,MATCH(AP78,'Scoring Method'!$A$280:$A$288,0))*BM78*BB78*BD78+INDEX('Scoring Method'!$B$292:$B$296,MATCH(AQ78,'Scoring Method'!$A$292:$A$296,0))*BD78+INDEX('Scoring Method'!$B$300:$B$305,MATCH(AO78,'Scoring Method'!$A$300:$A$305,0))*BM78*BB78+INDEX('Scoring Method'!$B$309:$B$314,MATCH(AX78,'Scoring Method'!$A$309:$A$314,0))+INDEX('Scoring Method'!$B$337:$B$341,MATCH(X78,'Scoring Method'!$A$337:$A$341,0))+INDEX('Scoring Method'!$B$324:$B$326,MATCH(P78,'Scoring Method'!$A$324:$A$326,0)),1)</f>
        <v/>
      </c>
      <c r="BG78" s="92" t="inlineStr">
        <is>
          <t>Fits (~$1,317/mo)</t>
        </is>
      </c>
      <c r="BH78" s="61" t="inlineStr">
        <is>
          <t>SU</t>
        </is>
      </c>
      <c r="BI78" s="61" t="inlineStr">
        <is>
          <t>Semi-Urban Residential</t>
        </is>
      </c>
      <c r="BJ78" s="61" t="inlineStr"/>
      <c r="BK78" s="61" t="inlineStr"/>
      <c r="BL78" s="61" t="inlineStr">
        <is>
          <t>SU corner unverified</t>
        </is>
      </c>
      <c r="BM78" s="61">
        <f>INDEX('Scoring Method'!$B$358:$B$363,MATCH(BL78,'Scoring Method'!$A$358:$A$363,0))</f>
        <v/>
      </c>
    </row>
    <row r="79" ht="15" customHeight="1" s="62">
      <c r="A79" s="92" t="n">
        <v>78</v>
      </c>
      <c r="B79" s="92" t="inlineStr">
        <is>
          <t>054-12-01-003.00</t>
        </is>
      </c>
      <c r="C79" s="92" t="inlineStr">
        <is>
          <t>209 JOHNSON ST</t>
        </is>
      </c>
      <c r="D79" s="92" t="inlineStr">
        <is>
          <t>RICHMOND RODNEY C TRUSTEE</t>
        </is>
      </c>
      <c r="E79" s="92" t="inlineStr">
        <is>
          <t>4063 BALBOA DR</t>
        </is>
      </c>
      <c r="F79" s="92" t="inlineStr">
        <is>
          <t>BATAVIA</t>
        </is>
      </c>
      <c r="G79" s="92" t="inlineStr">
        <is>
          <t>OH</t>
        </is>
      </c>
      <c r="H79" s="92" t="inlineStr">
        <is>
          <t>SMALL SHOP</t>
        </is>
      </c>
      <c r="I79" s="93" t="n">
        <v>12915</v>
      </c>
      <c r="J79" s="94">
        <f>I79/43560</f>
        <v/>
      </c>
      <c r="K79" s="93" t="n">
        <v>444.9</v>
      </c>
      <c r="L79" s="95">
        <f>I79/(K79^2)</f>
        <v/>
      </c>
      <c r="M79" s="92" t="inlineStr">
        <is>
          <t>Marginal 10-14k/45-60k</t>
        </is>
      </c>
      <c r="N79" s="92" t="inlineStr">
        <is>
          <t>A</t>
        </is>
      </c>
      <c r="O79" s="92" t="inlineStr">
        <is>
          <t>Compact &gt;=.055</t>
        </is>
      </c>
      <c r="P79" s="92" t="inlineStr">
        <is>
          <t>Low</t>
        </is>
      </c>
      <c r="Q79" s="92" t="inlineStr">
        <is>
          <t>Out-of-state</t>
        </is>
      </c>
      <c r="R79" s="92" t="inlineStr">
        <is>
          <t>Operating entity</t>
        </is>
      </c>
      <c r="S79" s="92" t="n">
        <v>1</v>
      </c>
      <c r="T79" s="96">
        <f>INDEX('Scoring Method'!$B$6:$B$9,MATCH(M79,'Scoring Method'!$A$6:$A$9,0))+INDEX('Scoring Method'!$B$12:$B$16,MATCH(N79,'Scoring Method'!$A$12:$A$16,0))+INDEX('Scoring Method'!$B$19:$B$22,MATCH(O79,'Scoring Method'!$A$19:$A$22,0))+INDEX('Scoring Method'!$B$25:$B$27,MATCH(P79,'Scoring Method'!$A$25:$A$27,0))</f>
        <v/>
      </c>
      <c r="U79" s="96">
        <f>(INDEX('Scoring Method'!$B$30:$B$33,MATCH(Q79,'Scoring Method'!$A$30:$A$33,0))+INDEX('Scoring Method'!$B$36:$B$42,MATCH(R79,'Scoring Method'!$A$36:$A$42,0))+INDEX('Scoring Method'!$B$45:$B$47,MATCH(IF(S79=1,"1",IF(S79=2,"2","3+")),'Scoring Method'!$A$45:$A$47,0)))/90*100</f>
        <v/>
      </c>
      <c r="V79" s="96">
        <f>T79*U79/100</f>
        <v/>
      </c>
      <c r="W79" s="93" t="n">
        <v>3000</v>
      </c>
      <c r="X79" s="92" t="inlineStr">
        <is>
          <t>X (levee-protected)</t>
        </is>
      </c>
      <c r="Y79" s="93" t="n">
        <v>9900</v>
      </c>
      <c r="Z79" s="97">
        <f>W79/I79</f>
        <v/>
      </c>
      <c r="AA79" s="98">
        <f>MAX(0,(Y79-5000)/300)</f>
        <v/>
      </c>
      <c r="AB79" s="92" t="n"/>
      <c r="AC79" s="92" t="n">
        <v>0.15</v>
      </c>
      <c r="AD79" s="102" t="inlineStr">
        <is>
          <t>CHECK</t>
        </is>
      </c>
      <c r="AE79" s="92" t="inlineStr">
        <is>
          <t>Above 2.5-4k</t>
        </is>
      </c>
      <c r="AF79" s="96">
        <f>INDEX('Scoring Method'!$B$63:$B$71,MATCH(AE79,'Scoring Method'!$A$63:$A$71,0))+INDEX('Scoring Method'!$B$75:$B$79,MATCH("Good 8-15k",'Scoring Method'!$A$75:$A$79,0))+INDEX('Scoring Method'!$B$343:$B$347,MATCH(X79,'Scoring Method'!$A$343:$A$347,0))+INDEX('Scoring Method'!$B$25:$B$27,MATCH(P79,'Scoring Method'!$A$25:$A$27,0))</f>
        <v/>
      </c>
      <c r="AG79" s="96">
        <f>AF79*U79/100</f>
        <v/>
      </c>
      <c r="AH79" s="92" t="inlineStr">
        <is>
          <t>LINK-GIS + LoopNet</t>
        </is>
      </c>
      <c r="AI79" s="99" t="n">
        <v>39.08776</v>
      </c>
      <c r="AJ79" s="99" t="n">
        <v>-84.51622</v>
      </c>
      <c r="AK79" s="94" t="n">
        <v>0.25</v>
      </c>
      <c r="AL79" s="94" t="n">
        <v>0.47</v>
      </c>
      <c r="AM79" s="94" t="n">
        <v>0.97</v>
      </c>
      <c r="AN79" s="94" t="n">
        <v>0.13</v>
      </c>
      <c r="AO79" s="92" t="inlineStr">
        <is>
          <t>Core &lt;=0.35mi</t>
        </is>
      </c>
      <c r="AP79" s="92" t="inlineStr">
        <is>
          <t>Open span</t>
        </is>
      </c>
      <c r="AQ79" s="92" t="inlineStr">
        <is>
          <t>Good 8-15k</t>
        </is>
      </c>
      <c r="AR79" s="100" t="n"/>
      <c r="AS79" s="96">
        <f>ROUND(INDEX('Scoring Method'!$B$63:$B$70,MATCH(AE79,'Scoring Method'!$A$63:$A$70,0))*0.625+INDEX('Scoring Method'!$B$105:$B$113,MATCH(AP79,'Scoring Method'!$A$105:$A$113,0))+INDEX('Scoring Method'!$B$74:$B$78,MATCH(AQ79,'Scoring Method'!$A$74:$A$78,0))*0.6667+INDEX('Scoring Method'!$B$96:$B$101,MATCH(AO79,'Scoring Method'!$A$96:$A$101,0))+INDEX('Scoring Method'!$B$343:$B$347,MATCH(X79,'Scoring Method'!$A$343:$A$347,0))*0.3333+INDEX('Scoring Method'!$B$25:$B$27,MATCH(P79,'Scoring Method'!$A$25:$A$27,0))*0.3333,1)</f>
        <v/>
      </c>
      <c r="AT79" s="96">
        <f>AS79*U79/100</f>
        <v/>
      </c>
      <c r="AU79" s="92" t="inlineStr">
        <is>
          <t>Botany Hills / Riverfront West</t>
        </is>
      </c>
      <c r="AV79" s="92" t="n">
        <v>45</v>
      </c>
      <c r="AW79" s="101" t="inlineStr">
        <is>
          <t>ESTIMATED</t>
        </is>
      </c>
      <c r="AX79" s="92" t="inlineStr">
        <is>
          <t>Mixed 45-59</t>
        </is>
      </c>
      <c r="AY79" s="96">
        <f>ROUND(INDEX('Scoring Method'!$B$132:$B$140,MATCH(AE79,'Scoring Method'!$A$132:$A$140,0))+INDEX('Scoring Method'!$B$144:$B$152,MATCH(AP79,'Scoring Method'!$A$144:$A$152,0))+INDEX('Scoring Method'!$B$156:$B$160,MATCH(AQ79,'Scoring Method'!$A$156:$A$160,0))+INDEX('Scoring Method'!$B$164:$B$169,MATCH(AO79,'Scoring Method'!$A$164:$A$169,0))+INDEX('Scoring Method'!$B$173:$B$178,MATCH(AX79,'Scoring Method'!$A$173:$A$178,0))+INDEX('Scoring Method'!$B$349:$B$353,MATCH(X79,'Scoring Method'!$A$349:$A$353,0))+INDEX('Scoring Method'!$B$188:$B$190,MATCH(P79,'Scoring Method'!$A$188:$A$190,0)),1)</f>
        <v/>
      </c>
      <c r="AZ79" s="96">
        <f>AY79*U79/100</f>
        <v/>
      </c>
      <c r="BA79" s="92" t="inlineStr">
        <is>
          <t>No chain signal</t>
        </is>
      </c>
      <c r="BB79" s="94" t="n">
        <v>1</v>
      </c>
      <c r="BC79" s="102" t="inlineStr">
        <is>
          <t>Small 0.25-0.35 AC</t>
        </is>
      </c>
      <c r="BD79" s="94" t="n">
        <v>0.9</v>
      </c>
      <c r="BE79" s="96">
        <f>ROUND(INDEX('Scoring Method'!$B$268:$B$276,MATCH(AE79,'Scoring Method'!$A$268:$A$276,0))+INDEX('Scoring Method'!$B$280:$B$288,MATCH(AP79,'Scoring Method'!$A$280:$A$288,0))+INDEX('Scoring Method'!$B$292:$B$296,MATCH(AQ79,'Scoring Method'!$A$292:$A$296,0))+INDEX('Scoring Method'!$B$300:$B$305,MATCH(AO79,'Scoring Method'!$A$300:$A$305,0))+INDEX('Scoring Method'!$B$309:$B$314,MATCH(AX79,'Scoring Method'!$A$309:$A$314,0))+INDEX('Scoring Method'!$B$337:$B$341,MATCH(X79,'Scoring Method'!$A$337:$A$341,0))+INDEX('Scoring Method'!$B$324:$B$326,MATCH(P79,'Scoring Method'!$A$324:$A$326,0)),1)</f>
        <v/>
      </c>
      <c r="BF79" s="96">
        <f>ROUND(INDEX('Scoring Method'!$B$268:$B$276,MATCH(AE79,'Scoring Method'!$A$268:$A$276,0))*BB79*BD79+INDEX('Scoring Method'!$B$280:$B$288,MATCH(AP79,'Scoring Method'!$A$280:$A$288,0))*BM79*BB79*BD79+INDEX('Scoring Method'!$B$292:$B$296,MATCH(AQ79,'Scoring Method'!$A$292:$A$296,0))*BD79+INDEX('Scoring Method'!$B$300:$B$305,MATCH(AO79,'Scoring Method'!$A$300:$A$305,0))*BM79*BB79+INDEX('Scoring Method'!$B$309:$B$314,MATCH(AX79,'Scoring Method'!$A$309:$A$314,0))+INDEX('Scoring Method'!$B$337:$B$341,MATCH(X79,'Scoring Method'!$A$337:$A$341,0))+INDEX('Scoring Method'!$B$324:$B$326,MATCH(P79,'Scoring Method'!$A$324:$A$326,0)),1)</f>
        <v/>
      </c>
      <c r="BG79" s="92" t="inlineStr">
        <is>
          <t>Fits (~$2,750/mo)</t>
        </is>
      </c>
      <c r="BH79" s="61" t="inlineStr">
        <is>
          <t>AUC</t>
        </is>
      </c>
      <c r="BI79" s="61" t="inlineStr">
        <is>
          <t>Auto-Urban Commercial</t>
        </is>
      </c>
      <c r="BJ79" s="61" t="inlineStr"/>
      <c r="BK79" s="61" t="inlineStr"/>
      <c r="BL79" s="61" t="inlineStr">
        <is>
          <t>Bar permitted</t>
        </is>
      </c>
      <c r="BM79" s="61">
        <f>INDEX('Scoring Method'!$B$358:$B$363,MATCH(BL79,'Scoring Method'!$A$358:$A$363,0))</f>
        <v/>
      </c>
    </row>
    <row r="80" ht="15" customHeight="1" s="62">
      <c r="A80" s="92" t="n">
        <v>79</v>
      </c>
      <c r="B80" s="92" t="inlineStr">
        <is>
          <t>055-42-04-009.00</t>
        </is>
      </c>
      <c r="C80" s="92" t="inlineStr">
        <is>
          <t>120 E 30TH ST</t>
        </is>
      </c>
      <c r="D80" s="92" t="inlineStr">
        <is>
          <t>KENTUCKY BUGS LLC</t>
        </is>
      </c>
      <c r="E80" s="92" t="inlineStr">
        <is>
          <t>520 DELANCEY ST</t>
        </is>
      </c>
      <c r="F80" s="92" t="inlineStr">
        <is>
          <t>PHILADELPHIA</t>
        </is>
      </c>
      <c r="G80" s="92" t="inlineStr">
        <is>
          <t>PA</t>
        </is>
      </c>
      <c r="H80" s="92" t="inlineStr">
        <is>
          <t>SMALL SHOP</t>
        </is>
      </c>
      <c r="I80" s="93" t="n">
        <v>12609</v>
      </c>
      <c r="J80" s="94">
        <f>I80/43560</f>
        <v/>
      </c>
      <c r="K80" s="93" t="n">
        <v>452.9</v>
      </c>
      <c r="L80" s="95">
        <f>I80/(K80^2)</f>
        <v/>
      </c>
      <c r="M80" s="92" t="inlineStr">
        <is>
          <t>Marginal 10-14k/45-60k</t>
        </is>
      </c>
      <c r="N80" s="92" t="inlineStr">
        <is>
          <t>A</t>
        </is>
      </c>
      <c r="O80" s="92" t="inlineStr">
        <is>
          <t>Compact &gt;=.055</t>
        </is>
      </c>
      <c r="P80" s="92" t="inlineStr">
        <is>
          <t>Low</t>
        </is>
      </c>
      <c r="Q80" s="92" t="inlineStr">
        <is>
          <t>Out-of-state</t>
        </is>
      </c>
      <c r="R80" s="92" t="inlineStr">
        <is>
          <t>Operating entity</t>
        </is>
      </c>
      <c r="S80" s="92" t="n">
        <v>1</v>
      </c>
      <c r="T80" s="96">
        <f>INDEX('Scoring Method'!$B$6:$B$9,MATCH(M80,'Scoring Method'!$A$6:$A$9,0))+INDEX('Scoring Method'!$B$12:$B$16,MATCH(N80,'Scoring Method'!$A$12:$A$16,0))+INDEX('Scoring Method'!$B$19:$B$22,MATCH(O80,'Scoring Method'!$A$19:$A$22,0))+INDEX('Scoring Method'!$B$25:$B$27,MATCH(P80,'Scoring Method'!$A$25:$A$27,0))</f>
        <v/>
      </c>
      <c r="U80" s="96">
        <f>(INDEX('Scoring Method'!$B$30:$B$33,MATCH(Q80,'Scoring Method'!$A$30:$A$33,0))+INDEX('Scoring Method'!$B$36:$B$42,MATCH(R80,'Scoring Method'!$A$36:$A$42,0))+INDEX('Scoring Method'!$B$45:$B$47,MATCH(IF(S80=1,"1",IF(S80=2,"2","3+")),'Scoring Method'!$A$45:$A$47,0)))/90*100</f>
        <v/>
      </c>
      <c r="V80" s="96">
        <f>T80*U80/100</f>
        <v/>
      </c>
      <c r="W80" s="93" t="n">
        <v>3370</v>
      </c>
      <c r="X80" s="92" t="inlineStr">
        <is>
          <t>X shaded (0.2%)</t>
        </is>
      </c>
      <c r="Y80" s="93" t="n">
        <v>4825</v>
      </c>
      <c r="Z80" s="97">
        <f>W80/I80</f>
        <v/>
      </c>
      <c r="AA80" s="98">
        <f>MAX(0,(Y80-5000)/300)</f>
        <v/>
      </c>
      <c r="AB80" s="92" t="n"/>
      <c r="AC80" s="92" t="n">
        <v>0.29</v>
      </c>
      <c r="AD80" s="92" t="inlineStr">
        <is>
          <t>ok</t>
        </is>
      </c>
      <c r="AE80" s="92" t="inlineStr">
        <is>
          <t>Above 2.5-4k</t>
        </is>
      </c>
      <c r="AF80" s="96">
        <f>INDEX('Scoring Method'!$B$63:$B$71,MATCH(AE80,'Scoring Method'!$A$63:$A$71,0))+INDEX('Scoring Method'!$B$75:$B$79,MATCH("Tight 2-5k",'Scoring Method'!$A$75:$A$79,0))+INDEX('Scoring Method'!$B$343:$B$347,MATCH(X80,'Scoring Method'!$A$343:$A$347,0))+INDEX('Scoring Method'!$B$25:$B$27,MATCH(P80,'Scoring Method'!$A$25:$A$27,0))</f>
        <v/>
      </c>
      <c r="AG80" s="96">
        <f>AF80*U80/100</f>
        <v/>
      </c>
      <c r="AH80" s="92" t="inlineStr">
        <is>
          <t>LINK-GIS + LoopNet</t>
        </is>
      </c>
      <c r="AI80" s="99" t="n">
        <v>39.05492</v>
      </c>
      <c r="AJ80" s="99" t="n">
        <v>-84.50153</v>
      </c>
      <c r="AK80" s="94" t="n">
        <v>2.22</v>
      </c>
      <c r="AL80" s="94" t="n">
        <v>2.51</v>
      </c>
      <c r="AM80" s="94" t="n">
        <v>3.27</v>
      </c>
      <c r="AN80" s="94" t="n">
        <v>2.07</v>
      </c>
      <c r="AO80" s="92" t="inlineStr">
        <is>
          <t>Distant 2-3mi</t>
        </is>
      </c>
      <c r="AP80" s="92" t="inlineStr">
        <is>
          <t>Open span</t>
        </is>
      </c>
      <c r="AQ80" s="92" t="inlineStr">
        <is>
          <t>Tight 2-5k</t>
        </is>
      </c>
      <c r="AR80" s="100" t="n"/>
      <c r="AS80" s="96">
        <f>ROUND(INDEX('Scoring Method'!$B$63:$B$70,MATCH(AE80,'Scoring Method'!$A$63:$A$70,0))*0.625+INDEX('Scoring Method'!$B$105:$B$113,MATCH(AP80,'Scoring Method'!$A$105:$A$113,0))+INDEX('Scoring Method'!$B$74:$B$78,MATCH(AQ80,'Scoring Method'!$A$74:$A$78,0))*0.6667+INDEX('Scoring Method'!$B$96:$B$101,MATCH(AO80,'Scoring Method'!$A$96:$A$101,0))+INDEX('Scoring Method'!$B$343:$B$347,MATCH(X80,'Scoring Method'!$A$343:$A$347,0))*0.3333+INDEX('Scoring Method'!$B$25:$B$27,MATCH(P80,'Scoring Method'!$A$25:$A$27,0))*0.3333,1)</f>
        <v/>
      </c>
      <c r="AT80" s="96">
        <f>AS80*U80/100</f>
        <v/>
      </c>
      <c r="AU80" s="92" t="inlineStr">
        <is>
          <t>Latonia</t>
        </is>
      </c>
      <c r="AV80" s="92" t="n">
        <v>78</v>
      </c>
      <c r="AW80" s="92" t="inlineStr">
        <is>
          <t>Sourced</t>
        </is>
      </c>
      <c r="AX80" s="92" t="inlineStr">
        <is>
          <t>Safe 70-79</t>
        </is>
      </c>
      <c r="AY80" s="96">
        <f>ROUND(INDEX('Scoring Method'!$B$132:$B$140,MATCH(AE80,'Scoring Method'!$A$132:$A$140,0))+INDEX('Scoring Method'!$B$144:$B$152,MATCH(AP80,'Scoring Method'!$A$144:$A$152,0))+INDEX('Scoring Method'!$B$156:$B$160,MATCH(AQ80,'Scoring Method'!$A$156:$A$160,0))+INDEX('Scoring Method'!$B$164:$B$169,MATCH(AO80,'Scoring Method'!$A$164:$A$169,0))+INDEX('Scoring Method'!$B$173:$B$178,MATCH(AX80,'Scoring Method'!$A$173:$A$178,0))+INDEX('Scoring Method'!$B$349:$B$353,MATCH(X80,'Scoring Method'!$A$349:$A$353,0))+INDEX('Scoring Method'!$B$188:$B$190,MATCH(P80,'Scoring Method'!$A$188:$A$190,0)),1)</f>
        <v/>
      </c>
      <c r="AZ80" s="96">
        <f>AY80*U80/100</f>
        <v/>
      </c>
      <c r="BA80" s="92" t="inlineStr">
        <is>
          <t>No chain signal</t>
        </is>
      </c>
      <c r="BB80" s="94" t="n">
        <v>1</v>
      </c>
      <c r="BC80" s="102" t="inlineStr">
        <is>
          <t>Small 0.25-0.35 AC</t>
        </is>
      </c>
      <c r="BD80" s="94" t="n">
        <v>0.9</v>
      </c>
      <c r="BE80" s="96">
        <f>ROUND(INDEX('Scoring Method'!$B$268:$B$276,MATCH(AE80,'Scoring Method'!$A$268:$A$276,0))+INDEX('Scoring Method'!$B$280:$B$288,MATCH(AP80,'Scoring Method'!$A$280:$A$288,0))+INDEX('Scoring Method'!$B$292:$B$296,MATCH(AQ80,'Scoring Method'!$A$292:$A$296,0))+INDEX('Scoring Method'!$B$300:$B$305,MATCH(AO80,'Scoring Method'!$A$300:$A$305,0))+INDEX('Scoring Method'!$B$309:$B$314,MATCH(AX80,'Scoring Method'!$A$309:$A$314,0))+INDEX('Scoring Method'!$B$337:$B$341,MATCH(X80,'Scoring Method'!$A$337:$A$341,0))+INDEX('Scoring Method'!$B$324:$B$326,MATCH(P80,'Scoring Method'!$A$324:$A$326,0)),1)</f>
        <v/>
      </c>
      <c r="BF80" s="96">
        <f>ROUND(INDEX('Scoring Method'!$B$268:$B$276,MATCH(AE80,'Scoring Method'!$A$268:$A$276,0))*BB80*BD80+INDEX('Scoring Method'!$B$280:$B$288,MATCH(AP80,'Scoring Method'!$A$280:$A$288,0))*BM80*BB80*BD80+INDEX('Scoring Method'!$B$292:$B$296,MATCH(AQ80,'Scoring Method'!$A$292:$A$296,0))*BD80+INDEX('Scoring Method'!$B$300:$B$305,MATCH(AO80,'Scoring Method'!$A$300:$A$305,0))*BM80*BB80+INDEX('Scoring Method'!$B$309:$B$314,MATCH(AX80,'Scoring Method'!$A$309:$A$314,0))+INDEX('Scoring Method'!$B$337:$B$341,MATCH(X80,'Scoring Method'!$A$337:$A$341,0))+INDEX('Scoring Method'!$B$324:$B$326,MATCH(P80,'Scoring Method'!$A$324:$A$326,0)),1)</f>
        <v/>
      </c>
      <c r="BG80" s="92" t="inlineStr">
        <is>
          <t>Fits (~$3,089/mo)</t>
        </is>
      </c>
      <c r="BH80" s="61" t="inlineStr">
        <is>
          <t>AUC</t>
        </is>
      </c>
      <c r="BI80" s="61" t="inlineStr">
        <is>
          <t>Auto-Urban Commercial</t>
        </is>
      </c>
      <c r="BJ80" s="61" t="inlineStr"/>
      <c r="BK80" s="61" t="inlineStr"/>
      <c r="BL80" s="61" t="inlineStr">
        <is>
          <t>Bar permitted</t>
        </is>
      </c>
      <c r="BM80" s="61">
        <f>INDEX('Scoring Method'!$B$358:$B$363,MATCH(BL80,'Scoring Method'!$A$358:$A$363,0))</f>
        <v/>
      </c>
    </row>
    <row r="81" ht="15" customHeight="1" s="62">
      <c r="A81" s="92" t="n">
        <v>80</v>
      </c>
      <c r="B81" s="92" t="inlineStr">
        <is>
          <t>040-43-08-001.00</t>
        </is>
      </c>
      <c r="C81" s="92" t="inlineStr">
        <is>
          <t>500 PHILADELPHIA ST</t>
        </is>
      </c>
      <c r="D81" s="92" t="inlineStr">
        <is>
          <t>FIFTH STREET CENTER</t>
        </is>
      </c>
      <c r="E81" s="92" t="inlineStr">
        <is>
          <t>541 BUTTERMILK PK STE 104</t>
        </is>
      </c>
      <c r="F81" s="92" t="inlineStr">
        <is>
          <t>CRESCENT SPRINGS</t>
        </is>
      </c>
      <c r="G81" s="92" t="inlineStr">
        <is>
          <t>KY</t>
        </is>
      </c>
      <c r="H81" s="92" t="inlineStr">
        <is>
          <t>OFFICE TOWER - 3 STORY &amp; UP</t>
        </is>
      </c>
      <c r="I81" s="93" t="n">
        <v>44555</v>
      </c>
      <c r="J81" s="94">
        <f>I81/43560</f>
        <v/>
      </c>
      <c r="K81" s="93" t="n">
        <v>887</v>
      </c>
      <c r="L81" s="95">
        <f>I81/(K81^2)</f>
        <v/>
      </c>
      <c r="M81" s="92" t="inlineStr">
        <is>
          <t>Near 14-18k/32-45k</t>
        </is>
      </c>
      <c r="N81" s="92" t="inlineStr">
        <is>
          <t>E</t>
        </is>
      </c>
      <c r="O81" s="92" t="inlineStr">
        <is>
          <t>Compact &gt;=.055</t>
        </is>
      </c>
      <c r="P81" s="92" t="inlineStr">
        <is>
          <t>Low</t>
        </is>
      </c>
      <c r="Q81" s="92" t="inlineStr">
        <is>
          <t>Out-of-city KY</t>
        </is>
      </c>
      <c r="R81" s="92" t="inlineStr">
        <is>
          <t>Individual</t>
        </is>
      </c>
      <c r="S81" s="92" t="n">
        <v>1</v>
      </c>
      <c r="T81" s="96">
        <f>INDEX('Scoring Method'!$B$6:$B$9,MATCH(M81,'Scoring Method'!$A$6:$A$9,0))+INDEX('Scoring Method'!$B$12:$B$16,MATCH(N81,'Scoring Method'!$A$12:$A$16,0))+INDEX('Scoring Method'!$B$19:$B$22,MATCH(O81,'Scoring Method'!$A$19:$A$22,0))+INDEX('Scoring Method'!$B$25:$B$27,MATCH(P81,'Scoring Method'!$A$25:$A$27,0))</f>
        <v/>
      </c>
      <c r="U81" s="96">
        <f>(INDEX('Scoring Method'!$B$30:$B$33,MATCH(Q81,'Scoring Method'!$A$30:$A$33,0))+INDEX('Scoring Method'!$B$36:$B$42,MATCH(R81,'Scoring Method'!$A$36:$A$42,0))+INDEX('Scoring Method'!$B$45:$B$47,MATCH(IF(S81=1,"1",IF(S81=2,"2","3+")),'Scoring Method'!$A$45:$A$47,0)))/90*100</f>
        <v/>
      </c>
      <c r="V81" s="96">
        <f>T81*U81/100</f>
        <v/>
      </c>
      <c r="W81" s="93" t="n">
        <v>49844</v>
      </c>
      <c r="X81" s="92" t="inlineStr">
        <is>
          <t>X (minimal hazard)</t>
        </is>
      </c>
      <c r="Y81" s="93" t="n">
        <v>20375</v>
      </c>
      <c r="Z81" s="97">
        <f>W81/I81</f>
        <v/>
      </c>
      <c r="AA81" s="98">
        <f>MAX(0,(Y81-5000)/300)</f>
        <v/>
      </c>
      <c r="AB81" s="92" t="n"/>
      <c r="AC81" s="92" t="n">
        <v>1.02</v>
      </c>
      <c r="AD81" s="92" t="inlineStr">
        <is>
          <t>ok</t>
        </is>
      </c>
      <c r="AE81" s="92" t="inlineStr">
        <is>
          <t>Office tower 3+ storey</t>
        </is>
      </c>
      <c r="AF81" s="96">
        <f>INDEX('Scoring Method'!$B$63:$B$71,MATCH(AE81,'Scoring Method'!$A$63:$A$71,0))+INDEX('Scoring Method'!$B$75:$B$79,MATCH("Ample &gt;=15k",'Scoring Method'!$A$75:$A$79,0))+INDEX('Scoring Method'!$B$343:$B$347,MATCH(X81,'Scoring Method'!$A$343:$A$347,0))+INDEX('Scoring Method'!$B$25:$B$27,MATCH(P81,'Scoring Method'!$A$25:$A$27,0))</f>
        <v/>
      </c>
      <c r="AG81" s="96">
        <f>AF81*U81/100</f>
        <v/>
      </c>
      <c r="AH81" s="92" t="inlineStr">
        <is>
          <t>LINK-GIS + LoopNet</t>
        </is>
      </c>
      <c r="AI81" s="99" t="n">
        <v>39.08485</v>
      </c>
      <c r="AJ81" s="99" t="n">
        <v>-84.51955</v>
      </c>
      <c r="AK81" s="94" t="n">
        <v>0.1</v>
      </c>
      <c r="AL81" s="94" t="n">
        <v>0.73</v>
      </c>
      <c r="AM81" s="94" t="n">
        <v>1.21</v>
      </c>
      <c r="AN81" s="94" t="n">
        <v>0.1</v>
      </c>
      <c r="AO81" s="92" t="inlineStr">
        <is>
          <t>Core &lt;=0.35mi</t>
        </is>
      </c>
      <c r="AP81" s="92" t="inlineStr">
        <is>
          <t>Office tower 3+ storey</t>
        </is>
      </c>
      <c r="AQ81" s="92" t="inlineStr">
        <is>
          <t>Ample &gt;=15k</t>
        </is>
      </c>
      <c r="AR81" s="100" t="n"/>
      <c r="AS81" s="96">
        <f>ROUND(INDEX('Scoring Method'!$B$63:$B$70,MATCH(AE81,'Scoring Method'!$A$63:$A$70,0))*0.625+INDEX('Scoring Method'!$B$105:$B$113,MATCH(AP81,'Scoring Method'!$A$105:$A$113,0))+INDEX('Scoring Method'!$B$74:$B$78,MATCH(AQ81,'Scoring Method'!$A$74:$A$78,0))*0.6667+INDEX('Scoring Method'!$B$96:$B$101,MATCH(AO81,'Scoring Method'!$A$96:$A$101,0))+INDEX('Scoring Method'!$B$343:$B$347,MATCH(X81,'Scoring Method'!$A$343:$A$347,0))*0.3333+INDEX('Scoring Method'!$B$25:$B$27,MATCH(P81,'Scoring Method'!$A$25:$A$27,0))*0.3333,1)</f>
        <v/>
      </c>
      <c r="AT81" s="96">
        <f>AS81*U81/100</f>
        <v/>
      </c>
      <c r="AU81" s="92" t="inlineStr">
        <is>
          <t>MainStrasse</t>
        </is>
      </c>
      <c r="AV81" s="92" t="n">
        <v>75</v>
      </c>
      <c r="AW81" s="92" t="inlineStr">
        <is>
          <t>Sourced</t>
        </is>
      </c>
      <c r="AX81" s="92" t="inlineStr">
        <is>
          <t>Safe 70-79</t>
        </is>
      </c>
      <c r="AY81" s="96">
        <f>ROUND(INDEX('Scoring Method'!$B$132:$B$140,MATCH(AE81,'Scoring Method'!$A$132:$A$140,0))+INDEX('Scoring Method'!$B$144:$B$152,MATCH(AP81,'Scoring Method'!$A$144:$A$152,0))+INDEX('Scoring Method'!$B$156:$B$160,MATCH(AQ81,'Scoring Method'!$A$156:$A$160,0))+INDEX('Scoring Method'!$B$164:$B$169,MATCH(AO81,'Scoring Method'!$A$164:$A$169,0))+INDEX('Scoring Method'!$B$173:$B$178,MATCH(AX81,'Scoring Method'!$A$173:$A$178,0))+INDEX('Scoring Method'!$B$349:$B$353,MATCH(X81,'Scoring Method'!$A$349:$A$353,0))+INDEX('Scoring Method'!$B$188:$B$190,MATCH(P81,'Scoring Method'!$A$188:$A$190,0)),1)</f>
        <v/>
      </c>
      <c r="AZ81" s="96">
        <f>AY81*U81/100</f>
        <v/>
      </c>
      <c r="BA81" s="92" t="inlineStr">
        <is>
          <t>No chain signal</t>
        </is>
      </c>
      <c r="BB81" s="94" t="n">
        <v>1</v>
      </c>
      <c r="BC81" s="102" t="inlineStr">
        <is>
          <t>Large 0.75-1.25 AC</t>
        </is>
      </c>
      <c r="BD81" s="94" t="n">
        <v>0.9</v>
      </c>
      <c r="BE81" s="96">
        <f>ROUND(INDEX('Scoring Method'!$B$268:$B$276,MATCH(AE81,'Scoring Method'!$A$268:$A$276,0))+INDEX('Scoring Method'!$B$280:$B$288,MATCH(AP81,'Scoring Method'!$A$280:$A$288,0))+INDEX('Scoring Method'!$B$292:$B$296,MATCH(AQ81,'Scoring Method'!$A$292:$A$296,0))+INDEX('Scoring Method'!$B$300:$B$305,MATCH(AO81,'Scoring Method'!$A$300:$A$305,0))+INDEX('Scoring Method'!$B$309:$B$314,MATCH(AX81,'Scoring Method'!$A$309:$A$314,0))+INDEX('Scoring Method'!$B$337:$B$341,MATCH(X81,'Scoring Method'!$A$337:$A$341,0))+INDEX('Scoring Method'!$B$324:$B$326,MATCH(P81,'Scoring Method'!$A$324:$A$326,0)),1)</f>
        <v/>
      </c>
      <c r="BF81" s="96">
        <f>ROUND(INDEX('Scoring Method'!$B$268:$B$276,MATCH(AE81,'Scoring Method'!$A$268:$A$276,0))*BB81*BD81+INDEX('Scoring Method'!$B$280:$B$288,MATCH(AP81,'Scoring Method'!$A$280:$A$288,0))*BM81*BB81*BD81+INDEX('Scoring Method'!$B$292:$B$296,MATCH(AQ81,'Scoring Method'!$A$292:$A$296,0))*BD81+INDEX('Scoring Method'!$B$300:$B$305,MATCH(AO81,'Scoring Method'!$A$300:$A$305,0))*BM81*BB81+INDEX('Scoring Method'!$B$309:$B$314,MATCH(AX81,'Scoring Method'!$A$309:$A$314,0))+INDEX('Scoring Method'!$B$337:$B$341,MATCH(X81,'Scoring Method'!$A$337:$A$341,0))+INDEX('Scoring Method'!$B$324:$B$326,MATCH(P81,'Scoring Method'!$A$324:$A$326,0)),1)</f>
        <v/>
      </c>
      <c r="BG81" s="102" t="inlineStr">
        <is>
          <t>Over (~$45,690/mo)</t>
        </is>
      </c>
      <c r="BH81" s="61" t="inlineStr">
        <is>
          <t>DTC</t>
        </is>
      </c>
      <c r="BI81" s="61" t="inlineStr">
        <is>
          <t>Downtown Core</t>
        </is>
      </c>
      <c r="BJ81" s="61" t="inlineStr"/>
      <c r="BK81" s="61" t="inlineStr"/>
      <c r="BL81" s="61" t="inlineStr">
        <is>
          <t>Bar permitted</t>
        </is>
      </c>
      <c r="BM81" s="61">
        <f>INDEX('Scoring Method'!$B$358:$B$363,MATCH(BL81,'Scoring Method'!$A$358:$A$363,0))</f>
        <v/>
      </c>
    </row>
    <row r="82" ht="15" customHeight="1" s="62">
      <c r="A82" s="92" t="n">
        <v>81</v>
      </c>
      <c r="B82" s="92" t="inlineStr">
        <is>
          <t>055-31-19-007.01</t>
        </is>
      </c>
      <c r="C82" s="92" t="inlineStr">
        <is>
          <t>521 OLIVER ST</t>
        </is>
      </c>
      <c r="D82" s="92" t="inlineStr">
        <is>
          <t>WOOSTER PROPERTIES LLC</t>
        </is>
      </c>
      <c r="E82" s="92" t="inlineStr">
        <is>
          <t>PO BOX 182</t>
        </is>
      </c>
      <c r="F82" s="92" t="inlineStr">
        <is>
          <t>COVINGTON</t>
        </is>
      </c>
      <c r="G82" s="92" t="inlineStr">
        <is>
          <t>KY</t>
        </is>
      </c>
      <c r="H82" s="92" t="inlineStr">
        <is>
          <t>SMALL SHOP</t>
        </is>
      </c>
      <c r="I82" s="93" t="n">
        <v>11223</v>
      </c>
      <c r="J82" s="94">
        <f>I82/43560</f>
        <v/>
      </c>
      <c r="K82" s="93" t="n">
        <v>424.5</v>
      </c>
      <c r="L82" s="95">
        <f>I82/(K82^2)</f>
        <v/>
      </c>
      <c r="M82" s="92" t="inlineStr">
        <is>
          <t>Marginal 10-14k/45-60k</t>
        </is>
      </c>
      <c r="N82" s="92" t="inlineStr">
        <is>
          <t>A</t>
        </is>
      </c>
      <c r="O82" s="92" t="inlineStr">
        <is>
          <t>Compact &gt;=.055</t>
        </is>
      </c>
      <c r="P82" s="92" t="inlineStr">
        <is>
          <t>Low</t>
        </is>
      </c>
      <c r="Q82" s="92" t="inlineStr">
        <is>
          <t>Local absentee</t>
        </is>
      </c>
      <c r="R82" s="92" t="inlineStr">
        <is>
          <t>Passive vehicle</t>
        </is>
      </c>
      <c r="S82" s="92" t="n">
        <v>1</v>
      </c>
      <c r="T82" s="96">
        <f>INDEX('Scoring Method'!$B$6:$B$9,MATCH(M82,'Scoring Method'!$A$6:$A$9,0))+INDEX('Scoring Method'!$B$12:$B$16,MATCH(N82,'Scoring Method'!$A$12:$A$16,0))+INDEX('Scoring Method'!$B$19:$B$22,MATCH(O82,'Scoring Method'!$A$19:$A$22,0))+INDEX('Scoring Method'!$B$25:$B$27,MATCH(P82,'Scoring Method'!$A$25:$A$27,0))</f>
        <v/>
      </c>
      <c r="U82" s="96">
        <f>(INDEX('Scoring Method'!$B$30:$B$33,MATCH(Q82,'Scoring Method'!$A$30:$A$33,0))+INDEX('Scoring Method'!$B$36:$B$42,MATCH(R82,'Scoring Method'!$A$36:$A$42,0))+INDEX('Scoring Method'!$B$45:$B$47,MATCH(IF(S82=1,"1",IF(S82=2,"2","3+")),'Scoring Method'!$A$45:$A$47,0)))/90*100</f>
        <v/>
      </c>
      <c r="V82" s="96">
        <f>T82*U82/100</f>
        <v/>
      </c>
      <c r="W82" s="93" t="n"/>
      <c r="X82" s="92" t="inlineStr">
        <is>
          <t>X (levee-protected)</t>
        </is>
      </c>
      <c r="Y82" s="93" t="n">
        <v>5100</v>
      </c>
      <c r="Z82" s="97" t="n"/>
      <c r="AA82" s="98" t="n"/>
      <c r="AB82" s="92" t="n"/>
      <c r="AC82" s="92" t="n">
        <v>0.26</v>
      </c>
      <c r="AD82" s="92" t="inlineStr">
        <is>
          <t>ok</t>
        </is>
      </c>
      <c r="AE82" s="92" t="inlineStr">
        <is>
          <t>No building</t>
        </is>
      </c>
      <c r="AF82" s="96">
        <f>INDEX('Scoring Method'!$B$63:$B$71,MATCH(AE82,'Scoring Method'!$A$63:$A$71,0))+INDEX('Scoring Method'!$B$75:$B$79,MATCH("Adequate 5-8k",'Scoring Method'!$A$75:$A$79,0))+INDEX('Scoring Method'!$B$343:$B$347,MATCH(X82,'Scoring Method'!$A$343:$A$347,0))+INDEX('Scoring Method'!$B$25:$B$27,MATCH(P82,'Scoring Method'!$A$25:$A$27,0))</f>
        <v/>
      </c>
      <c r="AG82" s="96">
        <f>AF82*U82/100</f>
        <v/>
      </c>
      <c r="AH82" s="92" t="inlineStr">
        <is>
          <t>LINK-GIS + LoopNet</t>
        </is>
      </c>
      <c r="AI82" s="99" t="n">
        <v>39.07343</v>
      </c>
      <c r="AJ82" s="99" t="n">
        <v>-84.49773</v>
      </c>
      <c r="AK82" s="94" t="n">
        <v>1.32</v>
      </c>
      <c r="AL82" s="94" t="n">
        <v>1.33</v>
      </c>
      <c r="AM82" s="94" t="n">
        <v>2.09</v>
      </c>
      <c r="AN82" s="94" t="n">
        <v>1.02</v>
      </c>
      <c r="AO82" s="92" t="inlineStr">
        <is>
          <t>Fringe 0.75-1.25mi</t>
        </is>
      </c>
      <c r="AP82" s="92" t="inlineStr">
        <is>
          <t>Open span</t>
        </is>
      </c>
      <c r="AQ82" s="92" t="inlineStr">
        <is>
          <t>Adequate 5-8k</t>
        </is>
      </c>
      <c r="AR82" s="100" t="n"/>
      <c r="AS82" s="96">
        <f>ROUND(INDEX('Scoring Method'!$B$63:$B$70,MATCH(AE82,'Scoring Method'!$A$63:$A$70,0))*0.625+INDEX('Scoring Method'!$B$105:$B$113,MATCH(AP82,'Scoring Method'!$A$105:$A$113,0))+INDEX('Scoring Method'!$B$74:$B$78,MATCH(AQ82,'Scoring Method'!$A$74:$A$78,0))*0.6667+INDEX('Scoring Method'!$B$96:$B$101,MATCH(AO82,'Scoring Method'!$A$96:$A$101,0))+INDEX('Scoring Method'!$B$343:$B$347,MATCH(X82,'Scoring Method'!$A$343:$A$347,0))*0.3333+INDEX('Scoring Method'!$B$25:$B$27,MATCH(P82,'Scoring Method'!$A$25:$A$27,0))*0.3333,1)</f>
        <v/>
      </c>
      <c r="AT82" s="96">
        <f>AS82*U82/100</f>
        <v/>
      </c>
      <c r="AU82" s="92" t="inlineStr">
        <is>
          <t>Austinburg</t>
        </is>
      </c>
      <c r="AV82" s="92" t="n">
        <v>32</v>
      </c>
      <c r="AW82" s="101" t="inlineStr">
        <is>
          <t>ESTIMATED</t>
        </is>
      </c>
      <c r="AX82" s="92" t="inlineStr">
        <is>
          <t>High &lt;35</t>
        </is>
      </c>
      <c r="AY82" s="96">
        <f>ROUND(INDEX('Scoring Method'!$B$132:$B$140,MATCH(AE82,'Scoring Method'!$A$132:$A$140,0))+INDEX('Scoring Method'!$B$144:$B$152,MATCH(AP82,'Scoring Method'!$A$144:$A$152,0))+INDEX('Scoring Method'!$B$156:$B$160,MATCH(AQ82,'Scoring Method'!$A$156:$A$160,0))+INDEX('Scoring Method'!$B$164:$B$169,MATCH(AO82,'Scoring Method'!$A$164:$A$169,0))+INDEX('Scoring Method'!$B$173:$B$178,MATCH(AX82,'Scoring Method'!$A$173:$A$178,0))+INDEX('Scoring Method'!$B$349:$B$353,MATCH(X82,'Scoring Method'!$A$349:$A$353,0))+INDEX('Scoring Method'!$B$188:$B$190,MATCH(P82,'Scoring Method'!$A$188:$A$190,0)),1)</f>
        <v/>
      </c>
      <c r="AZ82" s="96">
        <f>AY82*U82/100</f>
        <v/>
      </c>
      <c r="BA82" s="92" t="inlineStr">
        <is>
          <t>No chain signal</t>
        </is>
      </c>
      <c r="BB82" s="94" t="n">
        <v>1</v>
      </c>
      <c r="BC82" s="102" t="inlineStr">
        <is>
          <t>Small 0.25-0.35 AC</t>
        </is>
      </c>
      <c r="BD82" s="94" t="n">
        <v>0.9</v>
      </c>
      <c r="BE82" s="96">
        <f>ROUND(INDEX('Scoring Method'!$B$268:$B$276,MATCH(AE82,'Scoring Method'!$A$268:$A$276,0))+INDEX('Scoring Method'!$B$280:$B$288,MATCH(AP82,'Scoring Method'!$A$280:$A$288,0))+INDEX('Scoring Method'!$B$292:$B$296,MATCH(AQ82,'Scoring Method'!$A$292:$A$296,0))+INDEX('Scoring Method'!$B$300:$B$305,MATCH(AO82,'Scoring Method'!$A$300:$A$305,0))+INDEX('Scoring Method'!$B$309:$B$314,MATCH(AX82,'Scoring Method'!$A$309:$A$314,0))+INDEX('Scoring Method'!$B$337:$B$341,MATCH(X82,'Scoring Method'!$A$337:$A$341,0))+INDEX('Scoring Method'!$B$324:$B$326,MATCH(P82,'Scoring Method'!$A$324:$A$326,0)),1)</f>
        <v/>
      </c>
      <c r="BF82" s="96">
        <f>ROUND(INDEX('Scoring Method'!$B$268:$B$276,MATCH(AE82,'Scoring Method'!$A$268:$A$276,0))*BB82*BD82+INDEX('Scoring Method'!$B$280:$B$288,MATCH(AP82,'Scoring Method'!$A$280:$A$288,0))*BM82*BB82*BD82+INDEX('Scoring Method'!$B$292:$B$296,MATCH(AQ82,'Scoring Method'!$A$292:$A$296,0))*BD82+INDEX('Scoring Method'!$B$300:$B$305,MATCH(AO82,'Scoring Method'!$A$300:$A$305,0))*BM82*BB82+INDEX('Scoring Method'!$B$309:$B$314,MATCH(AX82,'Scoring Method'!$A$309:$A$314,0))+INDEX('Scoring Method'!$B$337:$B$341,MATCH(X82,'Scoring Method'!$A$337:$A$341,0))+INDEX('Scoring Method'!$B$324:$B$326,MATCH(P82,'Scoring Method'!$A$324:$A$326,0)),1)</f>
        <v/>
      </c>
      <c r="BG82" s="92" t="n"/>
      <c r="BH82" s="61" t="inlineStr">
        <is>
          <t>SU</t>
        </is>
      </c>
      <c r="BI82" s="61" t="inlineStr">
        <is>
          <t>Semi-Urban Residential</t>
        </is>
      </c>
      <c r="BJ82" s="61" t="inlineStr"/>
      <c r="BK82" s="61" t="inlineStr"/>
      <c r="BL82" s="61" t="inlineStr">
        <is>
          <t>SU corner unverified</t>
        </is>
      </c>
      <c r="BM82" s="61">
        <f>INDEX('Scoring Method'!$B$358:$B$363,MATCH(BL82,'Scoring Method'!$A$358:$A$363,0))</f>
        <v/>
      </c>
    </row>
    <row r="83" ht="15" customHeight="1" s="62">
      <c r="A83" s="92" t="n">
        <v>82</v>
      </c>
      <c r="B83" s="92" t="inlineStr">
        <is>
          <t>044-20-00-055.02</t>
        </is>
      </c>
      <c r="C83" s="92" t="inlineStr">
        <is>
          <t>4147 MADISON PIKE</t>
        </is>
      </c>
      <c r="D83" s="92" t="inlineStr">
        <is>
          <t>MOORE DEVELOPMENT LLC</t>
        </is>
      </c>
      <c r="E83" s="92" t="inlineStr">
        <is>
          <t>11285 LONGDEN WAY</t>
        </is>
      </c>
      <c r="F83" s="92" t="inlineStr">
        <is>
          <t>UNION</t>
        </is>
      </c>
      <c r="G83" s="92" t="inlineStr">
        <is>
          <t>KY</t>
        </is>
      </c>
      <c r="H83" s="92" t="inlineStr">
        <is>
          <t>GAS STATION/CONVENIENCE STORE</t>
        </is>
      </c>
      <c r="I83" s="93" t="n">
        <v>28979</v>
      </c>
      <c r="J83" s="94">
        <f>I83/43560</f>
        <v/>
      </c>
      <c r="K83" s="93" t="n">
        <v>658.1</v>
      </c>
      <c r="L83" s="95">
        <f>I83/(K83^2)</f>
        <v/>
      </c>
      <c r="M83" s="92" t="inlineStr">
        <is>
          <t>Ideal 18-32k</t>
        </is>
      </c>
      <c r="N83" s="92" t="inlineStr">
        <is>
          <t>E</t>
        </is>
      </c>
      <c r="O83" s="92" t="inlineStr">
        <is>
          <t>Compact &gt;=.055</t>
        </is>
      </c>
      <c r="P83" s="92" t="inlineStr">
        <is>
          <t>High</t>
        </is>
      </c>
      <c r="Q83" s="92" t="inlineStr">
        <is>
          <t>Out-of-city KY</t>
        </is>
      </c>
      <c r="R83" s="92" t="inlineStr">
        <is>
          <t>Passive vehicle</t>
        </is>
      </c>
      <c r="S83" s="92" t="n">
        <v>2</v>
      </c>
      <c r="T83" s="96">
        <f>INDEX('Scoring Method'!$B$6:$B$9,MATCH(M83,'Scoring Method'!$A$6:$A$9,0))+INDEX('Scoring Method'!$B$12:$B$16,MATCH(N83,'Scoring Method'!$A$12:$A$16,0))+INDEX('Scoring Method'!$B$19:$B$22,MATCH(O83,'Scoring Method'!$A$19:$A$22,0))+INDEX('Scoring Method'!$B$25:$B$27,MATCH(P83,'Scoring Method'!$A$25:$A$27,0))</f>
        <v/>
      </c>
      <c r="U83" s="96">
        <f>(INDEX('Scoring Method'!$B$30:$B$33,MATCH(Q83,'Scoring Method'!$A$30:$A$33,0))+INDEX('Scoring Method'!$B$36:$B$42,MATCH(R83,'Scoring Method'!$A$36:$A$42,0))+INDEX('Scoring Method'!$B$45:$B$47,MATCH(IF(S83=1,"1",IF(S83=2,"2","3+")),'Scoring Method'!$A$45:$A$47,0)))/90*100</f>
        <v/>
      </c>
      <c r="V83" s="96">
        <f>T83*U83/100</f>
        <v/>
      </c>
      <c r="W83" s="93" t="n">
        <v>3740</v>
      </c>
      <c r="X83" s="92" t="inlineStr">
        <is>
          <t>X (minimal hazard)</t>
        </is>
      </c>
      <c r="Y83" s="93" t="n">
        <v>21975</v>
      </c>
      <c r="Z83" s="97" t="n"/>
      <c r="AA83" s="98">
        <f>MAX(0,(Y83-5000)/300)</f>
        <v/>
      </c>
      <c r="AB83" s="92" t="n"/>
      <c r="AC83" s="92" t="n"/>
      <c r="AD83" s="92" t="n"/>
      <c r="AE83" s="92" t="inlineStr">
        <is>
          <t>Above 2.5-4k</t>
        </is>
      </c>
      <c r="AF83" s="96">
        <f>INDEX('Scoring Method'!$B$63:$B$71,MATCH(AE83,'Scoring Method'!$A$63:$A$71,0))+INDEX('Scoring Method'!$B$75:$B$79,MATCH("Ample &gt;=15k",'Scoring Method'!$A$75:$A$79,0))+INDEX('Scoring Method'!$B$343:$B$347,MATCH(X83,'Scoring Method'!$A$343:$A$347,0))+INDEX('Scoring Method'!$B$25:$B$27,MATCH(P83,'Scoring Method'!$A$25:$A$27,0))</f>
        <v/>
      </c>
      <c r="AG83" s="96">
        <f>AF83*U83/100</f>
        <v/>
      </c>
      <c r="AH83" s="92" t="inlineStr">
        <is>
          <t>LINK-GIS + LoopNet (2026-08-03)</t>
        </is>
      </c>
      <c r="AI83" s="99" t="n">
        <v>38.99174</v>
      </c>
      <c r="AJ83" s="99" t="n">
        <v>-84.53415</v>
      </c>
      <c r="AK83" s="94" t="n">
        <v>6.46</v>
      </c>
      <c r="AL83" s="94" t="n">
        <v>6.99</v>
      </c>
      <c r="AM83" s="94" t="n">
        <v>7.67</v>
      </c>
      <c r="AN83" s="94" t="n">
        <v>6.46</v>
      </c>
      <c r="AO83" s="92" t="inlineStr">
        <is>
          <t>Remote &gt;3mi</t>
        </is>
      </c>
      <c r="AP83" s="92" t="inlineStr">
        <is>
          <t>Built-out kitchen</t>
        </is>
      </c>
      <c r="AQ83" s="92" t="inlineStr">
        <is>
          <t>Ample &gt;=15k</t>
        </is>
      </c>
      <c r="AR83" s="100" t="n"/>
      <c r="AS83" s="96">
        <f>ROUND(INDEX('Scoring Method'!$B$63:$B$70,MATCH(AE83,'Scoring Method'!$A$63:$A$70,0))*0.625+INDEX('Scoring Method'!$B$105:$B$113,MATCH(AP83,'Scoring Method'!$A$105:$A$113,0))+INDEX('Scoring Method'!$B$74:$B$78,MATCH(AQ83,'Scoring Method'!$A$74:$A$78,0))*0.6667+INDEX('Scoring Method'!$B$96:$B$101,MATCH(AO83,'Scoring Method'!$A$96:$A$101,0))+INDEX('Scoring Method'!$B$343:$B$347,MATCH(X83,'Scoring Method'!$A$343:$A$347,0))*0.3333+INDEX('Scoring Method'!$B$25:$B$27,MATCH(P83,'Scoring Method'!$A$25:$A$27,0))*0.3333,1)</f>
        <v/>
      </c>
      <c r="AT83" s="96">
        <f>AS83*U83/100</f>
        <v/>
      </c>
      <c r="AU83" s="92" t="inlineStr">
        <is>
          <t>South Covington</t>
        </is>
      </c>
      <c r="AV83" s="92" t="n">
        <v>88</v>
      </c>
      <c r="AW83" s="92" t="inlineStr">
        <is>
          <t>Sourced</t>
        </is>
      </c>
      <c r="AX83" s="92" t="inlineStr">
        <is>
          <t>Very safe 80+</t>
        </is>
      </c>
      <c r="AY83" s="96">
        <f>ROUND(INDEX('Scoring Method'!$B$132:$B$140,MATCH(AE83,'Scoring Method'!$A$132:$A$140,0))+INDEX('Scoring Method'!$B$144:$B$152,MATCH(AP83,'Scoring Method'!$A$144:$A$152,0))+INDEX('Scoring Method'!$B$156:$B$160,MATCH(AQ83,'Scoring Method'!$A$156:$A$160,0))+INDEX('Scoring Method'!$B$164:$B$169,MATCH(AO83,'Scoring Method'!$A$164:$A$169,0))+INDEX('Scoring Method'!$B$173:$B$178,MATCH(AX83,'Scoring Method'!$A$173:$A$178,0))+INDEX('Scoring Method'!$B$349:$B$353,MATCH(X83,'Scoring Method'!$A$349:$A$353,0))+INDEX('Scoring Method'!$B$188:$B$190,MATCH(P83,'Scoring Method'!$A$188:$A$190,0)),1)</f>
        <v/>
      </c>
      <c r="AZ83" s="96">
        <f>AY83*U83/100</f>
        <v/>
      </c>
      <c r="BA83" s="103" t="inlineStr">
        <is>
          <t>Chain format + investor</t>
        </is>
      </c>
      <c r="BB83" s="94" t="n">
        <v>0.45</v>
      </c>
      <c r="BC83" s="92" t="inlineStr">
        <is>
          <t>Right-sized 0.35-0.75 AC</t>
        </is>
      </c>
      <c r="BD83" s="94" t="n">
        <v>1</v>
      </c>
      <c r="BE83" s="96">
        <f>ROUND(INDEX('Scoring Method'!$B$268:$B$276,MATCH(AE83,'Scoring Method'!$A$268:$A$276,0))+INDEX('Scoring Method'!$B$280:$B$288,MATCH(AP83,'Scoring Method'!$A$280:$A$288,0))+INDEX('Scoring Method'!$B$292:$B$296,MATCH(AQ83,'Scoring Method'!$A$292:$A$296,0))+INDEX('Scoring Method'!$B$300:$B$305,MATCH(AO83,'Scoring Method'!$A$300:$A$305,0))+INDEX('Scoring Method'!$B$309:$B$314,MATCH(AX83,'Scoring Method'!$A$309:$A$314,0))+INDEX('Scoring Method'!$B$337:$B$341,MATCH(X83,'Scoring Method'!$A$337:$A$341,0))+INDEX('Scoring Method'!$B$324:$B$326,MATCH(P83,'Scoring Method'!$A$324:$A$326,0)),1)</f>
        <v/>
      </c>
      <c r="BF83" s="96">
        <f>ROUND(INDEX('Scoring Method'!$B$268:$B$276,MATCH(AE83,'Scoring Method'!$A$268:$A$276,0))*BB83*BD83+INDEX('Scoring Method'!$B$280:$B$288,MATCH(AP83,'Scoring Method'!$A$280:$A$288,0))*BM83*BB83*BD83+INDEX('Scoring Method'!$B$292:$B$296,MATCH(AQ83,'Scoring Method'!$A$292:$A$296,0))*BD83+INDEX('Scoring Method'!$B$300:$B$305,MATCH(AO83,'Scoring Method'!$A$300:$A$305,0))*BM83*BB83+INDEX('Scoring Method'!$B$309:$B$314,MATCH(AX83,'Scoring Method'!$A$309:$A$314,0))+INDEX('Scoring Method'!$B$337:$B$341,MATCH(X83,'Scoring Method'!$A$337:$A$341,0))+INDEX('Scoring Method'!$B$324:$B$326,MATCH(P83,'Scoring Method'!$A$324:$A$326,0)),1)</f>
        <v/>
      </c>
      <c r="BG83" s="92" t="inlineStr">
        <is>
          <t>Fits (~$3,428/mo)</t>
        </is>
      </c>
      <c r="BH83" s="61" t="inlineStr">
        <is>
          <t>AUC</t>
        </is>
      </c>
      <c r="BI83" s="61" t="inlineStr">
        <is>
          <t>Auto-Urban Commercial</t>
        </is>
      </c>
      <c r="BJ83" s="61" t="inlineStr"/>
      <c r="BK83" s="61" t="inlineStr"/>
      <c r="BL83" s="61" t="inlineStr">
        <is>
          <t>Bar permitted</t>
        </is>
      </c>
      <c r="BM83" s="61">
        <f>INDEX('Scoring Method'!$B$358:$B$363,MATCH(BL83,'Scoring Method'!$A$358:$A$363,0))</f>
        <v/>
      </c>
    </row>
    <row r="84" ht="15" customHeight="1" s="62">
      <c r="A84" s="92" t="n">
        <v>83</v>
      </c>
      <c r="B84" s="92" t="inlineStr">
        <is>
          <t>054-23-11-009.00</t>
        </is>
      </c>
      <c r="C84" s="92" t="inlineStr">
        <is>
          <t>401-419 GREENUP ST</t>
        </is>
      </c>
      <c r="D84" s="92" t="inlineStr">
        <is>
          <t>RP PROP OZ LLC</t>
        </is>
      </c>
      <c r="E84" s="92" t="inlineStr">
        <is>
          <t>419 GREENUP ST</t>
        </is>
      </c>
      <c r="F84" s="92" t="inlineStr">
        <is>
          <t>COVINGTON</t>
        </is>
      </c>
      <c r="G84" s="92" t="inlineStr">
        <is>
          <t>KY</t>
        </is>
      </c>
      <c r="H84" s="92" t="inlineStr">
        <is>
          <t>OTHER RETAIL</t>
        </is>
      </c>
      <c r="I84" s="93" t="n">
        <v>20117</v>
      </c>
      <c r="J84" s="94">
        <f>I84/43560</f>
        <v/>
      </c>
      <c r="K84" s="93" t="n">
        <v>617.7</v>
      </c>
      <c r="L84" s="95">
        <f>I84/(K84^2)</f>
        <v/>
      </c>
      <c r="M84" s="92" t="inlineStr">
        <is>
          <t>Ideal 18-32k</t>
        </is>
      </c>
      <c r="N84" s="92" t="inlineStr">
        <is>
          <t>C</t>
        </is>
      </c>
      <c r="O84" s="92" t="inlineStr">
        <is>
          <t>Regular .045-.055</t>
        </is>
      </c>
      <c r="P84" s="92" t="inlineStr">
        <is>
          <t>Low</t>
        </is>
      </c>
      <c r="Q84" s="92" t="inlineStr">
        <is>
          <t>Local absentee</t>
        </is>
      </c>
      <c r="R84" s="92" t="inlineStr">
        <is>
          <t>Operating entity</t>
        </is>
      </c>
      <c r="S84" s="92" t="n">
        <v>3</v>
      </c>
      <c r="T84" s="96">
        <f>INDEX('Scoring Method'!$B$6:$B$9,MATCH(M84,'Scoring Method'!$A$6:$A$9,0))+INDEX('Scoring Method'!$B$12:$B$16,MATCH(N84,'Scoring Method'!$A$12:$A$16,0))+INDEX('Scoring Method'!$B$19:$B$22,MATCH(O84,'Scoring Method'!$A$19:$A$22,0))+INDEX('Scoring Method'!$B$25:$B$27,MATCH(P84,'Scoring Method'!$A$25:$A$27,0))</f>
        <v/>
      </c>
      <c r="U84" s="96">
        <f>(INDEX('Scoring Method'!$B$30:$B$33,MATCH(Q84,'Scoring Method'!$A$30:$A$33,0))+INDEX('Scoring Method'!$B$36:$B$42,MATCH(R84,'Scoring Method'!$A$36:$A$42,0))+INDEX('Scoring Method'!$B$45:$B$47,MATCH(IF(S84=1,"1",IF(S84=2,"2","3+")),'Scoring Method'!$A$45:$A$47,0)))/90*100</f>
        <v/>
      </c>
      <c r="V84" s="96">
        <f>T84*U84/100</f>
        <v/>
      </c>
      <c r="W84" s="93" t="n">
        <v>1325</v>
      </c>
      <c r="X84" s="92" t="inlineStr">
        <is>
          <t>X (minimal hazard)</t>
        </is>
      </c>
      <c r="Y84" s="93" t="n">
        <v>10650</v>
      </c>
      <c r="Z84" s="97">
        <f>W84/I84</f>
        <v/>
      </c>
      <c r="AA84" s="98">
        <f>MAX(0,(Y84-5000)/300)</f>
        <v/>
      </c>
      <c r="AB84" s="92" t="n"/>
      <c r="AC84" s="92" t="n">
        <v>0.46</v>
      </c>
      <c r="AD84" s="92" t="inlineStr">
        <is>
          <t>ok</t>
        </is>
      </c>
      <c r="AE84" s="92" t="inlineStr">
        <is>
          <t>Below 1.2-1.5k</t>
        </is>
      </c>
      <c r="AF84" s="96">
        <f>INDEX('Scoring Method'!$B$63:$B$71,MATCH(AE84,'Scoring Method'!$A$63:$A$71,0))+INDEX('Scoring Method'!$B$75:$B$79,MATCH("Good 8-15k",'Scoring Method'!$A$75:$A$79,0))+INDEX('Scoring Method'!$B$343:$B$347,MATCH(X84,'Scoring Method'!$A$343:$A$347,0))+INDEX('Scoring Method'!$B$25:$B$27,MATCH(P84,'Scoring Method'!$A$25:$A$27,0))</f>
        <v/>
      </c>
      <c r="AG84" s="96">
        <f>AF84*U84/100</f>
        <v/>
      </c>
      <c r="AH84" s="92" t="inlineStr">
        <is>
          <t>LINK-GIS + LoopNet</t>
        </is>
      </c>
      <c r="AI84" s="99" t="n">
        <v>39.08712</v>
      </c>
      <c r="AJ84" s="99" t="n">
        <v>-84.50803000000001</v>
      </c>
      <c r="AK84" s="94" t="n">
        <v>0.5600000000000001</v>
      </c>
      <c r="AL84" s="94" t="n">
        <v>0.26</v>
      </c>
      <c r="AM84" s="94" t="n">
        <v>1.02</v>
      </c>
      <c r="AN84" s="94" t="n">
        <v>0.26</v>
      </c>
      <c r="AO84" s="92" t="inlineStr">
        <is>
          <t>Core &lt;=0.35mi</t>
        </is>
      </c>
      <c r="AP84" s="92" t="inlineStr">
        <is>
          <t>Retail shell</t>
        </is>
      </c>
      <c r="AQ84" s="92" t="inlineStr">
        <is>
          <t>Good 8-15k</t>
        </is>
      </c>
      <c r="AR84" s="100" t="n"/>
      <c r="AS84" s="96">
        <f>ROUND(INDEX('Scoring Method'!$B$63:$B$70,MATCH(AE84,'Scoring Method'!$A$63:$A$70,0))*0.625+INDEX('Scoring Method'!$B$105:$B$113,MATCH(AP84,'Scoring Method'!$A$105:$A$113,0))+INDEX('Scoring Method'!$B$74:$B$78,MATCH(AQ84,'Scoring Method'!$A$74:$A$78,0))*0.6667+INDEX('Scoring Method'!$B$96:$B$101,MATCH(AO84,'Scoring Method'!$A$96:$A$101,0))+INDEX('Scoring Method'!$B$343:$B$347,MATCH(X84,'Scoring Method'!$A$343:$A$347,0))*0.3333+INDEX('Scoring Method'!$B$25:$B$27,MATCH(P84,'Scoring Method'!$A$25:$A$27,0))*0.3333,1)</f>
        <v/>
      </c>
      <c r="AT84" s="96">
        <f>AS84*U84/100</f>
        <v/>
      </c>
      <c r="AU84" s="92" t="inlineStr">
        <is>
          <t>Central Business District</t>
        </is>
      </c>
      <c r="AV84" s="92" t="n">
        <v>48</v>
      </c>
      <c r="AW84" s="101" t="inlineStr">
        <is>
          <t>ESTIMATED</t>
        </is>
      </c>
      <c r="AX84" s="92" t="inlineStr">
        <is>
          <t>Mixed 45-59</t>
        </is>
      </c>
      <c r="AY84" s="96">
        <f>ROUND(INDEX('Scoring Method'!$B$132:$B$140,MATCH(AE84,'Scoring Method'!$A$132:$A$140,0))+INDEX('Scoring Method'!$B$144:$B$152,MATCH(AP84,'Scoring Method'!$A$144:$A$152,0))+INDEX('Scoring Method'!$B$156:$B$160,MATCH(AQ84,'Scoring Method'!$A$156:$A$160,0))+INDEX('Scoring Method'!$B$164:$B$169,MATCH(AO84,'Scoring Method'!$A$164:$A$169,0))+INDEX('Scoring Method'!$B$173:$B$178,MATCH(AX84,'Scoring Method'!$A$173:$A$178,0))+INDEX('Scoring Method'!$B$349:$B$353,MATCH(X84,'Scoring Method'!$A$349:$A$353,0))+INDEX('Scoring Method'!$B$188:$B$190,MATCH(P84,'Scoring Method'!$A$188:$A$190,0)),1)</f>
        <v/>
      </c>
      <c r="AZ84" s="96">
        <f>AY84*U84/100</f>
        <v/>
      </c>
      <c r="BA84" s="92" t="inlineStr">
        <is>
          <t>No chain signal</t>
        </is>
      </c>
      <c r="BB84" s="94" t="n">
        <v>1</v>
      </c>
      <c r="BC84" s="92" t="inlineStr">
        <is>
          <t>Right-sized 0.35-0.75 AC</t>
        </is>
      </c>
      <c r="BD84" s="94" t="n">
        <v>1</v>
      </c>
      <c r="BE84" s="96">
        <f>ROUND(INDEX('Scoring Method'!$B$268:$B$276,MATCH(AE84,'Scoring Method'!$A$268:$A$276,0))+INDEX('Scoring Method'!$B$280:$B$288,MATCH(AP84,'Scoring Method'!$A$280:$A$288,0))+INDEX('Scoring Method'!$B$292:$B$296,MATCH(AQ84,'Scoring Method'!$A$292:$A$296,0))+INDEX('Scoring Method'!$B$300:$B$305,MATCH(AO84,'Scoring Method'!$A$300:$A$305,0))+INDEX('Scoring Method'!$B$309:$B$314,MATCH(AX84,'Scoring Method'!$A$309:$A$314,0))+INDEX('Scoring Method'!$B$337:$B$341,MATCH(X84,'Scoring Method'!$A$337:$A$341,0))+INDEX('Scoring Method'!$B$324:$B$326,MATCH(P84,'Scoring Method'!$A$324:$A$326,0)),1)</f>
        <v/>
      </c>
      <c r="BF84" s="96">
        <f>ROUND(INDEX('Scoring Method'!$B$268:$B$276,MATCH(AE84,'Scoring Method'!$A$268:$A$276,0))*BB84*BD84+INDEX('Scoring Method'!$B$280:$B$288,MATCH(AP84,'Scoring Method'!$A$280:$A$288,0))*BM84*BB84*BD84+INDEX('Scoring Method'!$B$292:$B$296,MATCH(AQ84,'Scoring Method'!$A$292:$A$296,0))*BD84+INDEX('Scoring Method'!$B$300:$B$305,MATCH(AO84,'Scoring Method'!$A$300:$A$305,0))*BM84*BB84+INDEX('Scoring Method'!$B$309:$B$314,MATCH(AX84,'Scoring Method'!$A$309:$A$314,0))+INDEX('Scoring Method'!$B$337:$B$341,MATCH(X84,'Scoring Method'!$A$337:$A$341,0))+INDEX('Scoring Method'!$B$324:$B$326,MATCH(P84,'Scoring Method'!$A$324:$A$326,0)),1)</f>
        <v/>
      </c>
      <c r="BG84" s="92" t="inlineStr">
        <is>
          <t>Fits (~$1,215/mo)</t>
        </is>
      </c>
      <c r="BH84" s="61" t="inlineStr">
        <is>
          <t>DTC (HP)</t>
        </is>
      </c>
      <c r="BI84" s="61" t="inlineStr">
        <is>
          <t>Downtown Core</t>
        </is>
      </c>
      <c r="BJ84" s="61" t="inlineStr">
        <is>
          <t>HP</t>
        </is>
      </c>
      <c r="BK84" s="61" t="inlineStr"/>
      <c r="BL84" s="61" t="inlineStr">
        <is>
          <t>Bar permitted</t>
        </is>
      </c>
      <c r="BM84" s="61">
        <f>INDEX('Scoring Method'!$B$358:$B$363,MATCH(BL84,'Scoring Method'!$A$358:$A$363,0))</f>
        <v/>
      </c>
    </row>
    <row r="85" ht="15" customHeight="1" s="62">
      <c r="A85" s="92" t="n">
        <v>84</v>
      </c>
      <c r="B85" s="92" t="inlineStr">
        <is>
          <t>055-42-01-002.00</t>
        </is>
      </c>
      <c r="C85" s="92" t="inlineStr">
        <is>
          <t>2611 MADISON AVE</t>
        </is>
      </c>
      <c r="D85" s="92" t="inlineStr">
        <is>
          <t>GIFFORD SHARON MARIE</t>
        </is>
      </c>
      <c r="E85" s="92" t="inlineStr">
        <is>
          <t>1 MADISON CT</t>
        </is>
      </c>
      <c r="F85" s="92" t="inlineStr">
        <is>
          <t>COVINGTON</t>
        </is>
      </c>
      <c r="G85" s="92" t="inlineStr">
        <is>
          <t>KY</t>
        </is>
      </c>
      <c r="H85" s="92" t="inlineStr">
        <is>
          <t>GARAGE/PARKING SPACE</t>
        </is>
      </c>
      <c r="I85" s="93" t="n">
        <v>20709</v>
      </c>
      <c r="J85" s="94">
        <f>I85/43560</f>
        <v/>
      </c>
      <c r="K85" s="93" t="n">
        <v>624.2</v>
      </c>
      <c r="L85" s="95">
        <f>I85/(K85^2)</f>
        <v/>
      </c>
      <c r="M85" s="92" t="inlineStr">
        <is>
          <t>Ideal 18-32k</t>
        </is>
      </c>
      <c r="N85" s="92" t="inlineStr">
        <is>
          <t>D</t>
        </is>
      </c>
      <c r="O85" s="92" t="inlineStr">
        <is>
          <t>Regular .045-.055</t>
        </is>
      </c>
      <c r="P85" s="92" t="inlineStr">
        <is>
          <t>Low</t>
        </is>
      </c>
      <c r="Q85" s="92" t="inlineStr">
        <is>
          <t>Local absentee</t>
        </is>
      </c>
      <c r="R85" s="92" t="inlineStr">
        <is>
          <t>Individual</t>
        </is>
      </c>
      <c r="S85" s="92" t="n">
        <v>1</v>
      </c>
      <c r="T85" s="96">
        <f>INDEX('Scoring Method'!$B$6:$B$9,MATCH(M85,'Scoring Method'!$A$6:$A$9,0))+INDEX('Scoring Method'!$B$12:$B$16,MATCH(N85,'Scoring Method'!$A$12:$A$16,0))+INDEX('Scoring Method'!$B$19:$B$22,MATCH(O85,'Scoring Method'!$A$19:$A$22,0))+INDEX('Scoring Method'!$B$25:$B$27,MATCH(P85,'Scoring Method'!$A$25:$A$27,0))</f>
        <v/>
      </c>
      <c r="U85" s="96">
        <f>(INDEX('Scoring Method'!$B$30:$B$33,MATCH(Q85,'Scoring Method'!$A$30:$A$33,0))+INDEX('Scoring Method'!$B$36:$B$42,MATCH(R85,'Scoring Method'!$A$36:$A$42,0))+INDEX('Scoring Method'!$B$45:$B$47,MATCH(IF(S85=1,"1",IF(S85=2,"2","3+")),'Scoring Method'!$A$45:$A$47,0)))/90*100</f>
        <v/>
      </c>
      <c r="V85" s="96">
        <f>T85*U85/100</f>
        <v/>
      </c>
      <c r="W85" s="93" t="n">
        <v>109</v>
      </c>
      <c r="X85" s="92" t="inlineStr">
        <is>
          <t>X (minimal hazard)</t>
        </is>
      </c>
      <c r="Y85" s="93" t="n">
        <v>20475</v>
      </c>
      <c r="Z85" s="97" t="n"/>
      <c r="AA85" s="98">
        <f>MAX(0,(Y85-5000)/300)</f>
        <v/>
      </c>
      <c r="AB85" s="92" t="n"/>
      <c r="AC85" s="92" t="n"/>
      <c r="AD85" s="92" t="n"/>
      <c r="AE85" s="92" t="inlineStr">
        <is>
          <t>Too small &lt;1.2k</t>
        </is>
      </c>
      <c r="AF85" s="96">
        <f>INDEX('Scoring Method'!$B$63:$B$71,MATCH(AE85,'Scoring Method'!$A$63:$A$71,0))+INDEX('Scoring Method'!$B$75:$B$79,MATCH("Ample &gt;=15k",'Scoring Method'!$A$75:$A$79,0))+INDEX('Scoring Method'!$B$343:$B$347,MATCH(X85,'Scoring Method'!$A$343:$A$347,0))+INDEX('Scoring Method'!$B$25:$B$27,MATCH(P85,'Scoring Method'!$A$25:$A$27,0))</f>
        <v/>
      </c>
      <c r="AG85" s="96">
        <f>AF85*U85/100</f>
        <v/>
      </c>
      <c r="AH85" s="92" t="inlineStr">
        <is>
          <t>LINK-GIS only</t>
        </is>
      </c>
      <c r="AI85" s="99" t="n">
        <v>39.05874</v>
      </c>
      <c r="AJ85" s="99" t="n">
        <v>-84.50233</v>
      </c>
      <c r="AK85" s="94" t="n">
        <v>1.96</v>
      </c>
      <c r="AL85" s="94" t="n">
        <v>2.24</v>
      </c>
      <c r="AM85" s="94" t="n">
        <v>3</v>
      </c>
      <c r="AN85" s="94" t="n">
        <v>1.81</v>
      </c>
      <c r="AO85" s="92" t="inlineStr">
        <is>
          <t>Outer 1.25-2mi</t>
        </is>
      </c>
      <c r="AP85" s="92" t="inlineStr">
        <is>
          <t>Lot / minimal bldg</t>
        </is>
      </c>
      <c r="AQ85" s="92" t="inlineStr">
        <is>
          <t>Ample &gt;=15k</t>
        </is>
      </c>
      <c r="AR85" s="100" t="n"/>
      <c r="AS85" s="96">
        <f>ROUND(INDEX('Scoring Method'!$B$63:$B$70,MATCH(AE85,'Scoring Method'!$A$63:$A$70,0))*0.625+INDEX('Scoring Method'!$B$105:$B$113,MATCH(AP85,'Scoring Method'!$A$105:$A$113,0))+INDEX('Scoring Method'!$B$74:$B$78,MATCH(AQ85,'Scoring Method'!$A$74:$A$78,0))*0.6667+INDEX('Scoring Method'!$B$96:$B$101,MATCH(AO85,'Scoring Method'!$A$96:$A$101,0))+INDEX('Scoring Method'!$B$343:$B$347,MATCH(X85,'Scoring Method'!$A$343:$A$347,0))*0.3333+INDEX('Scoring Method'!$B$25:$B$27,MATCH(P85,'Scoring Method'!$A$25:$A$27,0))*0.3333,1)</f>
        <v/>
      </c>
      <c r="AT85" s="96">
        <f>AS85*U85/100</f>
        <v/>
      </c>
      <c r="AU85" s="92" t="inlineStr">
        <is>
          <t>Levassor Park</t>
        </is>
      </c>
      <c r="AV85" s="92" t="n">
        <v>42</v>
      </c>
      <c r="AW85" s="101" t="inlineStr">
        <is>
          <t>ESTIMATED</t>
        </is>
      </c>
      <c r="AX85" s="92" t="inlineStr">
        <is>
          <t>Elevated 35-44</t>
        </is>
      </c>
      <c r="AY85" s="96">
        <f>ROUND(INDEX('Scoring Method'!$B$132:$B$140,MATCH(AE85,'Scoring Method'!$A$132:$A$140,0))+INDEX('Scoring Method'!$B$144:$B$152,MATCH(AP85,'Scoring Method'!$A$144:$A$152,0))+INDEX('Scoring Method'!$B$156:$B$160,MATCH(AQ85,'Scoring Method'!$A$156:$A$160,0))+INDEX('Scoring Method'!$B$164:$B$169,MATCH(AO85,'Scoring Method'!$A$164:$A$169,0))+INDEX('Scoring Method'!$B$173:$B$178,MATCH(AX85,'Scoring Method'!$A$173:$A$178,0))+INDEX('Scoring Method'!$B$349:$B$353,MATCH(X85,'Scoring Method'!$A$349:$A$353,0))+INDEX('Scoring Method'!$B$188:$B$190,MATCH(P85,'Scoring Method'!$A$188:$A$190,0)),1)</f>
        <v/>
      </c>
      <c r="AZ85" s="96">
        <f>AY85*U85/100</f>
        <v/>
      </c>
      <c r="BA85" s="92" t="inlineStr">
        <is>
          <t>No chain signal</t>
        </is>
      </c>
      <c r="BB85" s="94" t="n">
        <v>1</v>
      </c>
      <c r="BC85" s="92" t="inlineStr">
        <is>
          <t>Right-sized 0.35-0.75 AC</t>
        </is>
      </c>
      <c r="BD85" s="94" t="n">
        <v>1</v>
      </c>
      <c r="BE85" s="96">
        <f>ROUND(INDEX('Scoring Method'!$B$268:$B$276,MATCH(AE85,'Scoring Method'!$A$268:$A$276,0))+INDEX('Scoring Method'!$B$280:$B$288,MATCH(AP85,'Scoring Method'!$A$280:$A$288,0))+INDEX('Scoring Method'!$B$292:$B$296,MATCH(AQ85,'Scoring Method'!$A$292:$A$296,0))+INDEX('Scoring Method'!$B$300:$B$305,MATCH(AO85,'Scoring Method'!$A$300:$A$305,0))+INDEX('Scoring Method'!$B$309:$B$314,MATCH(AX85,'Scoring Method'!$A$309:$A$314,0))+INDEX('Scoring Method'!$B$337:$B$341,MATCH(X85,'Scoring Method'!$A$337:$A$341,0))+INDEX('Scoring Method'!$B$324:$B$326,MATCH(P85,'Scoring Method'!$A$324:$A$326,0)),1)</f>
        <v/>
      </c>
      <c r="BF85" s="96">
        <f>ROUND(INDEX('Scoring Method'!$B$268:$B$276,MATCH(AE85,'Scoring Method'!$A$268:$A$276,0))*BB85*BD85+INDEX('Scoring Method'!$B$280:$B$288,MATCH(AP85,'Scoring Method'!$A$280:$A$288,0))*BM85*BB85*BD85+INDEX('Scoring Method'!$B$292:$B$296,MATCH(AQ85,'Scoring Method'!$A$292:$A$296,0))*BD85+INDEX('Scoring Method'!$B$300:$B$305,MATCH(AO85,'Scoring Method'!$A$300:$A$305,0))*BM85*BB85+INDEX('Scoring Method'!$B$309:$B$314,MATCH(AX85,'Scoring Method'!$A$309:$A$314,0))+INDEX('Scoring Method'!$B$337:$B$341,MATCH(X85,'Scoring Method'!$A$337:$A$341,0))+INDEX('Scoring Method'!$B$324:$B$326,MATCH(P85,'Scoring Method'!$A$324:$A$326,0)),1)</f>
        <v/>
      </c>
      <c r="BG85" s="92" t="inlineStr">
        <is>
          <t>Fits (~$100/mo)</t>
        </is>
      </c>
      <c r="BH85" s="61" t="inlineStr">
        <is>
          <t>SU</t>
        </is>
      </c>
      <c r="BI85" s="61" t="inlineStr">
        <is>
          <t>Semi-Urban Residential</t>
        </is>
      </c>
      <c r="BJ85" s="61" t="inlineStr"/>
      <c r="BK85" s="61" t="inlineStr"/>
      <c r="BL85" s="61" t="inlineStr">
        <is>
          <t>SU corner unverified</t>
        </is>
      </c>
      <c r="BM85" s="61">
        <f>INDEX('Scoring Method'!$B$358:$B$363,MATCH(BL85,'Scoring Method'!$A$358:$A$363,0))</f>
        <v/>
      </c>
    </row>
    <row r="86" ht="15" customHeight="1" s="62">
      <c r="A86" s="92" t="n">
        <v>85</v>
      </c>
      <c r="B86" s="92" t="inlineStr">
        <is>
          <t>040-34-06-001.01</t>
        </is>
      </c>
      <c r="C86" s="92" t="inlineStr">
        <is>
          <t>300 PHILADELPHIA ST</t>
        </is>
      </c>
      <c r="D86" s="92" t="inlineStr">
        <is>
          <t>MCDONALDS REAL ESTATE COMPANY</t>
        </is>
      </c>
      <c r="E86" s="92" t="inlineStr">
        <is>
          <t>110 N CARPENTER ST</t>
        </is>
      </c>
      <c r="F86" s="92" t="inlineStr">
        <is>
          <t>CHICAGO</t>
        </is>
      </c>
      <c r="G86" s="92" t="inlineStr">
        <is>
          <t>IL</t>
        </is>
      </c>
      <c r="H86" s="92" t="inlineStr">
        <is>
          <t>FAST FOOD-DRIVE THRU REST</t>
        </is>
      </c>
      <c r="I86" s="93" t="n">
        <v>50225</v>
      </c>
      <c r="J86" s="94">
        <f>I86/43560</f>
        <v/>
      </c>
      <c r="K86" s="93" t="n">
        <v>899</v>
      </c>
      <c r="L86" s="95">
        <f>I86/(K86^2)</f>
        <v/>
      </c>
      <c r="M86" s="92" t="inlineStr">
        <is>
          <t>Marginal 10-14k/45-60k</t>
        </is>
      </c>
      <c r="N86" s="92" t="inlineStr">
        <is>
          <t>C</t>
        </is>
      </c>
      <c r="O86" s="92" t="inlineStr">
        <is>
          <t>Compact &gt;=.055</t>
        </is>
      </c>
      <c r="P86" s="92" t="inlineStr">
        <is>
          <t>Low</t>
        </is>
      </c>
      <c r="Q86" s="92" t="inlineStr">
        <is>
          <t>Out-of-state</t>
        </is>
      </c>
      <c r="R86" s="92" t="inlineStr">
        <is>
          <t>Operating entity</t>
        </is>
      </c>
      <c r="S86" s="92" t="n">
        <v>2</v>
      </c>
      <c r="T86" s="96">
        <f>INDEX('Scoring Method'!$B$6:$B$9,MATCH(M86,'Scoring Method'!$A$6:$A$9,0))+INDEX('Scoring Method'!$B$12:$B$16,MATCH(N86,'Scoring Method'!$A$12:$A$16,0))+INDEX('Scoring Method'!$B$19:$B$22,MATCH(O86,'Scoring Method'!$A$19:$A$22,0))+INDEX('Scoring Method'!$B$25:$B$27,MATCH(P86,'Scoring Method'!$A$25:$A$27,0))</f>
        <v/>
      </c>
      <c r="U86" s="96">
        <f>(INDEX('Scoring Method'!$B$30:$B$33,MATCH(Q86,'Scoring Method'!$A$30:$A$33,0))+INDEX('Scoring Method'!$B$36:$B$42,MATCH(R86,'Scoring Method'!$A$36:$A$42,0))+INDEX('Scoring Method'!$B$45:$B$47,MATCH(IF(S86=1,"1",IF(S86=2,"2","3+")),'Scoring Method'!$A$45:$A$47,0)))/90*100</f>
        <v/>
      </c>
      <c r="V86" s="96">
        <f>T86*U86/100</f>
        <v/>
      </c>
      <c r="W86" s="93" t="n">
        <v>4194</v>
      </c>
      <c r="X86" s="92" t="inlineStr">
        <is>
          <t>X (levee-protected)</t>
        </is>
      </c>
      <c r="Y86" s="93" t="n">
        <v>44200</v>
      </c>
      <c r="Z86" s="97">
        <f>W86/I86</f>
        <v/>
      </c>
      <c r="AA86" s="98">
        <f>MAX(0,(Y86-5000)/300)</f>
        <v/>
      </c>
      <c r="AB86" s="92" t="n"/>
      <c r="AC86" s="92" t="n">
        <v>1.18</v>
      </c>
      <c r="AD86" s="92" t="inlineStr">
        <is>
          <t>ok</t>
        </is>
      </c>
      <c r="AE86" s="92" t="inlineStr">
        <is>
          <t>Large 4-6k</t>
        </is>
      </c>
      <c r="AF86" s="96">
        <f>INDEX('Scoring Method'!$B$63:$B$71,MATCH(AE86,'Scoring Method'!$A$63:$A$71,0))+INDEX('Scoring Method'!$B$75:$B$79,MATCH("Ample &gt;=15k",'Scoring Method'!$A$75:$A$79,0))+INDEX('Scoring Method'!$B$343:$B$347,MATCH(X86,'Scoring Method'!$A$343:$A$347,0))+INDEX('Scoring Method'!$B$25:$B$27,MATCH(P86,'Scoring Method'!$A$25:$A$27,0))</f>
        <v/>
      </c>
      <c r="AG86" s="96">
        <f>AF86*U86/100</f>
        <v/>
      </c>
      <c r="AH86" s="92" t="inlineStr">
        <is>
          <t>LINK-GIS + LoopNet</t>
        </is>
      </c>
      <c r="AI86" s="99" t="n">
        <v>39.0874</v>
      </c>
      <c r="AJ86" s="99" t="n">
        <v>-84.51937</v>
      </c>
      <c r="AK86" s="94" t="n">
        <v>0.22</v>
      </c>
      <c r="AL86" s="94" t="n">
        <v>0.64</v>
      </c>
      <c r="AM86" s="94" t="n">
        <v>1.04</v>
      </c>
      <c r="AN86" s="94" t="n">
        <v>0.22</v>
      </c>
      <c r="AO86" s="92" t="inlineStr">
        <is>
          <t>Core &lt;=0.35mi</t>
        </is>
      </c>
      <c r="AP86" s="92" t="inlineStr">
        <is>
          <t>Built-out kitchen</t>
        </is>
      </c>
      <c r="AQ86" s="92" t="inlineStr">
        <is>
          <t>Ample &gt;=15k</t>
        </is>
      </c>
      <c r="AR86" s="100" t="n"/>
      <c r="AS86" s="96">
        <f>ROUND(INDEX('Scoring Method'!$B$63:$B$70,MATCH(AE86,'Scoring Method'!$A$63:$A$70,0))*0.625+INDEX('Scoring Method'!$B$105:$B$113,MATCH(AP86,'Scoring Method'!$A$105:$A$113,0))+INDEX('Scoring Method'!$B$74:$B$78,MATCH(AQ86,'Scoring Method'!$A$74:$A$78,0))*0.6667+INDEX('Scoring Method'!$B$96:$B$101,MATCH(AO86,'Scoring Method'!$A$96:$A$101,0))+INDEX('Scoring Method'!$B$343:$B$347,MATCH(X86,'Scoring Method'!$A$343:$A$347,0))*0.3333+INDEX('Scoring Method'!$B$25:$B$27,MATCH(P86,'Scoring Method'!$A$25:$A$27,0))*0.3333,1)</f>
        <v/>
      </c>
      <c r="AT86" s="96">
        <f>AS86*U86/100</f>
        <v/>
      </c>
      <c r="AU86" s="92" t="inlineStr">
        <is>
          <t>Botany Hills / Riverfront West</t>
        </is>
      </c>
      <c r="AV86" s="92" t="n">
        <v>45</v>
      </c>
      <c r="AW86" s="101" t="inlineStr">
        <is>
          <t>ESTIMATED</t>
        </is>
      </c>
      <c r="AX86" s="92" t="inlineStr">
        <is>
          <t>Mixed 45-59</t>
        </is>
      </c>
      <c r="AY86" s="96">
        <f>ROUND(INDEX('Scoring Method'!$B$132:$B$140,MATCH(AE86,'Scoring Method'!$A$132:$A$140,0))+INDEX('Scoring Method'!$B$144:$B$152,MATCH(AP86,'Scoring Method'!$A$144:$A$152,0))+INDEX('Scoring Method'!$B$156:$B$160,MATCH(AQ86,'Scoring Method'!$A$156:$A$160,0))+INDEX('Scoring Method'!$B$164:$B$169,MATCH(AO86,'Scoring Method'!$A$164:$A$169,0))+INDEX('Scoring Method'!$B$173:$B$178,MATCH(AX86,'Scoring Method'!$A$173:$A$178,0))+INDEX('Scoring Method'!$B$349:$B$353,MATCH(X86,'Scoring Method'!$A$349:$A$353,0))+INDEX('Scoring Method'!$B$188:$B$190,MATCH(P86,'Scoring Method'!$A$188:$A$190,0)),1)</f>
        <v/>
      </c>
      <c r="AZ86" s="96">
        <f>AY86*U86/100</f>
        <v/>
      </c>
      <c r="BA86" s="103" t="inlineStr">
        <is>
          <t>Brand-owned / net lease</t>
        </is>
      </c>
      <c r="BB86" s="94" t="n">
        <v>0.3</v>
      </c>
      <c r="BC86" s="102" t="inlineStr">
        <is>
          <t>Large 0.75-1.25 AC</t>
        </is>
      </c>
      <c r="BD86" s="94" t="n">
        <v>0.9</v>
      </c>
      <c r="BE86" s="96">
        <f>ROUND(INDEX('Scoring Method'!$B$268:$B$276,MATCH(AE86,'Scoring Method'!$A$268:$A$276,0))+INDEX('Scoring Method'!$B$280:$B$288,MATCH(AP86,'Scoring Method'!$A$280:$A$288,0))+INDEX('Scoring Method'!$B$292:$B$296,MATCH(AQ86,'Scoring Method'!$A$292:$A$296,0))+INDEX('Scoring Method'!$B$300:$B$305,MATCH(AO86,'Scoring Method'!$A$300:$A$305,0))+INDEX('Scoring Method'!$B$309:$B$314,MATCH(AX86,'Scoring Method'!$A$309:$A$314,0))+INDEX('Scoring Method'!$B$337:$B$341,MATCH(X86,'Scoring Method'!$A$337:$A$341,0))+INDEX('Scoring Method'!$B$324:$B$326,MATCH(P86,'Scoring Method'!$A$324:$A$326,0)),1)</f>
        <v/>
      </c>
      <c r="BF86" s="96">
        <f>ROUND(INDEX('Scoring Method'!$B$268:$B$276,MATCH(AE86,'Scoring Method'!$A$268:$A$276,0))*BB86*BD86+INDEX('Scoring Method'!$B$280:$B$288,MATCH(AP86,'Scoring Method'!$A$280:$A$288,0))*BM86*BB86*BD86+INDEX('Scoring Method'!$B$292:$B$296,MATCH(AQ86,'Scoring Method'!$A$292:$A$296,0))*BD86+INDEX('Scoring Method'!$B$300:$B$305,MATCH(AO86,'Scoring Method'!$A$300:$A$305,0))*BM86*BB86+INDEX('Scoring Method'!$B$309:$B$314,MATCH(AX86,'Scoring Method'!$A$309:$A$314,0))+INDEX('Scoring Method'!$B$337:$B$341,MATCH(X86,'Scoring Method'!$A$337:$A$341,0))+INDEX('Scoring Method'!$B$324:$B$326,MATCH(P86,'Scoring Method'!$A$324:$A$326,0)),1)</f>
        <v/>
      </c>
      <c r="BG86" s="92" t="inlineStr">
        <is>
          <t>Fits (~$3,844/mo)</t>
        </is>
      </c>
      <c r="BH86" s="61" t="inlineStr">
        <is>
          <t>AUC</t>
        </is>
      </c>
      <c r="BI86" s="61" t="inlineStr">
        <is>
          <t>Auto-Urban Commercial</t>
        </is>
      </c>
      <c r="BJ86" s="61" t="inlineStr"/>
      <c r="BK86" s="61" t="inlineStr"/>
      <c r="BL86" s="61" t="inlineStr">
        <is>
          <t>Bar permitted</t>
        </is>
      </c>
      <c r="BM86" s="61">
        <f>INDEX('Scoring Method'!$B$358:$B$363,MATCH(BL86,'Scoring Method'!$A$358:$A$363,0))</f>
        <v/>
      </c>
    </row>
    <row r="87" ht="15" customHeight="1" s="62">
      <c r="A87" s="92" t="n">
        <v>86</v>
      </c>
      <c r="B87" s="92" t="inlineStr">
        <is>
          <t>044-20-00-055.01</t>
        </is>
      </c>
      <c r="C87" s="92" t="inlineStr">
        <is>
          <t>4147-AA MADISON PIKE</t>
        </is>
      </c>
      <c r="D87" s="92" t="inlineStr">
        <is>
          <t>MOORE DEVELOPMENT LLC</t>
        </is>
      </c>
      <c r="E87" s="92" t="inlineStr">
        <is>
          <t>11285 LONGDEN WAY</t>
        </is>
      </c>
      <c r="F87" s="92" t="inlineStr">
        <is>
          <t>UNION</t>
        </is>
      </c>
      <c r="G87" s="92" t="inlineStr">
        <is>
          <t>KY</t>
        </is>
      </c>
      <c r="H87" s="92" t="inlineStr">
        <is>
          <t>VETERINARY CLINIC</t>
        </is>
      </c>
      <c r="I87" s="93" t="n">
        <v>8415</v>
      </c>
      <c r="J87" s="94">
        <f>I87/43560</f>
        <v/>
      </c>
      <c r="K87" s="93" t="n">
        <v>389</v>
      </c>
      <c r="L87" s="95">
        <f>I87/(K87^2)</f>
        <v/>
      </c>
      <c r="M87" s="92" t="inlineStr">
        <is>
          <t>Poor &lt;10k/&gt;60k</t>
        </is>
      </c>
      <c r="N87" s="92" t="inlineStr">
        <is>
          <t>C</t>
        </is>
      </c>
      <c r="O87" s="92" t="inlineStr">
        <is>
          <t>Compact &gt;=.055</t>
        </is>
      </c>
      <c r="P87" s="92" t="inlineStr">
        <is>
          <t>Low</t>
        </is>
      </c>
      <c r="Q87" s="92" t="inlineStr">
        <is>
          <t>Out-of-city KY</t>
        </is>
      </c>
      <c r="R87" s="92" t="inlineStr">
        <is>
          <t>Passive vehicle</t>
        </is>
      </c>
      <c r="S87" s="92" t="n">
        <v>2</v>
      </c>
      <c r="T87" s="96">
        <f>INDEX('Scoring Method'!$B$6:$B$9,MATCH(M87,'Scoring Method'!$A$6:$A$9,0))+INDEX('Scoring Method'!$B$12:$B$16,MATCH(N87,'Scoring Method'!$A$12:$A$16,0))+INDEX('Scoring Method'!$B$19:$B$22,MATCH(O87,'Scoring Method'!$A$19:$A$22,0))+INDEX('Scoring Method'!$B$25:$B$27,MATCH(P87,'Scoring Method'!$A$25:$A$27,0))</f>
        <v/>
      </c>
      <c r="U87" s="96">
        <f>(INDEX('Scoring Method'!$B$30:$B$33,MATCH(Q87,'Scoring Method'!$A$30:$A$33,0))+INDEX('Scoring Method'!$B$36:$B$42,MATCH(R87,'Scoring Method'!$A$36:$A$42,0))+INDEX('Scoring Method'!$B$45:$B$47,MATCH(IF(S87=1,"1",IF(S87=2,"2","3+")),'Scoring Method'!$A$45:$A$47,0)))/90*100</f>
        <v/>
      </c>
      <c r="V87" s="96">
        <f>T87*U87/100</f>
        <v/>
      </c>
      <c r="W87" s="93" t="n">
        <v>1944</v>
      </c>
      <c r="X87" s="92" t="inlineStr">
        <is>
          <t>X (minimal hazard)</t>
        </is>
      </c>
      <c r="Y87" s="93" t="n">
        <v>5000</v>
      </c>
      <c r="Z87" s="97" t="n"/>
      <c r="AA87" s="98">
        <f>MAX(0,(Y87-5000)/300)</f>
        <v/>
      </c>
      <c r="AB87" s="92" t="n"/>
      <c r="AC87" s="92" t="n"/>
      <c r="AD87" s="92" t="n"/>
      <c r="AE87" s="92" t="inlineStr">
        <is>
          <t>Target 1.5-2.5k</t>
        </is>
      </c>
      <c r="AF87" s="96">
        <f>INDEX('Scoring Method'!$B$63:$B$71,MATCH(AE87,'Scoring Method'!$A$63:$A$71,0))+INDEX('Scoring Method'!$B$75:$B$79,MATCH("Adequate 5-8k",'Scoring Method'!$A$75:$A$79,0))+INDEX('Scoring Method'!$B$343:$B$347,MATCH(X87,'Scoring Method'!$A$343:$A$347,0))+INDEX('Scoring Method'!$B$25:$B$27,MATCH(P87,'Scoring Method'!$A$25:$A$27,0))</f>
        <v/>
      </c>
      <c r="AG87" s="96">
        <f>AF87*U87/100</f>
        <v/>
      </c>
      <c r="AH87" s="92" t="inlineStr">
        <is>
          <t>LINK-GIS + LoopNet (2026-08-03)</t>
        </is>
      </c>
      <c r="AI87" s="99" t="n">
        <v>38.99201</v>
      </c>
      <c r="AJ87" s="99" t="n">
        <v>-84.53342000000001</v>
      </c>
      <c r="AK87" s="94" t="n">
        <v>6.44</v>
      </c>
      <c r="AL87" s="94" t="n">
        <v>6.96</v>
      </c>
      <c r="AM87" s="94" t="n">
        <v>7.65</v>
      </c>
      <c r="AN87" s="94" t="n">
        <v>6.44</v>
      </c>
      <c r="AO87" s="92" t="inlineStr">
        <is>
          <t>Remote &gt;3mi</t>
        </is>
      </c>
      <c r="AP87" s="92" t="inlineStr">
        <is>
          <t>Cellular</t>
        </is>
      </c>
      <c r="AQ87" s="92" t="inlineStr">
        <is>
          <t>Adequate 5-8k</t>
        </is>
      </c>
      <c r="AR87" s="100" t="n"/>
      <c r="AS87" s="96">
        <f>ROUND(INDEX('Scoring Method'!$B$63:$B$70,MATCH(AE87,'Scoring Method'!$A$63:$A$70,0))*0.625+INDEX('Scoring Method'!$B$105:$B$113,MATCH(AP87,'Scoring Method'!$A$105:$A$113,0))+INDEX('Scoring Method'!$B$74:$B$78,MATCH(AQ87,'Scoring Method'!$A$74:$A$78,0))*0.6667+INDEX('Scoring Method'!$B$96:$B$101,MATCH(AO87,'Scoring Method'!$A$96:$A$101,0))+INDEX('Scoring Method'!$B$343:$B$347,MATCH(X87,'Scoring Method'!$A$343:$A$347,0))*0.3333+INDEX('Scoring Method'!$B$25:$B$27,MATCH(P87,'Scoring Method'!$A$25:$A$27,0))*0.3333,1)</f>
        <v/>
      </c>
      <c r="AT87" s="96">
        <f>AS87*U87/100</f>
        <v/>
      </c>
      <c r="AU87" s="92" t="inlineStr">
        <is>
          <t>South Covington</t>
        </is>
      </c>
      <c r="AV87" s="92" t="n">
        <v>88</v>
      </c>
      <c r="AW87" s="92" t="inlineStr">
        <is>
          <t>Sourced</t>
        </is>
      </c>
      <c r="AX87" s="92" t="inlineStr">
        <is>
          <t>Very safe 80+</t>
        </is>
      </c>
      <c r="AY87" s="96">
        <f>ROUND(INDEX('Scoring Method'!$B$132:$B$140,MATCH(AE87,'Scoring Method'!$A$132:$A$140,0))+INDEX('Scoring Method'!$B$144:$B$152,MATCH(AP87,'Scoring Method'!$A$144:$A$152,0))+INDEX('Scoring Method'!$B$156:$B$160,MATCH(AQ87,'Scoring Method'!$A$156:$A$160,0))+INDEX('Scoring Method'!$B$164:$B$169,MATCH(AO87,'Scoring Method'!$A$164:$A$169,0))+INDEX('Scoring Method'!$B$173:$B$178,MATCH(AX87,'Scoring Method'!$A$173:$A$178,0))+INDEX('Scoring Method'!$B$349:$B$353,MATCH(X87,'Scoring Method'!$A$349:$A$353,0))+INDEX('Scoring Method'!$B$188:$B$190,MATCH(P87,'Scoring Method'!$A$188:$A$190,0)),1)</f>
        <v/>
      </c>
      <c r="AZ87" s="96">
        <f>AY87*U87/100</f>
        <v/>
      </c>
      <c r="BA87" s="92" t="inlineStr">
        <is>
          <t>No chain signal</t>
        </is>
      </c>
      <c r="BB87" s="94" t="n">
        <v>1</v>
      </c>
      <c r="BC87" s="103" t="inlineStr">
        <is>
          <t>Extra small 0.15-0.25 AC</t>
        </is>
      </c>
      <c r="BD87" s="94" t="n">
        <v>0.8</v>
      </c>
      <c r="BE87" s="96">
        <f>ROUND(INDEX('Scoring Method'!$B$268:$B$276,MATCH(AE87,'Scoring Method'!$A$268:$A$276,0))+INDEX('Scoring Method'!$B$280:$B$288,MATCH(AP87,'Scoring Method'!$A$280:$A$288,0))+INDEX('Scoring Method'!$B$292:$B$296,MATCH(AQ87,'Scoring Method'!$A$292:$A$296,0))+INDEX('Scoring Method'!$B$300:$B$305,MATCH(AO87,'Scoring Method'!$A$300:$A$305,0))+INDEX('Scoring Method'!$B$309:$B$314,MATCH(AX87,'Scoring Method'!$A$309:$A$314,0))+INDEX('Scoring Method'!$B$337:$B$341,MATCH(X87,'Scoring Method'!$A$337:$A$341,0))+INDEX('Scoring Method'!$B$324:$B$326,MATCH(P87,'Scoring Method'!$A$324:$A$326,0)),1)</f>
        <v/>
      </c>
      <c r="BF87" s="96">
        <f>ROUND(INDEX('Scoring Method'!$B$268:$B$276,MATCH(AE87,'Scoring Method'!$A$268:$A$276,0))*BB87*BD87+INDEX('Scoring Method'!$B$280:$B$288,MATCH(AP87,'Scoring Method'!$A$280:$A$288,0))*BM87*BB87*BD87+INDEX('Scoring Method'!$B$292:$B$296,MATCH(AQ87,'Scoring Method'!$A$292:$A$296,0))*BD87+INDEX('Scoring Method'!$B$300:$B$305,MATCH(AO87,'Scoring Method'!$A$300:$A$305,0))*BM87*BB87+INDEX('Scoring Method'!$B$309:$B$314,MATCH(AX87,'Scoring Method'!$A$309:$A$314,0))+INDEX('Scoring Method'!$B$337:$B$341,MATCH(X87,'Scoring Method'!$A$337:$A$341,0))+INDEX('Scoring Method'!$B$324:$B$326,MATCH(P87,'Scoring Method'!$A$324:$A$326,0)),1)</f>
        <v/>
      </c>
      <c r="BG87" s="92" t="inlineStr">
        <is>
          <t>Fits (~$1,782/mo)</t>
        </is>
      </c>
      <c r="BH87" s="61" t="inlineStr">
        <is>
          <t>AUC</t>
        </is>
      </c>
      <c r="BI87" s="61" t="inlineStr">
        <is>
          <t>Auto-Urban Commercial</t>
        </is>
      </c>
      <c r="BJ87" s="61" t="inlineStr"/>
      <c r="BK87" s="61" t="inlineStr"/>
      <c r="BL87" s="61" t="inlineStr">
        <is>
          <t>Bar permitted</t>
        </is>
      </c>
      <c r="BM87" s="61">
        <f>INDEX('Scoring Method'!$B$358:$B$363,MATCH(BL87,'Scoring Method'!$A$358:$A$363,0))</f>
        <v/>
      </c>
    </row>
    <row r="88" ht="15" customHeight="1" s="62">
      <c r="A88" s="92" t="n">
        <v>87</v>
      </c>
      <c r="B88" s="92" t="inlineStr">
        <is>
          <t>056-14-13-023.00</t>
        </is>
      </c>
      <c r="C88" s="92" t="inlineStr">
        <is>
          <t>3914 WINSTON AVE</t>
        </is>
      </c>
      <c r="D88" s="92" t="inlineStr">
        <is>
          <t>BATSON JULIE M &amp; DANIEL</t>
        </is>
      </c>
      <c r="E88" s="92" t="inlineStr">
        <is>
          <t>4370 WHITES RD</t>
        </is>
      </c>
      <c r="F88" s="92" t="inlineStr">
        <is>
          <t>RYLAND HEIGHTS</t>
        </is>
      </c>
      <c r="G88" s="92" t="inlineStr">
        <is>
          <t>KY</t>
        </is>
      </c>
      <c r="H88" s="92" t="inlineStr">
        <is>
          <t>OTHER RETAIL</t>
        </is>
      </c>
      <c r="I88" s="93" t="n">
        <v>12413</v>
      </c>
      <c r="J88" s="94">
        <f>I88/43560</f>
        <v/>
      </c>
      <c r="K88" s="93" t="n">
        <v>533.8</v>
      </c>
      <c r="L88" s="95">
        <f>I88/(K88^2)</f>
        <v/>
      </c>
      <c r="M88" s="92" t="inlineStr">
        <is>
          <t>Marginal 10-14k/45-60k</t>
        </is>
      </c>
      <c r="N88" s="92" t="inlineStr">
        <is>
          <t>C</t>
        </is>
      </c>
      <c r="O88" s="92" t="inlineStr">
        <is>
          <t>Elongated .035-.045</t>
        </is>
      </c>
      <c r="P88" s="92" t="inlineStr">
        <is>
          <t>Low</t>
        </is>
      </c>
      <c r="Q88" s="92" t="inlineStr">
        <is>
          <t>Out-of-city KY</t>
        </is>
      </c>
      <c r="R88" s="92" t="inlineStr">
        <is>
          <t>Individual</t>
        </is>
      </c>
      <c r="S88" s="92" t="n">
        <v>2</v>
      </c>
      <c r="T88" s="96">
        <f>INDEX('Scoring Method'!$B$6:$B$9,MATCH(M88,'Scoring Method'!$A$6:$A$9,0))+INDEX('Scoring Method'!$B$12:$B$16,MATCH(N88,'Scoring Method'!$A$12:$A$16,0))+INDEX('Scoring Method'!$B$19:$B$22,MATCH(O88,'Scoring Method'!$A$19:$A$22,0))+INDEX('Scoring Method'!$B$25:$B$27,MATCH(P88,'Scoring Method'!$A$25:$A$27,0))</f>
        <v/>
      </c>
      <c r="U88" s="96">
        <f>(INDEX('Scoring Method'!$B$30:$B$33,MATCH(Q88,'Scoring Method'!$A$30:$A$33,0))+INDEX('Scoring Method'!$B$36:$B$42,MATCH(R88,'Scoring Method'!$A$36:$A$42,0))+INDEX('Scoring Method'!$B$45:$B$47,MATCH(IF(S88=1,"1",IF(S88=2,"2","3+")),'Scoring Method'!$A$45:$A$47,0)))/90*100</f>
        <v/>
      </c>
      <c r="V88" s="96">
        <f>T88*U88/100</f>
        <v/>
      </c>
      <c r="W88" s="93" t="n">
        <v>5524</v>
      </c>
      <c r="X88" s="92" t="inlineStr">
        <is>
          <t>X (minimal hazard)</t>
        </is>
      </c>
      <c r="Y88" s="93" t="n">
        <v>6500</v>
      </c>
      <c r="Z88" s="97" t="n"/>
      <c r="AA88" s="98">
        <f>MAX(0,(Y88-5000)/300)</f>
        <v/>
      </c>
      <c r="AB88" s="92" t="n"/>
      <c r="AC88" s="92" t="n"/>
      <c r="AD88" s="92" t="n"/>
      <c r="AE88" s="92" t="inlineStr">
        <is>
          <t>Large 4-6k</t>
        </is>
      </c>
      <c r="AF88" s="96">
        <f>INDEX('Scoring Method'!$B$63:$B$71,MATCH(AE88,'Scoring Method'!$A$63:$A$71,0))+INDEX('Scoring Method'!$B$75:$B$79,MATCH("Adequate 5-8k",'Scoring Method'!$A$75:$A$79,0))+INDEX('Scoring Method'!$B$343:$B$347,MATCH(X88,'Scoring Method'!$A$343:$A$347,0))+INDEX('Scoring Method'!$B$25:$B$27,MATCH(P88,'Scoring Method'!$A$25:$A$27,0))</f>
        <v/>
      </c>
      <c r="AG88" s="96">
        <f>AF88*U88/100</f>
        <v/>
      </c>
      <c r="AH88" s="92" t="inlineStr">
        <is>
          <t>LINK-GIS + LoopNet (2026-08-03)</t>
        </is>
      </c>
      <c r="AI88" s="99" t="n">
        <v>39.04451</v>
      </c>
      <c r="AJ88" s="99" t="n">
        <v>-84.50414000000001</v>
      </c>
      <c r="AK88" s="94" t="n">
        <v>2.85</v>
      </c>
      <c r="AL88" s="94" t="n">
        <v>3.21</v>
      </c>
      <c r="AM88" s="94" t="n">
        <v>3.96</v>
      </c>
      <c r="AN88" s="94" t="n">
        <v>2.75</v>
      </c>
      <c r="AO88" s="92" t="inlineStr">
        <is>
          <t>Distant 2-3mi</t>
        </is>
      </c>
      <c r="AP88" s="92" t="inlineStr">
        <is>
          <t>Retail shell</t>
        </is>
      </c>
      <c r="AQ88" s="92" t="inlineStr">
        <is>
          <t>Adequate 5-8k</t>
        </is>
      </c>
      <c r="AR88" s="100" t="n"/>
      <c r="AS88" s="96">
        <f>ROUND(INDEX('Scoring Method'!$B$63:$B$70,MATCH(AE88,'Scoring Method'!$A$63:$A$70,0))*0.625+INDEX('Scoring Method'!$B$105:$B$113,MATCH(AP88,'Scoring Method'!$A$105:$A$113,0))+INDEX('Scoring Method'!$B$74:$B$78,MATCH(AQ88,'Scoring Method'!$A$74:$A$78,0))*0.6667+INDEX('Scoring Method'!$B$96:$B$101,MATCH(AO88,'Scoring Method'!$A$96:$A$101,0))+INDEX('Scoring Method'!$B$343:$B$347,MATCH(X88,'Scoring Method'!$A$343:$A$347,0))*0.3333+INDEX('Scoring Method'!$B$25:$B$27,MATCH(P88,'Scoring Method'!$A$25:$A$27,0))*0.3333,1)</f>
        <v/>
      </c>
      <c r="AT88" s="96">
        <f>AS88*U88/100</f>
        <v/>
      </c>
      <c r="AU88" s="92" t="inlineStr">
        <is>
          <t>Rittes East / Winston Park</t>
        </is>
      </c>
      <c r="AV88" s="92" t="n">
        <v>82</v>
      </c>
      <c r="AW88" s="92" t="inlineStr">
        <is>
          <t>Sourced</t>
        </is>
      </c>
      <c r="AX88" s="92" t="inlineStr">
        <is>
          <t>Very safe 80+</t>
        </is>
      </c>
      <c r="AY88" s="96">
        <f>ROUND(INDEX('Scoring Method'!$B$132:$B$140,MATCH(AE88,'Scoring Method'!$A$132:$A$140,0))+INDEX('Scoring Method'!$B$144:$B$152,MATCH(AP88,'Scoring Method'!$A$144:$A$152,0))+INDEX('Scoring Method'!$B$156:$B$160,MATCH(AQ88,'Scoring Method'!$A$156:$A$160,0))+INDEX('Scoring Method'!$B$164:$B$169,MATCH(AO88,'Scoring Method'!$A$164:$A$169,0))+INDEX('Scoring Method'!$B$173:$B$178,MATCH(AX88,'Scoring Method'!$A$173:$A$178,0))+INDEX('Scoring Method'!$B$349:$B$353,MATCH(X88,'Scoring Method'!$A$349:$A$353,0))+INDEX('Scoring Method'!$B$188:$B$190,MATCH(P88,'Scoring Method'!$A$188:$A$190,0)),1)</f>
        <v/>
      </c>
      <c r="AZ88" s="96">
        <f>AY88*U88/100</f>
        <v/>
      </c>
      <c r="BA88" s="92" t="inlineStr">
        <is>
          <t>No chain signal</t>
        </is>
      </c>
      <c r="BB88" s="94" t="n">
        <v>1</v>
      </c>
      <c r="BC88" s="102" t="inlineStr">
        <is>
          <t>Small 0.25-0.35 AC</t>
        </is>
      </c>
      <c r="BD88" s="94" t="n">
        <v>0.9</v>
      </c>
      <c r="BE88" s="96">
        <f>ROUND(INDEX('Scoring Method'!$B$268:$B$276,MATCH(AE88,'Scoring Method'!$A$268:$A$276,0))+INDEX('Scoring Method'!$B$280:$B$288,MATCH(AP88,'Scoring Method'!$A$280:$A$288,0))+INDEX('Scoring Method'!$B$292:$B$296,MATCH(AQ88,'Scoring Method'!$A$292:$A$296,0))+INDEX('Scoring Method'!$B$300:$B$305,MATCH(AO88,'Scoring Method'!$A$300:$A$305,0))+INDEX('Scoring Method'!$B$309:$B$314,MATCH(AX88,'Scoring Method'!$A$309:$A$314,0))+INDEX('Scoring Method'!$B$337:$B$341,MATCH(X88,'Scoring Method'!$A$337:$A$341,0))+INDEX('Scoring Method'!$B$324:$B$326,MATCH(P88,'Scoring Method'!$A$324:$A$326,0)),1)</f>
        <v/>
      </c>
      <c r="BF88" s="96">
        <f>ROUND(INDEX('Scoring Method'!$B$268:$B$276,MATCH(AE88,'Scoring Method'!$A$268:$A$276,0))*BB88*BD88+INDEX('Scoring Method'!$B$280:$B$288,MATCH(AP88,'Scoring Method'!$A$280:$A$288,0))*BM88*BB88*BD88+INDEX('Scoring Method'!$B$292:$B$296,MATCH(AQ88,'Scoring Method'!$A$292:$A$296,0))*BD88+INDEX('Scoring Method'!$B$300:$B$305,MATCH(AO88,'Scoring Method'!$A$300:$A$305,0))*BM88*BB88+INDEX('Scoring Method'!$B$309:$B$314,MATCH(AX88,'Scoring Method'!$A$309:$A$314,0))+INDEX('Scoring Method'!$B$337:$B$341,MATCH(X88,'Scoring Method'!$A$337:$A$341,0))+INDEX('Scoring Method'!$B$324:$B$326,MATCH(P88,'Scoring Method'!$A$324:$A$326,0)),1)</f>
        <v/>
      </c>
      <c r="BG88" s="92" t="inlineStr">
        <is>
          <t>Fits (~$5,064/mo)</t>
        </is>
      </c>
      <c r="BH88" s="61" t="inlineStr">
        <is>
          <t>TUMU</t>
        </is>
      </c>
      <c r="BI88" s="61" t="inlineStr">
        <is>
          <t>Traditional Urban Mixed Use</t>
        </is>
      </c>
      <c r="BJ88" s="61" t="inlineStr"/>
      <c r="BK88" s="61" t="inlineStr"/>
      <c r="BL88" s="61" t="inlineStr">
        <is>
          <t>Bar permitted</t>
        </is>
      </c>
      <c r="BM88" s="61">
        <f>INDEX('Scoring Method'!$B$358:$B$363,MATCH(BL88,'Scoring Method'!$A$358:$A$363,0))</f>
        <v/>
      </c>
    </row>
    <row r="89" ht="15" customHeight="1" s="62">
      <c r="A89" s="92" t="n">
        <v>88</v>
      </c>
      <c r="B89" s="92" t="inlineStr">
        <is>
          <t>055-32-18-003.00</t>
        </is>
      </c>
      <c r="C89" s="92" t="inlineStr">
        <is>
          <t>516 E 18TH ST</t>
        </is>
      </c>
      <c r="D89" s="92" t="inlineStr">
        <is>
          <t>COVINGTON LODGE #1</t>
        </is>
      </c>
      <c r="E89" s="92" t="inlineStr">
        <is>
          <t>520 E 18TH ST</t>
        </is>
      </c>
      <c r="F89" s="92" t="inlineStr">
        <is>
          <t>COVINGTON</t>
        </is>
      </c>
      <c r="G89" s="92" t="inlineStr">
        <is>
          <t>KY</t>
        </is>
      </c>
      <c r="H89" s="92" t="inlineStr">
        <is>
          <t>ORGANIZATIONAL MEETING HALL</t>
        </is>
      </c>
      <c r="I89" s="93" t="n">
        <v>20663</v>
      </c>
      <c r="J89" s="94">
        <f>I89/43560</f>
        <v/>
      </c>
      <c r="K89" s="93" t="n">
        <v>726.1</v>
      </c>
      <c r="L89" s="95">
        <f>I89/(K89^2)</f>
        <v/>
      </c>
      <c r="M89" s="92" t="inlineStr">
        <is>
          <t>Ideal 18-32k</t>
        </is>
      </c>
      <c r="N89" s="92" t="inlineStr">
        <is>
          <t>B</t>
        </is>
      </c>
      <c r="O89" s="92" t="inlineStr">
        <is>
          <t>Elongated .035-.045</t>
        </is>
      </c>
      <c r="P89" s="92" t="inlineStr">
        <is>
          <t>Low</t>
        </is>
      </c>
      <c r="Q89" s="92" t="inlineStr">
        <is>
          <t>Local absentee</t>
        </is>
      </c>
      <c r="R89" s="92" t="inlineStr">
        <is>
          <t>Fraternal/Club</t>
        </is>
      </c>
      <c r="S89" s="92" t="n">
        <v>1</v>
      </c>
      <c r="T89" s="96">
        <f>INDEX('Scoring Method'!$B$6:$B$9,MATCH(M89,'Scoring Method'!$A$6:$A$9,0))+INDEX('Scoring Method'!$B$12:$B$16,MATCH(N89,'Scoring Method'!$A$12:$A$16,0))+INDEX('Scoring Method'!$B$19:$B$22,MATCH(O89,'Scoring Method'!$A$19:$A$22,0))+INDEX('Scoring Method'!$B$25:$B$27,MATCH(P89,'Scoring Method'!$A$25:$A$27,0))</f>
        <v/>
      </c>
      <c r="U89" s="96">
        <f>(INDEX('Scoring Method'!$B$30:$B$33,MATCH(Q89,'Scoring Method'!$A$30:$A$33,0))+INDEX('Scoring Method'!$B$36:$B$42,MATCH(R89,'Scoring Method'!$A$36:$A$42,0))+INDEX('Scoring Method'!$B$45:$B$47,MATCH(IF(S89=1,"1",IF(S89=2,"2","3+")),'Scoring Method'!$A$45:$A$47,0)))/90*100</f>
        <v/>
      </c>
      <c r="V89" s="96">
        <f>T89*U89/100</f>
        <v/>
      </c>
      <c r="W89" s="93" t="n">
        <v>2048</v>
      </c>
      <c r="X89" s="92" t="inlineStr">
        <is>
          <t>X (levee-protected)</t>
        </is>
      </c>
      <c r="Y89" s="93" t="n">
        <v>15350</v>
      </c>
      <c r="Z89" s="97" t="n"/>
      <c r="AA89" s="98">
        <f>MAX(0,(Y89-5000)/300)</f>
        <v/>
      </c>
      <c r="AB89" s="92" t="n"/>
      <c r="AC89" s="92" t="n"/>
      <c r="AD89" s="92" t="n"/>
      <c r="AE89" s="92" t="inlineStr">
        <is>
          <t>Target 1.5-2.5k</t>
        </is>
      </c>
      <c r="AF89" s="96">
        <f>INDEX('Scoring Method'!$B$63:$B$71,MATCH(AE89,'Scoring Method'!$A$63:$A$71,0))+INDEX('Scoring Method'!$B$75:$B$79,MATCH("Ample &gt;=15k",'Scoring Method'!$A$75:$A$79,0))+INDEX('Scoring Method'!$B$343:$B$347,MATCH(X89,'Scoring Method'!$A$343:$A$347,0))+INDEX('Scoring Method'!$B$25:$B$27,MATCH(P89,'Scoring Method'!$A$25:$A$27,0))</f>
        <v/>
      </c>
      <c r="AG89" s="96">
        <f>AF89*U89/100</f>
        <v/>
      </c>
      <c r="AH89" s="92" t="inlineStr">
        <is>
          <t>LINK-GIS + LoopNet (2026-08-02)</t>
        </is>
      </c>
      <c r="AI89" s="99" t="n">
        <v>39.07038</v>
      </c>
      <c r="AJ89" s="99" t="n">
        <v>-84.49773999999999</v>
      </c>
      <c r="AK89" s="94" t="n">
        <v>1.45</v>
      </c>
      <c r="AL89" s="94" t="n">
        <v>1.52</v>
      </c>
      <c r="AM89" s="94" t="n">
        <v>2.29</v>
      </c>
      <c r="AN89" s="94" t="n">
        <v>1.18</v>
      </c>
      <c r="AO89" s="92" t="inlineStr">
        <is>
          <t>Fringe 0.75-1.25mi</t>
        </is>
      </c>
      <c r="AP89" s="92" t="inlineStr">
        <is>
          <t>Assembly hall</t>
        </is>
      </c>
      <c r="AQ89" s="92" t="inlineStr">
        <is>
          <t>Ample &gt;=15k</t>
        </is>
      </c>
      <c r="AR89" s="100" t="n"/>
      <c r="AS89" s="96">
        <f>ROUND(INDEX('Scoring Method'!$B$63:$B$70,MATCH(AE89,'Scoring Method'!$A$63:$A$70,0))*0.625+INDEX('Scoring Method'!$B$105:$B$113,MATCH(AP89,'Scoring Method'!$A$105:$A$113,0))+INDEX('Scoring Method'!$B$74:$B$78,MATCH(AQ89,'Scoring Method'!$A$74:$A$78,0))*0.6667+INDEX('Scoring Method'!$B$96:$B$101,MATCH(AO89,'Scoring Method'!$A$96:$A$101,0))+INDEX('Scoring Method'!$B$343:$B$347,MATCH(X89,'Scoring Method'!$A$343:$A$347,0))*0.3333+INDEX('Scoring Method'!$B$25:$B$27,MATCH(P89,'Scoring Method'!$A$25:$A$27,0))*0.3333,1)</f>
        <v/>
      </c>
      <c r="AT89" s="96">
        <f>AS89*U89/100</f>
        <v/>
      </c>
      <c r="AU89" s="92" t="inlineStr">
        <is>
          <t>Austinburg</t>
        </is>
      </c>
      <c r="AV89" s="92" t="n">
        <v>32</v>
      </c>
      <c r="AW89" s="101" t="inlineStr">
        <is>
          <t>ESTIMATED</t>
        </is>
      </c>
      <c r="AX89" s="92" t="inlineStr">
        <is>
          <t>High &lt;35</t>
        </is>
      </c>
      <c r="AY89" s="96">
        <f>ROUND(INDEX('Scoring Method'!$B$132:$B$140,MATCH(AE89,'Scoring Method'!$A$132:$A$140,0))+INDEX('Scoring Method'!$B$144:$B$152,MATCH(AP89,'Scoring Method'!$A$144:$A$152,0))+INDEX('Scoring Method'!$B$156:$B$160,MATCH(AQ89,'Scoring Method'!$A$156:$A$160,0))+INDEX('Scoring Method'!$B$164:$B$169,MATCH(AO89,'Scoring Method'!$A$164:$A$169,0))+INDEX('Scoring Method'!$B$173:$B$178,MATCH(AX89,'Scoring Method'!$A$173:$A$178,0))+INDEX('Scoring Method'!$B$349:$B$353,MATCH(X89,'Scoring Method'!$A$349:$A$353,0))+INDEX('Scoring Method'!$B$188:$B$190,MATCH(P89,'Scoring Method'!$A$188:$A$190,0)),1)</f>
        <v/>
      </c>
      <c r="AZ89" s="96">
        <f>AY89*U89/100</f>
        <v/>
      </c>
      <c r="BA89" s="92" t="inlineStr">
        <is>
          <t>No chain signal</t>
        </is>
      </c>
      <c r="BB89" s="94" t="n">
        <v>1</v>
      </c>
      <c r="BC89" s="92" t="inlineStr">
        <is>
          <t>Right-sized 0.35-0.75 AC</t>
        </is>
      </c>
      <c r="BD89" s="94" t="n">
        <v>1</v>
      </c>
      <c r="BE89" s="96">
        <f>ROUND(INDEX('Scoring Method'!$B$268:$B$276,MATCH(AE89,'Scoring Method'!$A$268:$A$276,0))+INDEX('Scoring Method'!$B$280:$B$288,MATCH(AP89,'Scoring Method'!$A$280:$A$288,0))+INDEX('Scoring Method'!$B$292:$B$296,MATCH(AQ89,'Scoring Method'!$A$292:$A$296,0))+INDEX('Scoring Method'!$B$300:$B$305,MATCH(AO89,'Scoring Method'!$A$300:$A$305,0))+INDEX('Scoring Method'!$B$309:$B$314,MATCH(AX89,'Scoring Method'!$A$309:$A$314,0))+INDEX('Scoring Method'!$B$337:$B$341,MATCH(X89,'Scoring Method'!$A$337:$A$341,0))+INDEX('Scoring Method'!$B$324:$B$326,MATCH(P89,'Scoring Method'!$A$324:$A$326,0)),1)</f>
        <v/>
      </c>
      <c r="BF89" s="96">
        <f>ROUND(INDEX('Scoring Method'!$B$268:$B$276,MATCH(AE89,'Scoring Method'!$A$268:$A$276,0))*BB89*BD89+INDEX('Scoring Method'!$B$280:$B$288,MATCH(AP89,'Scoring Method'!$A$280:$A$288,0))*BM89*BB89*BD89+INDEX('Scoring Method'!$B$292:$B$296,MATCH(AQ89,'Scoring Method'!$A$292:$A$296,0))*BD89+INDEX('Scoring Method'!$B$300:$B$305,MATCH(AO89,'Scoring Method'!$A$300:$A$305,0))*BM89*BB89+INDEX('Scoring Method'!$B$309:$B$314,MATCH(AX89,'Scoring Method'!$A$309:$A$314,0))+INDEX('Scoring Method'!$B$337:$B$341,MATCH(X89,'Scoring Method'!$A$337:$A$341,0))+INDEX('Scoring Method'!$B$324:$B$326,MATCH(P89,'Scoring Method'!$A$324:$A$326,0)),1)</f>
        <v/>
      </c>
      <c r="BG89" s="92" t="inlineStr">
        <is>
          <t>Fits (~$1,877/mo)</t>
        </is>
      </c>
      <c r="BH89" s="61" t="inlineStr">
        <is>
          <t>SU</t>
        </is>
      </c>
      <c r="BI89" s="61" t="inlineStr">
        <is>
          <t>Semi-Urban Residential</t>
        </is>
      </c>
      <c r="BJ89" s="61" t="inlineStr"/>
      <c r="BK89" s="61" t="inlineStr"/>
      <c r="BL89" s="61" t="inlineStr">
        <is>
          <t>SU corner unverified</t>
        </is>
      </c>
      <c r="BM89" s="61">
        <f>INDEX('Scoring Method'!$B$358:$B$363,MATCH(BL89,'Scoring Method'!$A$358:$A$363,0))</f>
        <v/>
      </c>
    </row>
    <row r="90" ht="15" customHeight="1" s="62">
      <c r="A90" s="92" t="n">
        <v>89</v>
      </c>
      <c r="B90" s="92" t="inlineStr">
        <is>
          <t>055-13-04-001.01</t>
        </is>
      </c>
      <c r="C90" s="92" t="inlineStr">
        <is>
          <t>1401 MADISON AVE</t>
        </is>
      </c>
      <c r="D90" s="92" t="inlineStr">
        <is>
          <t>HEALTHPOINT FAMILY CARE INC</t>
        </is>
      </c>
      <c r="E90" s="92" t="inlineStr">
        <is>
          <t>215 E 11TH ST</t>
        </is>
      </c>
      <c r="F90" s="92" t="inlineStr">
        <is>
          <t>NEWPORT</t>
        </is>
      </c>
      <c r="G90" s="92" t="inlineStr">
        <is>
          <t>KY</t>
        </is>
      </c>
      <c r="H90" s="92" t="inlineStr">
        <is>
          <t>PAVED LOT</t>
        </is>
      </c>
      <c r="I90" s="93" t="n">
        <v>14380</v>
      </c>
      <c r="J90" s="94">
        <f>I90/43560</f>
        <v/>
      </c>
      <c r="K90" s="93" t="n">
        <v>492.3</v>
      </c>
      <c r="L90" s="95">
        <f>I90/(K90^2)</f>
        <v/>
      </c>
      <c r="M90" s="92" t="inlineStr">
        <is>
          <t>Near 14-18k/32-45k</t>
        </is>
      </c>
      <c r="N90" s="92" t="inlineStr">
        <is>
          <t>D</t>
        </is>
      </c>
      <c r="O90" s="92" t="inlineStr">
        <is>
          <t>Compact &gt;=.055</t>
        </is>
      </c>
      <c r="P90" s="92" t="inlineStr">
        <is>
          <t>Low</t>
        </is>
      </c>
      <c r="Q90" s="92" t="inlineStr">
        <is>
          <t>Out-of-city KY</t>
        </is>
      </c>
      <c r="R90" s="92" t="inlineStr">
        <is>
          <t>Nonprofit/Inst</t>
        </is>
      </c>
      <c r="S90" s="92" t="n">
        <v>3</v>
      </c>
      <c r="T90" s="96">
        <f>INDEX('Scoring Method'!$B$6:$B$9,MATCH(M90,'Scoring Method'!$A$6:$A$9,0))+INDEX('Scoring Method'!$B$12:$B$16,MATCH(N90,'Scoring Method'!$A$12:$A$16,0))+INDEX('Scoring Method'!$B$19:$B$22,MATCH(O90,'Scoring Method'!$A$19:$A$22,0))+INDEX('Scoring Method'!$B$25:$B$27,MATCH(P90,'Scoring Method'!$A$25:$A$27,0))</f>
        <v/>
      </c>
      <c r="U90" s="96">
        <f>(INDEX('Scoring Method'!$B$30:$B$33,MATCH(Q90,'Scoring Method'!$A$30:$A$33,0))+INDEX('Scoring Method'!$B$36:$B$42,MATCH(R90,'Scoring Method'!$A$36:$A$42,0))+INDEX('Scoring Method'!$B$45:$B$47,MATCH(IF(S90=1,"1",IF(S90=2,"2","3+")),'Scoring Method'!$A$45:$A$47,0)))/90*100</f>
        <v/>
      </c>
      <c r="V90" s="96">
        <f>T90*U90/100</f>
        <v/>
      </c>
      <c r="W90" s="93" t="n">
        <v>105</v>
      </c>
      <c r="X90" s="92" t="inlineStr">
        <is>
          <t>X (minimal hazard)</t>
        </is>
      </c>
      <c r="Y90" s="93" t="n">
        <v>14050</v>
      </c>
      <c r="Z90" s="97" t="n"/>
      <c r="AA90" s="98">
        <f>MAX(0,(Y90-5000)/300)</f>
        <v/>
      </c>
      <c r="AB90" s="92" t="n"/>
      <c r="AC90" s="92" t="n"/>
      <c r="AD90" s="92" t="n"/>
      <c r="AE90" s="92" t="inlineStr">
        <is>
          <t>Too small &lt;1.2k</t>
        </is>
      </c>
      <c r="AF90" s="96">
        <f>INDEX('Scoring Method'!$B$63:$B$71,MATCH(AE90,'Scoring Method'!$A$63:$A$71,0))+INDEX('Scoring Method'!$B$75:$B$79,MATCH("Good 8-15k",'Scoring Method'!$A$75:$A$79,0))+INDEX('Scoring Method'!$B$343:$B$347,MATCH(X90,'Scoring Method'!$A$343:$A$347,0))+INDEX('Scoring Method'!$B$25:$B$27,MATCH(P90,'Scoring Method'!$A$25:$A$27,0))</f>
        <v/>
      </c>
      <c r="AG90" s="96">
        <f>AF90*U90/100</f>
        <v/>
      </c>
      <c r="AH90" s="92" t="inlineStr">
        <is>
          <t>LINK-GIS only</t>
        </is>
      </c>
      <c r="AI90" s="99" t="n">
        <v>39.07495</v>
      </c>
      <c r="AJ90" s="99" t="n">
        <v>-84.50816</v>
      </c>
      <c r="AK90" s="94" t="n">
        <v>0.83</v>
      </c>
      <c r="AL90" s="94" t="n">
        <v>1.1</v>
      </c>
      <c r="AM90" s="94" t="n">
        <v>1.85</v>
      </c>
      <c r="AN90" s="94" t="n">
        <v>0.64</v>
      </c>
      <c r="AO90" s="92" t="inlineStr">
        <is>
          <t>Near 0.35-0.75mi</t>
        </is>
      </c>
      <c r="AP90" s="92" t="inlineStr">
        <is>
          <t>Lot / minimal bldg</t>
        </is>
      </c>
      <c r="AQ90" s="92" t="inlineStr">
        <is>
          <t>Good 8-15k</t>
        </is>
      </c>
      <c r="AR90" s="100" t="n"/>
      <c r="AS90" s="96">
        <f>ROUND(INDEX('Scoring Method'!$B$63:$B$70,MATCH(AE90,'Scoring Method'!$A$63:$A$70,0))*0.625+INDEX('Scoring Method'!$B$105:$B$113,MATCH(AP90,'Scoring Method'!$A$105:$A$113,0))+INDEX('Scoring Method'!$B$74:$B$78,MATCH(AQ90,'Scoring Method'!$A$74:$A$78,0))*0.6667+INDEX('Scoring Method'!$B$96:$B$101,MATCH(AO90,'Scoring Method'!$A$96:$A$101,0))+INDEX('Scoring Method'!$B$343:$B$347,MATCH(X90,'Scoring Method'!$A$343:$A$347,0))*0.3333+INDEX('Scoring Method'!$B$25:$B$27,MATCH(P90,'Scoring Method'!$A$25:$A$27,0))*0.3333,1)</f>
        <v/>
      </c>
      <c r="AT90" s="96">
        <f>AS90*U90/100</f>
        <v/>
      </c>
      <c r="AU90" s="92" t="inlineStr">
        <is>
          <t>Eastside</t>
        </is>
      </c>
      <c r="AV90" s="92" t="n">
        <v>28</v>
      </c>
      <c r="AW90" s="101" t="inlineStr">
        <is>
          <t>ESTIMATED</t>
        </is>
      </c>
      <c r="AX90" s="92" t="inlineStr">
        <is>
          <t>High &lt;35</t>
        </is>
      </c>
      <c r="AY90" s="96">
        <f>ROUND(INDEX('Scoring Method'!$B$132:$B$140,MATCH(AE90,'Scoring Method'!$A$132:$A$140,0))+INDEX('Scoring Method'!$B$144:$B$152,MATCH(AP90,'Scoring Method'!$A$144:$A$152,0))+INDEX('Scoring Method'!$B$156:$B$160,MATCH(AQ90,'Scoring Method'!$A$156:$A$160,0))+INDEX('Scoring Method'!$B$164:$B$169,MATCH(AO90,'Scoring Method'!$A$164:$A$169,0))+INDEX('Scoring Method'!$B$173:$B$178,MATCH(AX90,'Scoring Method'!$A$173:$A$178,0))+INDEX('Scoring Method'!$B$349:$B$353,MATCH(X90,'Scoring Method'!$A$349:$A$353,0))+INDEX('Scoring Method'!$B$188:$B$190,MATCH(P90,'Scoring Method'!$A$188:$A$190,0)),1)</f>
        <v/>
      </c>
      <c r="AZ90" s="96">
        <f>AY90*U90/100</f>
        <v/>
      </c>
      <c r="BA90" s="103" t="inlineStr">
        <is>
          <t>Brand-owned / net lease</t>
        </is>
      </c>
      <c r="BB90" s="94" t="n">
        <v>0.3</v>
      </c>
      <c r="BC90" s="102" t="inlineStr">
        <is>
          <t>Small 0.25-0.35 AC</t>
        </is>
      </c>
      <c r="BD90" s="94" t="n">
        <v>0.9</v>
      </c>
      <c r="BE90" s="96">
        <f>ROUND(INDEX('Scoring Method'!$B$268:$B$276,MATCH(AE90,'Scoring Method'!$A$268:$A$276,0))+INDEX('Scoring Method'!$B$280:$B$288,MATCH(AP90,'Scoring Method'!$A$280:$A$288,0))+INDEX('Scoring Method'!$B$292:$B$296,MATCH(AQ90,'Scoring Method'!$A$292:$A$296,0))+INDEX('Scoring Method'!$B$300:$B$305,MATCH(AO90,'Scoring Method'!$A$300:$A$305,0))+INDEX('Scoring Method'!$B$309:$B$314,MATCH(AX90,'Scoring Method'!$A$309:$A$314,0))+INDEX('Scoring Method'!$B$337:$B$341,MATCH(X90,'Scoring Method'!$A$337:$A$341,0))+INDEX('Scoring Method'!$B$324:$B$326,MATCH(P90,'Scoring Method'!$A$324:$A$326,0)),1)</f>
        <v/>
      </c>
      <c r="BF90" s="96">
        <f>ROUND(INDEX('Scoring Method'!$B$268:$B$276,MATCH(AE90,'Scoring Method'!$A$268:$A$276,0))*BB90*BD90+INDEX('Scoring Method'!$B$280:$B$288,MATCH(AP90,'Scoring Method'!$A$280:$A$288,0))*BM90*BB90*BD90+INDEX('Scoring Method'!$B$292:$B$296,MATCH(AQ90,'Scoring Method'!$A$292:$A$296,0))*BD90+INDEX('Scoring Method'!$B$300:$B$305,MATCH(AO90,'Scoring Method'!$A$300:$A$305,0))*BM90*BB90+INDEX('Scoring Method'!$B$309:$B$314,MATCH(AX90,'Scoring Method'!$A$309:$A$314,0))+INDEX('Scoring Method'!$B$337:$B$341,MATCH(X90,'Scoring Method'!$A$337:$A$341,0))+INDEX('Scoring Method'!$B$324:$B$326,MATCH(P90,'Scoring Method'!$A$324:$A$326,0)),1)</f>
        <v/>
      </c>
      <c r="BG90" s="92" t="inlineStr">
        <is>
          <t>Fits (~$96/mo)</t>
        </is>
      </c>
      <c r="BH90" s="61" t="inlineStr">
        <is>
          <t>DTC</t>
        </is>
      </c>
      <c r="BI90" s="61" t="inlineStr">
        <is>
          <t>Downtown Core</t>
        </is>
      </c>
      <c r="BJ90" s="61" t="inlineStr"/>
      <c r="BK90" s="61" t="inlineStr"/>
      <c r="BL90" s="61" t="inlineStr">
        <is>
          <t>Bar permitted</t>
        </is>
      </c>
      <c r="BM90" s="61">
        <f>INDEX('Scoring Method'!$B$358:$B$363,MATCH(BL90,'Scoring Method'!$A$358:$A$363,0))</f>
        <v/>
      </c>
    </row>
    <row r="91" ht="15" customHeight="1" s="62">
      <c r="A91" s="92" t="n">
        <v>90</v>
      </c>
      <c r="B91" s="92" t="inlineStr">
        <is>
          <t>095-00-00-001.05</t>
        </is>
      </c>
      <c r="C91" s="92" t="inlineStr">
        <is>
          <t>RUSSELL ST</t>
        </is>
      </c>
      <c r="D91" s="92" t="inlineStr">
        <is>
          <t>TMV HOLDINGS LLC</t>
        </is>
      </c>
      <c r="E91" s="92" t="inlineStr">
        <is>
          <t>10838 OMAHA TRACE</t>
        </is>
      </c>
      <c r="F91" s="92" t="inlineStr">
        <is>
          <t>UNION</t>
        </is>
      </c>
      <c r="G91" s="92" t="inlineStr">
        <is>
          <t>KY</t>
        </is>
      </c>
      <c r="H91" s="92" t="inlineStr">
        <is>
          <t>PAVED LOT</t>
        </is>
      </c>
      <c r="I91" s="93" t="n">
        <v>32362</v>
      </c>
      <c r="J91" s="94">
        <f>I91/43560</f>
        <v/>
      </c>
      <c r="K91" s="93" t="n">
        <v>1010.6</v>
      </c>
      <c r="L91" s="95">
        <f>I91/(K91^2)</f>
        <v/>
      </c>
      <c r="M91" s="92" t="inlineStr">
        <is>
          <t>Near 14-18k/32-45k</t>
        </is>
      </c>
      <c r="N91" s="92" t="inlineStr">
        <is>
          <t>D</t>
        </is>
      </c>
      <c r="O91" s="92" t="inlineStr">
        <is>
          <t>Irregular &lt;.035</t>
        </is>
      </c>
      <c r="P91" s="92" t="inlineStr">
        <is>
          <t>Low</t>
        </is>
      </c>
      <c r="Q91" s="92" t="inlineStr">
        <is>
          <t>Out-of-city KY</t>
        </is>
      </c>
      <c r="R91" s="92" t="inlineStr">
        <is>
          <t>Passive vehicle</t>
        </is>
      </c>
      <c r="S91" s="92" t="n">
        <v>3</v>
      </c>
      <c r="T91" s="96">
        <f>INDEX('Scoring Method'!$B$6:$B$9,MATCH(M91,'Scoring Method'!$A$6:$A$9,0))+INDEX('Scoring Method'!$B$12:$B$16,MATCH(N91,'Scoring Method'!$A$12:$A$16,0))+INDEX('Scoring Method'!$B$19:$B$22,MATCH(O91,'Scoring Method'!$A$19:$A$22,0))+INDEX('Scoring Method'!$B$25:$B$27,MATCH(P91,'Scoring Method'!$A$25:$A$27,0))</f>
        <v/>
      </c>
      <c r="U91" s="96">
        <f>(INDEX('Scoring Method'!$B$30:$B$33,MATCH(Q91,'Scoring Method'!$A$30:$A$33,0))+INDEX('Scoring Method'!$B$36:$B$42,MATCH(R91,'Scoring Method'!$A$36:$A$42,0))+INDEX('Scoring Method'!$B$45:$B$47,MATCH(IF(S91=1,"1",IF(S91=2,"2","3+")),'Scoring Method'!$A$45:$A$47,0)))/90*100</f>
        <v/>
      </c>
      <c r="V91" s="96">
        <f>T91*U91/100</f>
        <v/>
      </c>
      <c r="W91" s="93" t="n">
        <v>3600</v>
      </c>
      <c r="X91" s="92" t="inlineStr">
        <is>
          <t>X (minimal hazard)</t>
        </is>
      </c>
      <c r="Y91" s="93" t="n">
        <v>28600</v>
      </c>
      <c r="Z91" s="97" t="n"/>
      <c r="AA91" s="98">
        <f>MAX(0,(Y91-5000)/300)</f>
        <v/>
      </c>
      <c r="AB91" s="92" t="n"/>
      <c r="AC91" s="92" t="n"/>
      <c r="AD91" s="92" t="n"/>
      <c r="AE91" s="92" t="inlineStr">
        <is>
          <t>Above 2.5-4k</t>
        </is>
      </c>
      <c r="AF91" s="96">
        <f>INDEX('Scoring Method'!$B$63:$B$71,MATCH(AE91,'Scoring Method'!$A$63:$A$71,0))+INDEX('Scoring Method'!$B$75:$B$79,MATCH("Ample &gt;=15k",'Scoring Method'!$A$75:$A$79,0))+INDEX('Scoring Method'!$B$343:$B$347,MATCH(X91,'Scoring Method'!$A$343:$A$347,0))+INDEX('Scoring Method'!$B$25:$B$27,MATCH(P91,'Scoring Method'!$A$25:$A$27,0))</f>
        <v/>
      </c>
      <c r="AG91" s="96">
        <f>AF91*U91/100</f>
        <v/>
      </c>
      <c r="AH91" s="92" t="inlineStr">
        <is>
          <t>LINK-GIS + LoopNet (2026-08-02)</t>
        </is>
      </c>
      <c r="AI91" s="99" t="n">
        <v>39.07089</v>
      </c>
      <c r="AJ91" s="99" t="n">
        <v>-84.50893000000001</v>
      </c>
      <c r="AK91" s="94" t="n">
        <v>1.05</v>
      </c>
      <c r="AL91" s="94" t="n">
        <v>1.38</v>
      </c>
      <c r="AM91" s="94" t="n">
        <v>2.12</v>
      </c>
      <c r="AN91" s="94" t="n">
        <v>0.91</v>
      </c>
      <c r="AO91" s="92" t="inlineStr">
        <is>
          <t>Fringe 0.75-1.25mi</t>
        </is>
      </c>
      <c r="AP91" s="92" t="inlineStr">
        <is>
          <t>Lot / minimal bldg</t>
        </is>
      </c>
      <c r="AQ91" s="92" t="inlineStr">
        <is>
          <t>Ample &gt;=15k</t>
        </is>
      </c>
      <c r="AR91" s="100" t="n"/>
      <c r="AS91" s="96">
        <f>ROUND(INDEX('Scoring Method'!$B$63:$B$70,MATCH(AE91,'Scoring Method'!$A$63:$A$70,0))*0.625+INDEX('Scoring Method'!$B$105:$B$113,MATCH(AP91,'Scoring Method'!$A$105:$A$113,0))+INDEX('Scoring Method'!$B$74:$B$78,MATCH(AQ91,'Scoring Method'!$A$74:$A$78,0))*0.6667+INDEX('Scoring Method'!$B$96:$B$101,MATCH(AO91,'Scoring Method'!$A$96:$A$101,0))+INDEX('Scoring Method'!$B$343:$B$347,MATCH(X91,'Scoring Method'!$A$343:$A$347,0))*0.3333+INDEX('Scoring Method'!$B$25:$B$27,MATCH(P91,'Scoring Method'!$A$25:$A$27,0))*0.3333,1)</f>
        <v/>
      </c>
      <c r="AT91" s="96">
        <f>AS91*U91/100</f>
        <v/>
      </c>
      <c r="AU91" s="92" t="inlineStr">
        <is>
          <t>Eastside</t>
        </is>
      </c>
      <c r="AV91" s="92" t="n">
        <v>28</v>
      </c>
      <c r="AW91" s="101" t="inlineStr">
        <is>
          <t>ESTIMATED</t>
        </is>
      </c>
      <c r="AX91" s="92" t="inlineStr">
        <is>
          <t>High &lt;35</t>
        </is>
      </c>
      <c r="AY91" s="96">
        <f>ROUND(INDEX('Scoring Method'!$B$132:$B$140,MATCH(AE91,'Scoring Method'!$A$132:$A$140,0))+INDEX('Scoring Method'!$B$144:$B$152,MATCH(AP91,'Scoring Method'!$A$144:$A$152,0))+INDEX('Scoring Method'!$B$156:$B$160,MATCH(AQ91,'Scoring Method'!$A$156:$A$160,0))+INDEX('Scoring Method'!$B$164:$B$169,MATCH(AO91,'Scoring Method'!$A$164:$A$169,0))+INDEX('Scoring Method'!$B$173:$B$178,MATCH(AX91,'Scoring Method'!$A$173:$A$178,0))+INDEX('Scoring Method'!$B$349:$B$353,MATCH(X91,'Scoring Method'!$A$349:$A$353,0))+INDEX('Scoring Method'!$B$188:$B$190,MATCH(P91,'Scoring Method'!$A$188:$A$190,0)),1)</f>
        <v/>
      </c>
      <c r="AZ91" s="96">
        <f>AY91*U91/100</f>
        <v/>
      </c>
      <c r="BA91" s="92" t="inlineStr">
        <is>
          <t>No chain signal</t>
        </is>
      </c>
      <c r="BB91" s="94" t="n">
        <v>1</v>
      </c>
      <c r="BC91" s="92" t="inlineStr">
        <is>
          <t>Right-sized 0.35-0.75 AC</t>
        </is>
      </c>
      <c r="BD91" s="94" t="n">
        <v>1</v>
      </c>
      <c r="BE91" s="96">
        <f>ROUND(INDEX('Scoring Method'!$B$268:$B$276,MATCH(AE91,'Scoring Method'!$A$268:$A$276,0))+INDEX('Scoring Method'!$B$280:$B$288,MATCH(AP91,'Scoring Method'!$A$280:$A$288,0))+INDEX('Scoring Method'!$B$292:$B$296,MATCH(AQ91,'Scoring Method'!$A$292:$A$296,0))+INDEX('Scoring Method'!$B$300:$B$305,MATCH(AO91,'Scoring Method'!$A$300:$A$305,0))+INDEX('Scoring Method'!$B$309:$B$314,MATCH(AX91,'Scoring Method'!$A$309:$A$314,0))+INDEX('Scoring Method'!$B$337:$B$341,MATCH(X91,'Scoring Method'!$A$337:$A$341,0))+INDEX('Scoring Method'!$B$324:$B$326,MATCH(P91,'Scoring Method'!$A$324:$A$326,0)),1)</f>
        <v/>
      </c>
      <c r="BF91" s="96">
        <f>ROUND(INDEX('Scoring Method'!$B$268:$B$276,MATCH(AE91,'Scoring Method'!$A$268:$A$276,0))*BB91*BD91+INDEX('Scoring Method'!$B$280:$B$288,MATCH(AP91,'Scoring Method'!$A$280:$A$288,0))*BM91*BB91*BD91+INDEX('Scoring Method'!$B$292:$B$296,MATCH(AQ91,'Scoring Method'!$A$292:$A$296,0))*BD91+INDEX('Scoring Method'!$B$300:$B$305,MATCH(AO91,'Scoring Method'!$A$300:$A$305,0))*BM91*BB91+INDEX('Scoring Method'!$B$309:$B$314,MATCH(AX91,'Scoring Method'!$A$309:$A$314,0))+INDEX('Scoring Method'!$B$337:$B$341,MATCH(X91,'Scoring Method'!$A$337:$A$341,0))+INDEX('Scoring Method'!$B$324:$B$326,MATCH(P91,'Scoring Method'!$A$324:$A$326,0)),1)</f>
        <v/>
      </c>
      <c r="BG91" s="92" t="inlineStr">
        <is>
          <t>Fits (~$3,300/mo)</t>
        </is>
      </c>
      <c r="BH91" s="61" t="inlineStr">
        <is>
          <t>LI</t>
        </is>
      </c>
      <c r="BI91" s="61" t="inlineStr">
        <is>
          <t>Limited Industrial</t>
        </is>
      </c>
      <c r="BJ91" s="61" t="inlineStr"/>
      <c r="BK91" s="61" t="inlineStr"/>
      <c r="BL91" s="61" t="inlineStr">
        <is>
          <t>Bar prohibited, alt-path</t>
        </is>
      </c>
      <c r="BM91" s="61">
        <f>INDEX('Scoring Method'!$B$358:$B$363,MATCH(BL91,'Scoring Method'!$A$358:$A$363,0))</f>
        <v/>
      </c>
    </row>
    <row r="92" ht="15" customHeight="1" s="62">
      <c r="A92" s="92" t="n">
        <v>91</v>
      </c>
      <c r="B92" s="92" t="inlineStr">
        <is>
          <t>056-31-10-018.00</t>
        </is>
      </c>
      <c r="C92" s="92" t="inlineStr">
        <is>
          <t>3302 CHURCH ST</t>
        </is>
      </c>
      <c r="D92" s="92" t="inlineStr">
        <is>
          <t>GROUT LOUIS A &amp; MARY C</t>
        </is>
      </c>
      <c r="E92" s="92" t="inlineStr">
        <is>
          <t>3302 CHURCH ST</t>
        </is>
      </c>
      <c r="F92" s="92" t="inlineStr">
        <is>
          <t>COVINGTON</t>
        </is>
      </c>
      <c r="G92" s="92" t="inlineStr">
        <is>
          <t>KY</t>
        </is>
      </c>
      <c r="H92" s="92" t="inlineStr">
        <is>
          <t>AUTO SERVICE/REPAIR</t>
        </is>
      </c>
      <c r="I92" s="93" t="n">
        <v>20954</v>
      </c>
      <c r="J92" s="94">
        <f>I92/43560</f>
        <v/>
      </c>
      <c r="K92" s="93" t="n">
        <v>603.2</v>
      </c>
      <c r="L92" s="95">
        <f>I92/(K92^2)</f>
        <v/>
      </c>
      <c r="M92" s="92" t="inlineStr">
        <is>
          <t>Ideal 18-32k</t>
        </is>
      </c>
      <c r="N92" s="92" t="inlineStr">
        <is>
          <t>A</t>
        </is>
      </c>
      <c r="O92" s="92" t="inlineStr">
        <is>
          <t>Compact &gt;=.055</t>
        </is>
      </c>
      <c r="P92" s="92" t="inlineStr">
        <is>
          <t>Moderate</t>
        </is>
      </c>
      <c r="Q92" s="92" t="inlineStr">
        <is>
          <t>Owner-occupied</t>
        </is>
      </c>
      <c r="R92" s="92" t="inlineStr">
        <is>
          <t>Individual</t>
        </is>
      </c>
      <c r="S92" s="92" t="n">
        <v>1</v>
      </c>
      <c r="T92" s="96">
        <f>INDEX('Scoring Method'!$B$6:$B$9,MATCH(M92,'Scoring Method'!$A$6:$A$9,0))+INDEX('Scoring Method'!$B$12:$B$16,MATCH(N92,'Scoring Method'!$A$12:$A$16,0))+INDEX('Scoring Method'!$B$19:$B$22,MATCH(O92,'Scoring Method'!$A$19:$A$22,0))+INDEX('Scoring Method'!$B$25:$B$27,MATCH(P92,'Scoring Method'!$A$25:$A$27,0))</f>
        <v/>
      </c>
      <c r="U92" s="96">
        <f>(INDEX('Scoring Method'!$B$30:$B$33,MATCH(Q92,'Scoring Method'!$A$30:$A$33,0))+INDEX('Scoring Method'!$B$36:$B$42,MATCH(R92,'Scoring Method'!$A$36:$A$42,0))+INDEX('Scoring Method'!$B$45:$B$47,MATCH(IF(S92=1,"1",IF(S92=2,"2","3+")),'Scoring Method'!$A$45:$A$47,0)))/90*100</f>
        <v/>
      </c>
      <c r="V92" s="96">
        <f>T92*U92/100</f>
        <v/>
      </c>
      <c r="W92" s="93" t="n">
        <v>5058</v>
      </c>
      <c r="X92" s="92" t="inlineStr">
        <is>
          <t>X (minimal hazard)</t>
        </is>
      </c>
      <c r="Y92" s="93" t="n">
        <v>13875</v>
      </c>
      <c r="Z92" s="97" t="n"/>
      <c r="AA92" s="98">
        <f>MAX(0,(Y92-5000)/300)</f>
        <v/>
      </c>
      <c r="AB92" s="92" t="n"/>
      <c r="AC92" s="92" t="n"/>
      <c r="AD92" s="92" t="n"/>
      <c r="AE92" s="92" t="inlineStr">
        <is>
          <t>Large 4-6k</t>
        </is>
      </c>
      <c r="AF92" s="96">
        <f>INDEX('Scoring Method'!$B$63:$B$71,MATCH(AE92,'Scoring Method'!$A$63:$A$71,0))+INDEX('Scoring Method'!$B$75:$B$79,MATCH("Good 8-15k",'Scoring Method'!$A$75:$A$79,0))+INDEX('Scoring Method'!$B$343:$B$347,MATCH(X92,'Scoring Method'!$A$343:$A$347,0))+INDEX('Scoring Method'!$B$25:$B$27,MATCH(P92,'Scoring Method'!$A$25:$A$27,0))</f>
        <v/>
      </c>
      <c r="AG92" s="96">
        <f>AF92*U92/100</f>
        <v/>
      </c>
      <c r="AH92" s="92" t="inlineStr">
        <is>
          <t>LINK-GIS + LoopNet (2026-08-02)</t>
        </is>
      </c>
      <c r="AI92" s="99" t="n">
        <v>39.05149</v>
      </c>
      <c r="AJ92" s="99" t="n">
        <v>-84.50124</v>
      </c>
      <c r="AK92" s="94" t="n">
        <v>2.44</v>
      </c>
      <c r="AL92" s="94" t="n">
        <v>2.75</v>
      </c>
      <c r="AM92" s="94" t="n">
        <v>3.51</v>
      </c>
      <c r="AN92" s="94" t="n">
        <v>2.31</v>
      </c>
      <c r="AO92" s="92" t="inlineStr">
        <is>
          <t>Distant 2-3mi</t>
        </is>
      </c>
      <c r="AP92" s="92" t="inlineStr">
        <is>
          <t>Open span</t>
        </is>
      </c>
      <c r="AQ92" s="92" t="inlineStr">
        <is>
          <t>Good 8-15k</t>
        </is>
      </c>
      <c r="AR92" s="100" t="n"/>
      <c r="AS92" s="96">
        <f>ROUND(INDEX('Scoring Method'!$B$63:$B$70,MATCH(AE92,'Scoring Method'!$A$63:$A$70,0))*0.625+INDEX('Scoring Method'!$B$105:$B$113,MATCH(AP92,'Scoring Method'!$A$105:$A$113,0))+INDEX('Scoring Method'!$B$74:$B$78,MATCH(AQ92,'Scoring Method'!$A$74:$A$78,0))*0.6667+INDEX('Scoring Method'!$B$96:$B$101,MATCH(AO92,'Scoring Method'!$A$96:$A$101,0))+INDEX('Scoring Method'!$B$343:$B$347,MATCH(X92,'Scoring Method'!$A$343:$A$347,0))*0.3333+INDEX('Scoring Method'!$B$25:$B$27,MATCH(P92,'Scoring Method'!$A$25:$A$27,0))*0.3333,1)</f>
        <v/>
      </c>
      <c r="AT92" s="96">
        <f>AS92*U92/100</f>
        <v/>
      </c>
      <c r="AU92" s="92" t="inlineStr">
        <is>
          <t>Latonia</t>
        </is>
      </c>
      <c r="AV92" s="92" t="n">
        <v>78</v>
      </c>
      <c r="AW92" s="92" t="inlineStr">
        <is>
          <t>Sourced</t>
        </is>
      </c>
      <c r="AX92" s="92" t="inlineStr">
        <is>
          <t>Safe 70-79</t>
        </is>
      </c>
      <c r="AY92" s="96">
        <f>ROUND(INDEX('Scoring Method'!$B$132:$B$140,MATCH(AE92,'Scoring Method'!$A$132:$A$140,0))+INDEX('Scoring Method'!$B$144:$B$152,MATCH(AP92,'Scoring Method'!$A$144:$A$152,0))+INDEX('Scoring Method'!$B$156:$B$160,MATCH(AQ92,'Scoring Method'!$A$156:$A$160,0))+INDEX('Scoring Method'!$B$164:$B$169,MATCH(AO92,'Scoring Method'!$A$164:$A$169,0))+INDEX('Scoring Method'!$B$173:$B$178,MATCH(AX92,'Scoring Method'!$A$173:$A$178,0))+INDEX('Scoring Method'!$B$349:$B$353,MATCH(X92,'Scoring Method'!$A$349:$A$353,0))+INDEX('Scoring Method'!$B$188:$B$190,MATCH(P92,'Scoring Method'!$A$188:$A$190,0)),1)</f>
        <v/>
      </c>
      <c r="AZ92" s="96">
        <f>AY92*U92/100</f>
        <v/>
      </c>
      <c r="BA92" s="92" t="inlineStr">
        <is>
          <t>Owner-occupied operator</t>
        </is>
      </c>
      <c r="BB92" s="94" t="n">
        <v>0.8</v>
      </c>
      <c r="BC92" s="92" t="inlineStr">
        <is>
          <t>Right-sized 0.35-0.75 AC</t>
        </is>
      </c>
      <c r="BD92" s="94" t="n">
        <v>1</v>
      </c>
      <c r="BE92" s="96">
        <f>ROUND(INDEX('Scoring Method'!$B$268:$B$276,MATCH(AE92,'Scoring Method'!$A$268:$A$276,0))+INDEX('Scoring Method'!$B$280:$B$288,MATCH(AP92,'Scoring Method'!$A$280:$A$288,0))+INDEX('Scoring Method'!$B$292:$B$296,MATCH(AQ92,'Scoring Method'!$A$292:$A$296,0))+INDEX('Scoring Method'!$B$300:$B$305,MATCH(AO92,'Scoring Method'!$A$300:$A$305,0))+INDEX('Scoring Method'!$B$309:$B$314,MATCH(AX92,'Scoring Method'!$A$309:$A$314,0))+INDEX('Scoring Method'!$B$337:$B$341,MATCH(X92,'Scoring Method'!$A$337:$A$341,0))+INDEX('Scoring Method'!$B$324:$B$326,MATCH(P92,'Scoring Method'!$A$324:$A$326,0)),1)</f>
        <v/>
      </c>
      <c r="BF92" s="96">
        <f>ROUND(INDEX('Scoring Method'!$B$268:$B$276,MATCH(AE92,'Scoring Method'!$A$268:$A$276,0))*BB92*BD92+INDEX('Scoring Method'!$B$280:$B$288,MATCH(AP92,'Scoring Method'!$A$280:$A$288,0))*BM92*BB92*BD92+INDEX('Scoring Method'!$B$292:$B$296,MATCH(AQ92,'Scoring Method'!$A$292:$A$296,0))*BD92+INDEX('Scoring Method'!$B$300:$B$305,MATCH(AO92,'Scoring Method'!$A$300:$A$305,0))*BM92*BB92+INDEX('Scoring Method'!$B$309:$B$314,MATCH(AX92,'Scoring Method'!$A$309:$A$314,0))+INDEX('Scoring Method'!$B$337:$B$341,MATCH(X92,'Scoring Method'!$A$337:$A$341,0))+INDEX('Scoring Method'!$B$324:$B$326,MATCH(P92,'Scoring Method'!$A$324:$A$326,0)),1)</f>
        <v/>
      </c>
      <c r="BG92" s="92" t="inlineStr">
        <is>
          <t>Fits (~$4,636/mo)</t>
        </is>
      </c>
      <c r="BH92" s="61" t="inlineStr">
        <is>
          <t>SU</t>
        </is>
      </c>
      <c r="BI92" s="61" t="inlineStr">
        <is>
          <t>Semi-Urban Residential</t>
        </is>
      </c>
      <c r="BJ92" s="61" t="inlineStr"/>
      <c r="BK92" s="61" t="inlineStr"/>
      <c r="BL92" s="61" t="inlineStr">
        <is>
          <t>SU corner unverified</t>
        </is>
      </c>
      <c r="BM92" s="61">
        <f>INDEX('Scoring Method'!$B$358:$B$363,MATCH(BL92,'Scoring Method'!$A$358:$A$363,0))</f>
        <v/>
      </c>
    </row>
    <row r="93" ht="15" customHeight="1" s="62">
      <c r="A93" s="92" t="n">
        <v>92</v>
      </c>
      <c r="B93" s="92" t="inlineStr">
        <is>
          <t>040-34-04-004.02</t>
        </is>
      </c>
      <c r="C93" s="92" t="inlineStr">
        <is>
          <t>596 W 3RD ST</t>
        </is>
      </c>
      <c r="D93" s="92" t="inlineStr">
        <is>
          <t>WHITE CASTLE KY LLC</t>
        </is>
      </c>
      <c r="E93" s="92" t="inlineStr">
        <is>
          <t>PO BOX 182217</t>
        </is>
      </c>
      <c r="F93" s="92" t="inlineStr">
        <is>
          <t>COLUMBUS</t>
        </is>
      </c>
      <c r="G93" s="92" t="inlineStr">
        <is>
          <t>OH</t>
        </is>
      </c>
      <c r="H93" s="92" t="inlineStr">
        <is>
          <t>FAST FOOD-DRIVE THRU REST</t>
        </is>
      </c>
      <c r="I93" s="93" t="n">
        <v>15000</v>
      </c>
      <c r="J93" s="94">
        <f>I93/43560</f>
        <v/>
      </c>
      <c r="K93" s="93" t="n">
        <v>500</v>
      </c>
      <c r="L93" s="95">
        <f>I93/(K93^2)</f>
        <v/>
      </c>
      <c r="M93" s="92" t="inlineStr">
        <is>
          <t>Near 14-18k/32-45k</t>
        </is>
      </c>
      <c r="N93" s="92" t="inlineStr">
        <is>
          <t>C</t>
        </is>
      </c>
      <c r="O93" s="92" t="inlineStr">
        <is>
          <t>Compact &gt;=.055</t>
        </is>
      </c>
      <c r="P93" s="92" t="inlineStr">
        <is>
          <t>Low</t>
        </is>
      </c>
      <c r="Q93" s="92" t="inlineStr">
        <is>
          <t>Out-of-state</t>
        </is>
      </c>
      <c r="R93" s="92" t="inlineStr">
        <is>
          <t>Operating entity</t>
        </is>
      </c>
      <c r="S93" s="92" t="n">
        <v>1</v>
      </c>
      <c r="T93" s="96">
        <f>INDEX('Scoring Method'!$B$6:$B$9,MATCH(M93,'Scoring Method'!$A$6:$A$9,0))+INDEX('Scoring Method'!$B$12:$B$16,MATCH(N93,'Scoring Method'!$A$12:$A$16,0))+INDEX('Scoring Method'!$B$19:$B$22,MATCH(O93,'Scoring Method'!$A$19:$A$22,0))+INDEX('Scoring Method'!$B$25:$B$27,MATCH(P93,'Scoring Method'!$A$25:$A$27,0))</f>
        <v/>
      </c>
      <c r="U93" s="96">
        <f>(INDEX('Scoring Method'!$B$30:$B$33,MATCH(Q93,'Scoring Method'!$A$30:$A$33,0))+INDEX('Scoring Method'!$B$36:$B$42,MATCH(R93,'Scoring Method'!$A$36:$A$42,0))+INDEX('Scoring Method'!$B$45:$B$47,MATCH(IF(S93=1,"1",IF(S93=2,"2","3+")),'Scoring Method'!$A$45:$A$47,0)))/90*100</f>
        <v/>
      </c>
      <c r="V93" s="96">
        <f>T93*U93/100</f>
        <v/>
      </c>
      <c r="W93" s="93" t="n">
        <v>1300</v>
      </c>
      <c r="X93" s="92" t="inlineStr">
        <is>
          <t>X (levee-protected)</t>
        </is>
      </c>
      <c r="Y93" s="93" t="n">
        <v>12225</v>
      </c>
      <c r="Z93" s="97">
        <f>W93/I93</f>
        <v/>
      </c>
      <c r="AA93" s="98">
        <f>MAX(0,(Y93-5000)/300)</f>
        <v/>
      </c>
      <c r="AB93" s="92" t="n"/>
      <c r="AC93" s="92" t="n">
        <v>0.34</v>
      </c>
      <c r="AD93" s="92" t="inlineStr">
        <is>
          <t>ok</t>
        </is>
      </c>
      <c r="AE93" s="92" t="inlineStr">
        <is>
          <t>Below 1.2-1.5k</t>
        </is>
      </c>
      <c r="AF93" s="96">
        <f>INDEX('Scoring Method'!$B$63:$B$71,MATCH(AE93,'Scoring Method'!$A$63:$A$71,0))+INDEX('Scoring Method'!$B$75:$B$79,MATCH("Good 8-15k",'Scoring Method'!$A$75:$A$79,0))+INDEX('Scoring Method'!$B$343:$B$347,MATCH(X93,'Scoring Method'!$A$343:$A$347,0))+INDEX('Scoring Method'!$B$25:$B$27,MATCH(P93,'Scoring Method'!$A$25:$A$27,0))</f>
        <v/>
      </c>
      <c r="AG93" s="96">
        <f>AF93*U93/100</f>
        <v/>
      </c>
      <c r="AH93" s="92" t="inlineStr">
        <is>
          <t>LINK-GIS + LoopNet</t>
        </is>
      </c>
      <c r="AI93" s="99" t="n">
        <v>39.08784</v>
      </c>
      <c r="AJ93" s="99" t="n">
        <v>-84.51971</v>
      </c>
      <c r="AK93" s="94" t="n">
        <v>0.26</v>
      </c>
      <c r="AL93" s="94" t="n">
        <v>0.64</v>
      </c>
      <c r="AM93" s="94" t="n">
        <v>1.02</v>
      </c>
      <c r="AN93" s="94" t="n">
        <v>0.26</v>
      </c>
      <c r="AO93" s="92" t="inlineStr">
        <is>
          <t>Core &lt;=0.35mi</t>
        </is>
      </c>
      <c r="AP93" s="92" t="inlineStr">
        <is>
          <t>Built-out kitchen</t>
        </is>
      </c>
      <c r="AQ93" s="92" t="inlineStr">
        <is>
          <t>Good 8-15k</t>
        </is>
      </c>
      <c r="AR93" s="100" t="n"/>
      <c r="AS93" s="96">
        <f>ROUND(INDEX('Scoring Method'!$B$63:$B$70,MATCH(AE93,'Scoring Method'!$A$63:$A$70,0))*0.625+INDEX('Scoring Method'!$B$105:$B$113,MATCH(AP93,'Scoring Method'!$A$105:$A$113,0))+INDEX('Scoring Method'!$B$74:$B$78,MATCH(AQ93,'Scoring Method'!$A$74:$A$78,0))*0.6667+INDEX('Scoring Method'!$B$96:$B$101,MATCH(AO93,'Scoring Method'!$A$96:$A$101,0))+INDEX('Scoring Method'!$B$343:$B$347,MATCH(X93,'Scoring Method'!$A$343:$A$347,0))*0.3333+INDEX('Scoring Method'!$B$25:$B$27,MATCH(P93,'Scoring Method'!$A$25:$A$27,0))*0.3333,1)</f>
        <v/>
      </c>
      <c r="AT93" s="96">
        <f>AS93*U93/100</f>
        <v/>
      </c>
      <c r="AU93" s="92" t="inlineStr">
        <is>
          <t>Botany Hills / Riverfront West</t>
        </is>
      </c>
      <c r="AV93" s="92" t="n">
        <v>45</v>
      </c>
      <c r="AW93" s="101" t="inlineStr">
        <is>
          <t>ESTIMATED</t>
        </is>
      </c>
      <c r="AX93" s="92" t="inlineStr">
        <is>
          <t>Mixed 45-59</t>
        </is>
      </c>
      <c r="AY93" s="96">
        <f>ROUND(INDEX('Scoring Method'!$B$132:$B$140,MATCH(AE93,'Scoring Method'!$A$132:$A$140,0))+INDEX('Scoring Method'!$B$144:$B$152,MATCH(AP93,'Scoring Method'!$A$144:$A$152,0))+INDEX('Scoring Method'!$B$156:$B$160,MATCH(AQ93,'Scoring Method'!$A$156:$A$160,0))+INDEX('Scoring Method'!$B$164:$B$169,MATCH(AO93,'Scoring Method'!$A$164:$A$169,0))+INDEX('Scoring Method'!$B$173:$B$178,MATCH(AX93,'Scoring Method'!$A$173:$A$178,0))+INDEX('Scoring Method'!$B$349:$B$353,MATCH(X93,'Scoring Method'!$A$349:$A$353,0))+INDEX('Scoring Method'!$B$188:$B$190,MATCH(P93,'Scoring Method'!$A$188:$A$190,0)),1)</f>
        <v/>
      </c>
      <c r="AZ93" s="96">
        <f>AY93*U93/100</f>
        <v/>
      </c>
      <c r="BA93" s="103" t="inlineStr">
        <is>
          <t>Brand-owned / net lease</t>
        </is>
      </c>
      <c r="BB93" s="94" t="n">
        <v>0.3</v>
      </c>
      <c r="BC93" s="102" t="inlineStr">
        <is>
          <t>Small 0.25-0.35 AC</t>
        </is>
      </c>
      <c r="BD93" s="94" t="n">
        <v>0.9</v>
      </c>
      <c r="BE93" s="96">
        <f>ROUND(INDEX('Scoring Method'!$B$268:$B$276,MATCH(AE93,'Scoring Method'!$A$268:$A$276,0))+INDEX('Scoring Method'!$B$280:$B$288,MATCH(AP93,'Scoring Method'!$A$280:$A$288,0))+INDEX('Scoring Method'!$B$292:$B$296,MATCH(AQ93,'Scoring Method'!$A$292:$A$296,0))+INDEX('Scoring Method'!$B$300:$B$305,MATCH(AO93,'Scoring Method'!$A$300:$A$305,0))+INDEX('Scoring Method'!$B$309:$B$314,MATCH(AX93,'Scoring Method'!$A$309:$A$314,0))+INDEX('Scoring Method'!$B$337:$B$341,MATCH(X93,'Scoring Method'!$A$337:$A$341,0))+INDEX('Scoring Method'!$B$324:$B$326,MATCH(P93,'Scoring Method'!$A$324:$A$326,0)),1)</f>
        <v/>
      </c>
      <c r="BF93" s="96">
        <f>ROUND(INDEX('Scoring Method'!$B$268:$B$276,MATCH(AE93,'Scoring Method'!$A$268:$A$276,0))*BB93*BD93+INDEX('Scoring Method'!$B$280:$B$288,MATCH(AP93,'Scoring Method'!$A$280:$A$288,0))*BM93*BB93*BD93+INDEX('Scoring Method'!$B$292:$B$296,MATCH(AQ93,'Scoring Method'!$A$292:$A$296,0))*BD93+INDEX('Scoring Method'!$B$300:$B$305,MATCH(AO93,'Scoring Method'!$A$300:$A$305,0))*BM93*BB93+INDEX('Scoring Method'!$B$309:$B$314,MATCH(AX93,'Scoring Method'!$A$309:$A$314,0))+INDEX('Scoring Method'!$B$337:$B$341,MATCH(X93,'Scoring Method'!$A$337:$A$341,0))+INDEX('Scoring Method'!$B$324:$B$326,MATCH(P93,'Scoring Method'!$A$324:$A$326,0)),1)</f>
        <v/>
      </c>
      <c r="BG93" s="92" t="inlineStr">
        <is>
          <t>Fits (~$1,192/mo)</t>
        </is>
      </c>
      <c r="BH93" s="61" t="inlineStr">
        <is>
          <t>AUC</t>
        </is>
      </c>
      <c r="BI93" s="61" t="inlineStr">
        <is>
          <t>Auto-Urban Commercial</t>
        </is>
      </c>
      <c r="BJ93" s="61" t="inlineStr"/>
      <c r="BK93" s="61" t="inlineStr"/>
      <c r="BL93" s="61" t="inlineStr">
        <is>
          <t>Bar permitted</t>
        </is>
      </c>
      <c r="BM93" s="61">
        <f>INDEX('Scoring Method'!$B$358:$B$363,MATCH(BL93,'Scoring Method'!$A$358:$A$363,0))</f>
        <v/>
      </c>
    </row>
    <row r="94" ht="15" customHeight="1" s="62">
      <c r="A94" s="92" t="n">
        <v>93</v>
      </c>
      <c r="B94" s="92" t="inlineStr">
        <is>
          <t>054-21-02-001.00</t>
        </is>
      </c>
      <c r="C94" s="92" t="inlineStr">
        <is>
          <t>502 MAIN ST</t>
        </is>
      </c>
      <c r="D94" s="92" t="inlineStr">
        <is>
          <t>HZ PROPS RE LTD</t>
        </is>
      </c>
      <c r="E94" s="92" t="inlineStr">
        <is>
          <t>4415 HIGHWAY 6</t>
        </is>
      </c>
      <c r="F94" s="92" t="inlineStr">
        <is>
          <t>SUGAR LAND</t>
        </is>
      </c>
      <c r="G94" s="92" t="inlineStr">
        <is>
          <t>TX</t>
        </is>
      </c>
      <c r="H94" s="92" t="inlineStr">
        <is>
          <t>FAST FOOD-DRIVE THRU REST</t>
        </is>
      </c>
      <c r="I94" s="93" t="n">
        <v>15120</v>
      </c>
      <c r="J94" s="94">
        <f>I94/43560</f>
        <v/>
      </c>
      <c r="K94" s="93" t="n">
        <v>516</v>
      </c>
      <c r="L94" s="95">
        <f>I94/(K94^2)</f>
        <v/>
      </c>
      <c r="M94" s="92" t="inlineStr">
        <is>
          <t>Near 14-18k/32-45k</t>
        </is>
      </c>
      <c r="N94" s="92" t="inlineStr">
        <is>
          <t>C</t>
        </is>
      </c>
      <c r="O94" s="92" t="inlineStr">
        <is>
          <t>Compact &gt;=.055</t>
        </is>
      </c>
      <c r="P94" s="92" t="inlineStr">
        <is>
          <t>Low</t>
        </is>
      </c>
      <c r="Q94" s="92" t="inlineStr">
        <is>
          <t>Out-of-state</t>
        </is>
      </c>
      <c r="R94" s="92" t="inlineStr">
        <is>
          <t>Operating entity</t>
        </is>
      </c>
      <c r="S94" s="92" t="n">
        <v>1</v>
      </c>
      <c r="T94" s="96">
        <f>INDEX('Scoring Method'!$B$6:$B$9,MATCH(M94,'Scoring Method'!$A$6:$A$9,0))+INDEX('Scoring Method'!$B$12:$B$16,MATCH(N94,'Scoring Method'!$A$12:$A$16,0))+INDEX('Scoring Method'!$B$19:$B$22,MATCH(O94,'Scoring Method'!$A$19:$A$22,0))+INDEX('Scoring Method'!$B$25:$B$27,MATCH(P94,'Scoring Method'!$A$25:$A$27,0))</f>
        <v/>
      </c>
      <c r="U94" s="96">
        <f>(INDEX('Scoring Method'!$B$30:$B$33,MATCH(Q94,'Scoring Method'!$A$30:$A$33,0))+INDEX('Scoring Method'!$B$36:$B$42,MATCH(R94,'Scoring Method'!$A$36:$A$42,0))+INDEX('Scoring Method'!$B$45:$B$47,MATCH(IF(S94=1,"1",IF(S94=2,"2","3+")),'Scoring Method'!$A$45:$A$47,0)))/90*100</f>
        <v/>
      </c>
      <c r="V94" s="96">
        <f>T94*U94/100</f>
        <v/>
      </c>
      <c r="W94" s="93" t="n">
        <v>2365</v>
      </c>
      <c r="X94" s="92" t="inlineStr">
        <is>
          <t>X (minimal hazard)</t>
        </is>
      </c>
      <c r="Y94" s="93" t="n">
        <v>10875</v>
      </c>
      <c r="Z94" s="97">
        <f>W94/I94</f>
        <v/>
      </c>
      <c r="AA94" s="98">
        <f>MAX(0,(Y94-5000)/300)</f>
        <v/>
      </c>
      <c r="AB94" s="92" t="n"/>
      <c r="AC94" s="92" t="n">
        <v>0.35</v>
      </c>
      <c r="AD94" s="92" t="inlineStr">
        <is>
          <t>ok</t>
        </is>
      </c>
      <c r="AE94" s="92" t="inlineStr">
        <is>
          <t>Target 1.5-2.5k</t>
        </is>
      </c>
      <c r="AF94" s="96">
        <f>INDEX('Scoring Method'!$B$63:$B$71,MATCH(AE94,'Scoring Method'!$A$63:$A$71,0))+INDEX('Scoring Method'!$B$75:$B$79,MATCH("Good 8-15k",'Scoring Method'!$A$75:$A$79,0))+INDEX('Scoring Method'!$B$343:$B$347,MATCH(X94,'Scoring Method'!$A$343:$A$347,0))+INDEX('Scoring Method'!$B$25:$B$27,MATCH(P94,'Scoring Method'!$A$25:$A$27,0))</f>
        <v/>
      </c>
      <c r="AG94" s="96">
        <f>AF94*U94/100</f>
        <v/>
      </c>
      <c r="AH94" s="92" t="inlineStr">
        <is>
          <t>LINK-GIS + LoopNet</t>
        </is>
      </c>
      <c r="AI94" s="99" t="n">
        <v>39.08506</v>
      </c>
      <c r="AJ94" s="99" t="n">
        <v>-84.51724</v>
      </c>
      <c r="AK94" s="94" t="n">
        <v>0.06</v>
      </c>
      <c r="AL94" s="94" t="n">
        <v>0.62</v>
      </c>
      <c r="AM94" s="94" t="n">
        <v>1.17</v>
      </c>
      <c r="AN94" s="94" t="n">
        <v>0.06</v>
      </c>
      <c r="AO94" s="92" t="inlineStr">
        <is>
          <t>Core &lt;=0.35mi</t>
        </is>
      </c>
      <c r="AP94" s="92" t="inlineStr">
        <is>
          <t>Built-out kitchen</t>
        </is>
      </c>
      <c r="AQ94" s="92" t="inlineStr">
        <is>
          <t>Good 8-15k</t>
        </is>
      </c>
      <c r="AR94" s="100" t="n"/>
      <c r="AS94" s="96">
        <f>ROUND(INDEX('Scoring Method'!$B$63:$B$70,MATCH(AE94,'Scoring Method'!$A$63:$A$70,0))*0.625+INDEX('Scoring Method'!$B$105:$B$113,MATCH(AP94,'Scoring Method'!$A$105:$A$113,0))+INDEX('Scoring Method'!$B$74:$B$78,MATCH(AQ94,'Scoring Method'!$A$74:$A$78,0))*0.6667+INDEX('Scoring Method'!$B$96:$B$101,MATCH(AO94,'Scoring Method'!$A$96:$A$101,0))+INDEX('Scoring Method'!$B$343:$B$347,MATCH(X94,'Scoring Method'!$A$343:$A$347,0))*0.3333+INDEX('Scoring Method'!$B$25:$B$27,MATCH(P94,'Scoring Method'!$A$25:$A$27,0))*0.3333,1)</f>
        <v/>
      </c>
      <c r="AT94" s="96">
        <f>AS94*U94/100</f>
        <v/>
      </c>
      <c r="AU94" s="92" t="inlineStr">
        <is>
          <t>MainStrasse</t>
        </is>
      </c>
      <c r="AV94" s="92" t="n">
        <v>75</v>
      </c>
      <c r="AW94" s="92" t="inlineStr">
        <is>
          <t>Sourced</t>
        </is>
      </c>
      <c r="AX94" s="92" t="inlineStr">
        <is>
          <t>Safe 70-79</t>
        </is>
      </c>
      <c r="AY94" s="96">
        <f>ROUND(INDEX('Scoring Method'!$B$132:$B$140,MATCH(AE94,'Scoring Method'!$A$132:$A$140,0))+INDEX('Scoring Method'!$B$144:$B$152,MATCH(AP94,'Scoring Method'!$A$144:$A$152,0))+INDEX('Scoring Method'!$B$156:$B$160,MATCH(AQ94,'Scoring Method'!$A$156:$A$160,0))+INDEX('Scoring Method'!$B$164:$B$169,MATCH(AO94,'Scoring Method'!$A$164:$A$169,0))+INDEX('Scoring Method'!$B$173:$B$178,MATCH(AX94,'Scoring Method'!$A$173:$A$178,0))+INDEX('Scoring Method'!$B$349:$B$353,MATCH(X94,'Scoring Method'!$A$349:$A$353,0))+INDEX('Scoring Method'!$B$188:$B$190,MATCH(P94,'Scoring Method'!$A$188:$A$190,0)),1)</f>
        <v/>
      </c>
      <c r="AZ94" s="96">
        <f>AY94*U94/100</f>
        <v/>
      </c>
      <c r="BA94" s="103" t="inlineStr">
        <is>
          <t>Chain format + investor</t>
        </is>
      </c>
      <c r="BB94" s="94" t="n">
        <v>0.45</v>
      </c>
      <c r="BC94" s="102" t="inlineStr">
        <is>
          <t>Small 0.25-0.35 AC</t>
        </is>
      </c>
      <c r="BD94" s="94" t="n">
        <v>0.9</v>
      </c>
      <c r="BE94" s="96">
        <f>ROUND(INDEX('Scoring Method'!$B$268:$B$276,MATCH(AE94,'Scoring Method'!$A$268:$A$276,0))+INDEX('Scoring Method'!$B$280:$B$288,MATCH(AP94,'Scoring Method'!$A$280:$A$288,0))+INDEX('Scoring Method'!$B$292:$B$296,MATCH(AQ94,'Scoring Method'!$A$292:$A$296,0))+INDEX('Scoring Method'!$B$300:$B$305,MATCH(AO94,'Scoring Method'!$A$300:$A$305,0))+INDEX('Scoring Method'!$B$309:$B$314,MATCH(AX94,'Scoring Method'!$A$309:$A$314,0))+INDEX('Scoring Method'!$B$337:$B$341,MATCH(X94,'Scoring Method'!$A$337:$A$341,0))+INDEX('Scoring Method'!$B$324:$B$326,MATCH(P94,'Scoring Method'!$A$324:$A$326,0)),1)</f>
        <v/>
      </c>
      <c r="BF94" s="96">
        <f>ROUND(INDEX('Scoring Method'!$B$268:$B$276,MATCH(AE94,'Scoring Method'!$A$268:$A$276,0))*BB94*BD94+INDEX('Scoring Method'!$B$280:$B$288,MATCH(AP94,'Scoring Method'!$A$280:$A$288,0))*BM94*BB94*BD94+INDEX('Scoring Method'!$B$292:$B$296,MATCH(AQ94,'Scoring Method'!$A$292:$A$296,0))*BD94+INDEX('Scoring Method'!$B$300:$B$305,MATCH(AO94,'Scoring Method'!$A$300:$A$305,0))*BM94*BB94+INDEX('Scoring Method'!$B$309:$B$314,MATCH(AX94,'Scoring Method'!$A$309:$A$314,0))+INDEX('Scoring Method'!$B$337:$B$341,MATCH(X94,'Scoring Method'!$A$337:$A$341,0))+INDEX('Scoring Method'!$B$324:$B$326,MATCH(P94,'Scoring Method'!$A$324:$A$326,0)),1)</f>
        <v/>
      </c>
      <c r="BG94" s="92" t="inlineStr">
        <is>
          <t>Fits (~$2,168/mo)</t>
        </is>
      </c>
      <c r="BH94" s="61" t="inlineStr">
        <is>
          <t>TUMU (HP)</t>
        </is>
      </c>
      <c r="BI94" s="61" t="inlineStr">
        <is>
          <t>Traditional Urban Mixed Use</t>
        </is>
      </c>
      <c r="BJ94" s="61" t="inlineStr">
        <is>
          <t>HP</t>
        </is>
      </c>
      <c r="BK94" s="61" t="inlineStr"/>
      <c r="BL94" s="61" t="inlineStr">
        <is>
          <t>Bar permitted</t>
        </is>
      </c>
      <c r="BM94" s="61">
        <f>INDEX('Scoring Method'!$B$358:$B$363,MATCH(BL94,'Scoring Method'!$A$358:$A$363,0))</f>
        <v/>
      </c>
    </row>
    <row r="95" ht="15" customHeight="1" s="62">
      <c r="A95" s="92" t="n">
        <v>94</v>
      </c>
      <c r="B95" s="92" t="inlineStr">
        <is>
          <t>040-44-03-018.00</t>
        </is>
      </c>
      <c r="C95" s="92" t="inlineStr">
        <is>
          <t>636 LEWIS ST</t>
        </is>
      </c>
      <c r="D95" s="92" t="inlineStr">
        <is>
          <t>MCNEE MARISA</t>
        </is>
      </c>
      <c r="E95" s="92" t="inlineStr">
        <is>
          <t>812 WILLARD ST</t>
        </is>
      </c>
      <c r="F95" s="92" t="inlineStr">
        <is>
          <t>COVINGTON</t>
        </is>
      </c>
      <c r="G95" s="92" t="inlineStr">
        <is>
          <t>KY</t>
        </is>
      </c>
      <c r="H95" s="92" t="inlineStr">
        <is>
          <t>WHSE DISTRIBUTION</t>
        </is>
      </c>
      <c r="I95" s="93" t="n">
        <v>11582</v>
      </c>
      <c r="J95" s="94">
        <f>I95/43560</f>
        <v/>
      </c>
      <c r="K95" s="93" t="n">
        <v>439.3</v>
      </c>
      <c r="L95" s="95">
        <f>I95/(K95^2)</f>
        <v/>
      </c>
      <c r="M95" s="92" t="inlineStr">
        <is>
          <t>Marginal 10-14k/45-60k</t>
        </is>
      </c>
      <c r="N95" s="92" t="inlineStr">
        <is>
          <t>B</t>
        </is>
      </c>
      <c r="O95" s="92" t="inlineStr">
        <is>
          <t>Compact &gt;=.055</t>
        </is>
      </c>
      <c r="P95" s="92" t="inlineStr">
        <is>
          <t>Low</t>
        </is>
      </c>
      <c r="Q95" s="92" t="inlineStr">
        <is>
          <t>Local absentee</t>
        </is>
      </c>
      <c r="R95" s="92" t="inlineStr">
        <is>
          <t>Individual</t>
        </is>
      </c>
      <c r="S95" s="92" t="n">
        <v>1</v>
      </c>
      <c r="T95" s="96">
        <f>INDEX('Scoring Method'!$B$6:$B$9,MATCH(M95,'Scoring Method'!$A$6:$A$9,0))+INDEX('Scoring Method'!$B$12:$B$16,MATCH(N95,'Scoring Method'!$A$12:$A$16,0))+INDEX('Scoring Method'!$B$19:$B$22,MATCH(O95,'Scoring Method'!$A$19:$A$22,0))+INDEX('Scoring Method'!$B$25:$B$27,MATCH(P95,'Scoring Method'!$A$25:$A$27,0))</f>
        <v/>
      </c>
      <c r="U95" s="96">
        <f>(INDEX('Scoring Method'!$B$30:$B$33,MATCH(Q95,'Scoring Method'!$A$30:$A$33,0))+INDEX('Scoring Method'!$B$36:$B$42,MATCH(R95,'Scoring Method'!$A$36:$A$42,0))+INDEX('Scoring Method'!$B$45:$B$47,MATCH(IF(S95=1,"1",IF(S95=2,"2","3+")),'Scoring Method'!$A$45:$A$47,0)))/90*100</f>
        <v/>
      </c>
      <c r="V95" s="96">
        <f>T95*U95/100</f>
        <v/>
      </c>
      <c r="W95" s="93" t="n">
        <v>4470</v>
      </c>
      <c r="X95" s="92" t="inlineStr">
        <is>
          <t>X (minimal hazard)</t>
        </is>
      </c>
      <c r="Y95" s="93" t="n">
        <v>5950</v>
      </c>
      <c r="Z95" s="97">
        <f>W95/I95</f>
        <v/>
      </c>
      <c r="AA95" s="98">
        <f>MAX(0,(Y95-5000)/300)</f>
        <v/>
      </c>
      <c r="AB95" s="92" t="n"/>
      <c r="AC95" s="92" t="n">
        <v>0.26</v>
      </c>
      <c r="AD95" s="92" t="inlineStr">
        <is>
          <t>ok</t>
        </is>
      </c>
      <c r="AE95" s="92" t="inlineStr">
        <is>
          <t>Large 4-6k</t>
        </is>
      </c>
      <c r="AF95" s="96">
        <f>INDEX('Scoring Method'!$B$63:$B$71,MATCH(AE95,'Scoring Method'!$A$63:$A$71,0))+INDEX('Scoring Method'!$B$75:$B$79,MATCH("Adequate 5-8k",'Scoring Method'!$A$75:$A$79,0))+INDEX('Scoring Method'!$B$343:$B$347,MATCH(X95,'Scoring Method'!$A$343:$A$347,0))+INDEX('Scoring Method'!$B$25:$B$27,MATCH(P95,'Scoring Method'!$A$25:$A$27,0))</f>
        <v/>
      </c>
      <c r="AG95" s="96">
        <f>AF95*U95/100</f>
        <v/>
      </c>
      <c r="AH95" s="92" t="inlineStr">
        <is>
          <t>LINK-GIS + LoopNet</t>
        </is>
      </c>
      <c r="AI95" s="99" t="n">
        <v>39.07739</v>
      </c>
      <c r="AJ95" s="99" t="n">
        <v>-84.52217</v>
      </c>
      <c r="AK95" s="94" t="n">
        <v>0.54</v>
      </c>
      <c r="AL95" s="94" t="n">
        <v>1.19</v>
      </c>
      <c r="AM95" s="94" t="n">
        <v>1.75</v>
      </c>
      <c r="AN95" s="94" t="n">
        <v>0.54</v>
      </c>
      <c r="AO95" s="92" t="inlineStr">
        <is>
          <t>Near 0.35-0.75mi</t>
        </is>
      </c>
      <c r="AP95" s="92" t="inlineStr">
        <is>
          <t>Open span</t>
        </is>
      </c>
      <c r="AQ95" s="92" t="inlineStr">
        <is>
          <t>Adequate 5-8k</t>
        </is>
      </c>
      <c r="AR95" s="100" t="n"/>
      <c r="AS95" s="96">
        <f>ROUND(INDEX('Scoring Method'!$B$63:$B$70,MATCH(AE95,'Scoring Method'!$A$63:$A$70,0))*0.625+INDEX('Scoring Method'!$B$105:$B$113,MATCH(AP95,'Scoring Method'!$A$105:$A$113,0))+INDEX('Scoring Method'!$B$74:$B$78,MATCH(AQ95,'Scoring Method'!$A$74:$A$78,0))*0.6667+INDEX('Scoring Method'!$B$96:$B$101,MATCH(AO95,'Scoring Method'!$A$96:$A$101,0))+INDEX('Scoring Method'!$B$343:$B$347,MATCH(X95,'Scoring Method'!$A$343:$A$347,0))*0.3333+INDEX('Scoring Method'!$B$25:$B$27,MATCH(P95,'Scoring Method'!$A$25:$A$27,0))*0.3333,1)</f>
        <v/>
      </c>
      <c r="AT95" s="96">
        <f>AS95*U95/100</f>
        <v/>
      </c>
      <c r="AU95" s="92" t="inlineStr">
        <is>
          <t>Lewisburg</t>
        </is>
      </c>
      <c r="AV95" s="92" t="n">
        <v>65</v>
      </c>
      <c r="AW95" s="92" t="inlineStr">
        <is>
          <t>Sourced</t>
        </is>
      </c>
      <c r="AX95" s="92" t="inlineStr">
        <is>
          <t>Moderate 60-69</t>
        </is>
      </c>
      <c r="AY95" s="96">
        <f>ROUND(INDEX('Scoring Method'!$B$132:$B$140,MATCH(AE95,'Scoring Method'!$A$132:$A$140,0))+INDEX('Scoring Method'!$B$144:$B$152,MATCH(AP95,'Scoring Method'!$A$144:$A$152,0))+INDEX('Scoring Method'!$B$156:$B$160,MATCH(AQ95,'Scoring Method'!$A$156:$A$160,0))+INDEX('Scoring Method'!$B$164:$B$169,MATCH(AO95,'Scoring Method'!$A$164:$A$169,0))+INDEX('Scoring Method'!$B$173:$B$178,MATCH(AX95,'Scoring Method'!$A$173:$A$178,0))+INDEX('Scoring Method'!$B$349:$B$353,MATCH(X95,'Scoring Method'!$A$349:$A$353,0))+INDEX('Scoring Method'!$B$188:$B$190,MATCH(P95,'Scoring Method'!$A$188:$A$190,0)),1)</f>
        <v/>
      </c>
      <c r="AZ95" s="96">
        <f>AY95*U95/100</f>
        <v/>
      </c>
      <c r="BA95" s="92" t="inlineStr">
        <is>
          <t>No chain signal</t>
        </is>
      </c>
      <c r="BB95" s="94" t="n">
        <v>1</v>
      </c>
      <c r="BC95" s="102" t="inlineStr">
        <is>
          <t>Small 0.25-0.35 AC</t>
        </is>
      </c>
      <c r="BD95" s="94" t="n">
        <v>0.9</v>
      </c>
      <c r="BE95" s="96">
        <f>ROUND(INDEX('Scoring Method'!$B$268:$B$276,MATCH(AE95,'Scoring Method'!$A$268:$A$276,0))+INDEX('Scoring Method'!$B$280:$B$288,MATCH(AP95,'Scoring Method'!$A$280:$A$288,0))+INDEX('Scoring Method'!$B$292:$B$296,MATCH(AQ95,'Scoring Method'!$A$292:$A$296,0))+INDEX('Scoring Method'!$B$300:$B$305,MATCH(AO95,'Scoring Method'!$A$300:$A$305,0))+INDEX('Scoring Method'!$B$309:$B$314,MATCH(AX95,'Scoring Method'!$A$309:$A$314,0))+INDEX('Scoring Method'!$B$337:$B$341,MATCH(X95,'Scoring Method'!$A$337:$A$341,0))+INDEX('Scoring Method'!$B$324:$B$326,MATCH(P95,'Scoring Method'!$A$324:$A$326,0)),1)</f>
        <v/>
      </c>
      <c r="BF95" s="96">
        <f>ROUND(INDEX('Scoring Method'!$B$268:$B$276,MATCH(AE95,'Scoring Method'!$A$268:$A$276,0))*BB95*BD95+INDEX('Scoring Method'!$B$280:$B$288,MATCH(AP95,'Scoring Method'!$A$280:$A$288,0))*BM95*BB95*BD95+INDEX('Scoring Method'!$B$292:$B$296,MATCH(AQ95,'Scoring Method'!$A$292:$A$296,0))*BD95+INDEX('Scoring Method'!$B$300:$B$305,MATCH(AO95,'Scoring Method'!$A$300:$A$305,0))*BM95*BB95+INDEX('Scoring Method'!$B$309:$B$314,MATCH(AX95,'Scoring Method'!$A$309:$A$314,0))+INDEX('Scoring Method'!$B$337:$B$341,MATCH(X95,'Scoring Method'!$A$337:$A$341,0))+INDEX('Scoring Method'!$B$324:$B$326,MATCH(P95,'Scoring Method'!$A$324:$A$326,0)),1)</f>
        <v/>
      </c>
      <c r="BG95" s="92" t="inlineStr">
        <is>
          <t>Fits (~$4,098/mo)</t>
        </is>
      </c>
      <c r="BH95" s="61" t="inlineStr">
        <is>
          <t>SU</t>
        </is>
      </c>
      <c r="BI95" s="61" t="inlineStr">
        <is>
          <t>Semi-Urban Residential</t>
        </is>
      </c>
      <c r="BJ95" s="61" t="inlineStr"/>
      <c r="BK95" s="61" t="inlineStr"/>
      <c r="BL95" s="61" t="inlineStr">
        <is>
          <t>SU corner unverified</t>
        </is>
      </c>
      <c r="BM95" s="61">
        <f>INDEX('Scoring Method'!$B$358:$B$363,MATCH(BL95,'Scoring Method'!$A$358:$A$363,0))</f>
        <v/>
      </c>
    </row>
    <row r="96" ht="15" customHeight="1" s="62">
      <c r="A96" s="92" t="n">
        <v>95</v>
      </c>
      <c r="B96" s="92" t="inlineStr">
        <is>
          <t>055-11-28-015.01</t>
        </is>
      </c>
      <c r="C96" s="92" t="inlineStr">
        <is>
          <t>1328 BANKLICK ST</t>
        </is>
      </c>
      <c r="D96" s="92" t="inlineStr">
        <is>
          <t>REDMAN DAVID A &amp;</t>
        </is>
      </c>
      <c r="E96" s="92" t="inlineStr">
        <is>
          <t>592 BRANDTLY RIDGE DR</t>
        </is>
      </c>
      <c r="F96" s="92" t="inlineStr">
        <is>
          <t>COVINGTON</t>
        </is>
      </c>
      <c r="G96" s="92" t="inlineStr">
        <is>
          <t>KY</t>
        </is>
      </c>
      <c r="H96" s="92" t="inlineStr">
        <is>
          <t>SMALL SHOP</t>
        </is>
      </c>
      <c r="I96" s="93" t="n">
        <v>8052</v>
      </c>
      <c r="J96" s="94">
        <f>I96/43560</f>
        <v/>
      </c>
      <c r="K96" s="93" t="n">
        <v>368.2</v>
      </c>
      <c r="L96" s="95">
        <f>I96/(K96^2)</f>
        <v/>
      </c>
      <c r="M96" s="92" t="inlineStr">
        <is>
          <t>Poor &lt;10k/&gt;60k</t>
        </is>
      </c>
      <c r="N96" s="92" t="inlineStr">
        <is>
          <t>A</t>
        </is>
      </c>
      <c r="O96" s="92" t="inlineStr">
        <is>
          <t>Compact &gt;=.055</t>
        </is>
      </c>
      <c r="P96" s="92" t="inlineStr">
        <is>
          <t>Low</t>
        </is>
      </c>
      <c r="Q96" s="92" t="inlineStr">
        <is>
          <t>Local absentee</t>
        </is>
      </c>
      <c r="R96" s="92" t="inlineStr">
        <is>
          <t>Individual</t>
        </is>
      </c>
      <c r="S96" s="92" t="n">
        <v>1</v>
      </c>
      <c r="T96" s="96">
        <f>INDEX('Scoring Method'!$B$6:$B$9,MATCH(M96,'Scoring Method'!$A$6:$A$9,0))+INDEX('Scoring Method'!$B$12:$B$16,MATCH(N96,'Scoring Method'!$A$12:$A$16,0))+INDEX('Scoring Method'!$B$19:$B$22,MATCH(O96,'Scoring Method'!$A$19:$A$22,0))+INDEX('Scoring Method'!$B$25:$B$27,MATCH(P96,'Scoring Method'!$A$25:$A$27,0))</f>
        <v/>
      </c>
      <c r="U96" s="96">
        <f>(INDEX('Scoring Method'!$B$30:$B$33,MATCH(Q96,'Scoring Method'!$A$30:$A$33,0))+INDEX('Scoring Method'!$B$36:$B$42,MATCH(R96,'Scoring Method'!$A$36:$A$42,0))+INDEX('Scoring Method'!$B$45:$B$47,MATCH(IF(S96=1,"1",IF(S96=2,"2","3+")),'Scoring Method'!$A$45:$A$47,0)))/90*100</f>
        <v/>
      </c>
      <c r="V96" s="96">
        <f>T96*U96/100</f>
        <v/>
      </c>
      <c r="W96" s="93" t="n">
        <v>4906</v>
      </c>
      <c r="X96" s="92" t="inlineStr">
        <is>
          <t>X (minimal hazard)</t>
        </is>
      </c>
      <c r="Y96" s="93" t="n">
        <v>2625</v>
      </c>
      <c r="Z96" s="97">
        <f>W96/I96</f>
        <v/>
      </c>
      <c r="AA96" s="98">
        <f>MAX(0,(Y96-5000)/300)</f>
        <v/>
      </c>
      <c r="AB96" s="92" t="n"/>
      <c r="AC96" s="92" t="n">
        <v>0.11</v>
      </c>
      <c r="AD96" s="102" t="inlineStr">
        <is>
          <t>CHECK</t>
        </is>
      </c>
      <c r="AE96" s="92" t="inlineStr">
        <is>
          <t>Large 4-6k</t>
        </is>
      </c>
      <c r="AF96" s="96">
        <f>INDEX('Scoring Method'!$B$63:$B$71,MATCH(AE96,'Scoring Method'!$A$63:$A$71,0))+INDEX('Scoring Method'!$B$75:$B$79,MATCH("Tight 2-5k",'Scoring Method'!$A$75:$A$79,0))+INDEX('Scoring Method'!$B$343:$B$347,MATCH(X96,'Scoring Method'!$A$343:$A$347,0))+INDEX('Scoring Method'!$B$25:$B$27,MATCH(P96,'Scoring Method'!$A$25:$A$27,0))</f>
        <v/>
      </c>
      <c r="AG96" s="96">
        <f>AF96*U96/100</f>
        <v/>
      </c>
      <c r="AH96" s="92" t="inlineStr">
        <is>
          <t>LINK-GIS + LoopNet</t>
        </is>
      </c>
      <c r="AI96" s="99" t="n">
        <v>39.07486</v>
      </c>
      <c r="AJ96" s="99" t="n">
        <v>-84.51197999999999</v>
      </c>
      <c r="AK96" s="94" t="n">
        <v>0.73</v>
      </c>
      <c r="AL96" s="94" t="n">
        <v>1.12</v>
      </c>
      <c r="AM96" s="94" t="n">
        <v>1.84</v>
      </c>
      <c r="AN96" s="94" t="n">
        <v>0.63</v>
      </c>
      <c r="AO96" s="92" t="inlineStr">
        <is>
          <t>Near 0.35-0.75mi</t>
        </is>
      </c>
      <c r="AP96" s="92" t="inlineStr">
        <is>
          <t>Open span</t>
        </is>
      </c>
      <c r="AQ96" s="92" t="inlineStr">
        <is>
          <t>Tight 2-5k</t>
        </is>
      </c>
      <c r="AR96" s="100" t="n"/>
      <c r="AS96" s="96">
        <f>ROUND(INDEX('Scoring Method'!$B$63:$B$70,MATCH(AE96,'Scoring Method'!$A$63:$A$70,0))*0.625+INDEX('Scoring Method'!$B$105:$B$113,MATCH(AP96,'Scoring Method'!$A$105:$A$113,0))+INDEX('Scoring Method'!$B$74:$B$78,MATCH(AQ96,'Scoring Method'!$A$74:$A$78,0))*0.6667+INDEX('Scoring Method'!$B$96:$B$101,MATCH(AO96,'Scoring Method'!$A$96:$A$101,0))+INDEX('Scoring Method'!$B$343:$B$347,MATCH(X96,'Scoring Method'!$A$343:$A$347,0))*0.3333+INDEX('Scoring Method'!$B$25:$B$27,MATCH(P96,'Scoring Method'!$A$25:$A$27,0))*0.3333,1)</f>
        <v/>
      </c>
      <c r="AT96" s="96">
        <f>AS96*U96/100</f>
        <v/>
      </c>
      <c r="AU96" s="92" t="inlineStr">
        <is>
          <t>Old Seminary Square</t>
        </is>
      </c>
      <c r="AV96" s="92" t="n">
        <v>35</v>
      </c>
      <c r="AW96" s="101" t="inlineStr">
        <is>
          <t>ESTIMATED</t>
        </is>
      </c>
      <c r="AX96" s="92" t="inlineStr">
        <is>
          <t>Elevated 35-44</t>
        </is>
      </c>
      <c r="AY96" s="96">
        <f>ROUND(INDEX('Scoring Method'!$B$132:$B$140,MATCH(AE96,'Scoring Method'!$A$132:$A$140,0))+INDEX('Scoring Method'!$B$144:$B$152,MATCH(AP96,'Scoring Method'!$A$144:$A$152,0))+INDEX('Scoring Method'!$B$156:$B$160,MATCH(AQ96,'Scoring Method'!$A$156:$A$160,0))+INDEX('Scoring Method'!$B$164:$B$169,MATCH(AO96,'Scoring Method'!$A$164:$A$169,0))+INDEX('Scoring Method'!$B$173:$B$178,MATCH(AX96,'Scoring Method'!$A$173:$A$178,0))+INDEX('Scoring Method'!$B$349:$B$353,MATCH(X96,'Scoring Method'!$A$349:$A$353,0))+INDEX('Scoring Method'!$B$188:$B$190,MATCH(P96,'Scoring Method'!$A$188:$A$190,0)),1)</f>
        <v/>
      </c>
      <c r="AZ96" s="96">
        <f>AY96*U96/100</f>
        <v/>
      </c>
      <c r="BA96" s="92" t="inlineStr">
        <is>
          <t>No chain signal</t>
        </is>
      </c>
      <c r="BB96" s="94" t="n">
        <v>1</v>
      </c>
      <c r="BC96" s="103" t="inlineStr">
        <is>
          <t>Extra small 0.15-0.25 AC</t>
        </is>
      </c>
      <c r="BD96" s="94" t="n">
        <v>0.8</v>
      </c>
      <c r="BE96" s="96">
        <f>ROUND(INDEX('Scoring Method'!$B$268:$B$276,MATCH(AE96,'Scoring Method'!$A$268:$A$276,0))+INDEX('Scoring Method'!$B$280:$B$288,MATCH(AP96,'Scoring Method'!$A$280:$A$288,0))+INDEX('Scoring Method'!$B$292:$B$296,MATCH(AQ96,'Scoring Method'!$A$292:$A$296,0))+INDEX('Scoring Method'!$B$300:$B$305,MATCH(AO96,'Scoring Method'!$A$300:$A$305,0))+INDEX('Scoring Method'!$B$309:$B$314,MATCH(AX96,'Scoring Method'!$A$309:$A$314,0))+INDEX('Scoring Method'!$B$337:$B$341,MATCH(X96,'Scoring Method'!$A$337:$A$341,0))+INDEX('Scoring Method'!$B$324:$B$326,MATCH(P96,'Scoring Method'!$A$324:$A$326,0)),1)</f>
        <v/>
      </c>
      <c r="BF96" s="96">
        <f>ROUND(INDEX('Scoring Method'!$B$268:$B$276,MATCH(AE96,'Scoring Method'!$A$268:$A$276,0))*BB96*BD96+INDEX('Scoring Method'!$B$280:$B$288,MATCH(AP96,'Scoring Method'!$A$280:$A$288,0))*BM96*BB96*BD96+INDEX('Scoring Method'!$B$292:$B$296,MATCH(AQ96,'Scoring Method'!$A$292:$A$296,0))*BD96+INDEX('Scoring Method'!$B$300:$B$305,MATCH(AO96,'Scoring Method'!$A$300:$A$305,0))*BM96*BB96+INDEX('Scoring Method'!$B$309:$B$314,MATCH(AX96,'Scoring Method'!$A$309:$A$314,0))+INDEX('Scoring Method'!$B$337:$B$341,MATCH(X96,'Scoring Method'!$A$337:$A$341,0))+INDEX('Scoring Method'!$B$324:$B$326,MATCH(P96,'Scoring Method'!$A$324:$A$326,0)),1)</f>
        <v/>
      </c>
      <c r="BG96" s="92" t="inlineStr">
        <is>
          <t>Fits (~$4,497/mo)</t>
        </is>
      </c>
      <c r="BH96" s="61" t="inlineStr">
        <is>
          <t>SU</t>
        </is>
      </c>
      <c r="BI96" s="61" t="inlineStr">
        <is>
          <t>Semi-Urban Residential</t>
        </is>
      </c>
      <c r="BJ96" s="61" t="inlineStr"/>
      <c r="BK96" s="61" t="inlineStr"/>
      <c r="BL96" s="61" t="inlineStr">
        <is>
          <t>SU corner unverified</t>
        </is>
      </c>
      <c r="BM96" s="61">
        <f>INDEX('Scoring Method'!$B$358:$B$363,MATCH(BL96,'Scoring Method'!$A$358:$A$363,0))</f>
        <v/>
      </c>
    </row>
    <row r="97" ht="15" customHeight="1" s="62">
      <c r="A97" s="92" t="n">
        <v>96</v>
      </c>
      <c r="B97" s="92" t="inlineStr">
        <is>
          <t>054-21-17-025.00</t>
        </is>
      </c>
      <c r="C97" s="92" t="inlineStr">
        <is>
          <t>422 RUSSELL ST</t>
        </is>
      </c>
      <c r="D97" s="92" t="inlineStr">
        <is>
          <t>BEVERAGE PROPERTIES INC</t>
        </is>
      </c>
      <c r="E97" s="92" t="inlineStr">
        <is>
          <t>406 PINNACLE WAY</t>
        </is>
      </c>
      <c r="F97" s="92" t="inlineStr">
        <is>
          <t>LUDLOW</t>
        </is>
      </c>
      <c r="G97" s="92" t="inlineStr">
        <is>
          <t>KY</t>
        </is>
      </c>
      <c r="H97" s="92" t="inlineStr">
        <is>
          <t>OTHER RETAIL</t>
        </is>
      </c>
      <c r="I97" s="93" t="n">
        <v>15680</v>
      </c>
      <c r="J97" s="94">
        <f>I97/43560</f>
        <v/>
      </c>
      <c r="K97" s="93" t="n">
        <v>628</v>
      </c>
      <c r="L97" s="95">
        <f>I97/(K97^2)</f>
        <v/>
      </c>
      <c r="M97" s="92" t="inlineStr">
        <is>
          <t>Near 14-18k/32-45k</t>
        </is>
      </c>
      <c r="N97" s="92" t="inlineStr">
        <is>
          <t>C</t>
        </is>
      </c>
      <c r="O97" s="92" t="inlineStr">
        <is>
          <t>Elongated .035-.045</t>
        </is>
      </c>
      <c r="P97" s="92" t="inlineStr">
        <is>
          <t>Low</t>
        </is>
      </c>
      <c r="Q97" s="92" t="inlineStr">
        <is>
          <t>Out-of-city KY</t>
        </is>
      </c>
      <c r="R97" s="92" t="inlineStr">
        <is>
          <t>Passive vehicle</t>
        </is>
      </c>
      <c r="S97" s="92" t="n">
        <v>1</v>
      </c>
      <c r="T97" s="96">
        <f>INDEX('Scoring Method'!$B$6:$B$9,MATCH(M97,'Scoring Method'!$A$6:$A$9,0))+INDEX('Scoring Method'!$B$12:$B$16,MATCH(N97,'Scoring Method'!$A$12:$A$16,0))+INDEX('Scoring Method'!$B$19:$B$22,MATCH(O97,'Scoring Method'!$A$19:$A$22,0))+INDEX('Scoring Method'!$B$25:$B$27,MATCH(P97,'Scoring Method'!$A$25:$A$27,0))</f>
        <v/>
      </c>
      <c r="U97" s="96">
        <f>(INDEX('Scoring Method'!$B$30:$B$33,MATCH(Q97,'Scoring Method'!$A$30:$A$33,0))+INDEX('Scoring Method'!$B$36:$B$42,MATCH(R97,'Scoring Method'!$A$36:$A$42,0))+INDEX('Scoring Method'!$B$45:$B$47,MATCH(IF(S97=1,"1",IF(S97=2,"2","3+")),'Scoring Method'!$A$45:$A$47,0)))/90*100</f>
        <v/>
      </c>
      <c r="V97" s="96">
        <f>T97*U97/100</f>
        <v/>
      </c>
      <c r="W97" s="93" t="n">
        <v>4630</v>
      </c>
      <c r="X97" s="92" t="inlineStr">
        <is>
          <t>X (minimal hazard)</t>
        </is>
      </c>
      <c r="Y97" s="93" t="n">
        <v>9275</v>
      </c>
      <c r="Z97" s="97">
        <f>W97/I97</f>
        <v/>
      </c>
      <c r="AA97" s="98">
        <f>MAX(0,(Y97-5000)/300)</f>
        <v/>
      </c>
      <c r="AB97" s="92" t="n"/>
      <c r="AC97" s="92" t="n">
        <v>0.36</v>
      </c>
      <c r="AD97" s="92" t="inlineStr">
        <is>
          <t>ok</t>
        </is>
      </c>
      <c r="AE97" s="92" t="inlineStr">
        <is>
          <t>Large 4-6k</t>
        </is>
      </c>
      <c r="AF97" s="96">
        <f>INDEX('Scoring Method'!$B$63:$B$71,MATCH(AE97,'Scoring Method'!$A$63:$A$71,0))+INDEX('Scoring Method'!$B$75:$B$79,MATCH("Good 8-15k",'Scoring Method'!$A$75:$A$79,0))+INDEX('Scoring Method'!$B$343:$B$347,MATCH(X97,'Scoring Method'!$A$343:$A$347,0))+INDEX('Scoring Method'!$B$25:$B$27,MATCH(P97,'Scoring Method'!$A$25:$A$27,0))</f>
        <v/>
      </c>
      <c r="AG97" s="96">
        <f>AF97*U97/100</f>
        <v/>
      </c>
      <c r="AH97" s="92" t="inlineStr">
        <is>
          <t>LINK-GIS + LoopNet</t>
        </is>
      </c>
      <c r="AI97" s="99" t="n">
        <v>39.08577</v>
      </c>
      <c r="AJ97" s="99" t="n">
        <v>-84.51369</v>
      </c>
      <c r="AK97" s="94" t="n">
        <v>0.24</v>
      </c>
      <c r="AL97" s="94" t="n">
        <v>0.45</v>
      </c>
      <c r="AM97" s="94" t="n">
        <v>1.09</v>
      </c>
      <c r="AN97" s="94" t="n">
        <v>0.19</v>
      </c>
      <c r="AO97" s="92" t="inlineStr">
        <is>
          <t>Core &lt;=0.35mi</t>
        </is>
      </c>
      <c r="AP97" s="92" t="inlineStr">
        <is>
          <t>Retail shell</t>
        </is>
      </c>
      <c r="AQ97" s="92" t="inlineStr">
        <is>
          <t>Good 8-15k</t>
        </is>
      </c>
      <c r="AR97" s="100" t="n"/>
      <c r="AS97" s="96">
        <f>ROUND(INDEX('Scoring Method'!$B$63:$B$70,MATCH(AE97,'Scoring Method'!$A$63:$A$70,0))*0.625+INDEX('Scoring Method'!$B$105:$B$113,MATCH(AP97,'Scoring Method'!$A$105:$A$113,0))+INDEX('Scoring Method'!$B$74:$B$78,MATCH(AQ97,'Scoring Method'!$A$74:$A$78,0))*0.6667+INDEX('Scoring Method'!$B$96:$B$101,MATCH(AO97,'Scoring Method'!$A$96:$A$101,0))+INDEX('Scoring Method'!$B$343:$B$347,MATCH(X97,'Scoring Method'!$A$343:$A$347,0))*0.3333+INDEX('Scoring Method'!$B$25:$B$27,MATCH(P97,'Scoring Method'!$A$25:$A$27,0))*0.3333,1)</f>
        <v/>
      </c>
      <c r="AT97" s="96">
        <f>AS97*U97/100</f>
        <v/>
      </c>
      <c r="AU97" s="92" t="inlineStr">
        <is>
          <t>MainStrasse</t>
        </is>
      </c>
      <c r="AV97" s="92" t="n">
        <v>75</v>
      </c>
      <c r="AW97" s="92" t="inlineStr">
        <is>
          <t>Sourced</t>
        </is>
      </c>
      <c r="AX97" s="92" t="inlineStr">
        <is>
          <t>Safe 70-79</t>
        </is>
      </c>
      <c r="AY97" s="96">
        <f>ROUND(INDEX('Scoring Method'!$B$132:$B$140,MATCH(AE97,'Scoring Method'!$A$132:$A$140,0))+INDEX('Scoring Method'!$B$144:$B$152,MATCH(AP97,'Scoring Method'!$A$144:$A$152,0))+INDEX('Scoring Method'!$B$156:$B$160,MATCH(AQ97,'Scoring Method'!$A$156:$A$160,0))+INDEX('Scoring Method'!$B$164:$B$169,MATCH(AO97,'Scoring Method'!$A$164:$A$169,0))+INDEX('Scoring Method'!$B$173:$B$178,MATCH(AX97,'Scoring Method'!$A$173:$A$178,0))+INDEX('Scoring Method'!$B$349:$B$353,MATCH(X97,'Scoring Method'!$A$349:$A$353,0))+INDEX('Scoring Method'!$B$188:$B$190,MATCH(P97,'Scoring Method'!$A$188:$A$190,0)),1)</f>
        <v/>
      </c>
      <c r="AZ97" s="96">
        <f>AY97*U97/100</f>
        <v/>
      </c>
      <c r="BA97" s="92" t="inlineStr">
        <is>
          <t>No chain signal</t>
        </is>
      </c>
      <c r="BB97" s="94" t="n">
        <v>1</v>
      </c>
      <c r="BC97" s="92" t="inlineStr">
        <is>
          <t>Right-sized 0.35-0.75 AC</t>
        </is>
      </c>
      <c r="BD97" s="94" t="n">
        <v>1</v>
      </c>
      <c r="BE97" s="96">
        <f>ROUND(INDEX('Scoring Method'!$B$268:$B$276,MATCH(AE97,'Scoring Method'!$A$268:$A$276,0))+INDEX('Scoring Method'!$B$280:$B$288,MATCH(AP97,'Scoring Method'!$A$280:$A$288,0))+INDEX('Scoring Method'!$B$292:$B$296,MATCH(AQ97,'Scoring Method'!$A$292:$A$296,0))+INDEX('Scoring Method'!$B$300:$B$305,MATCH(AO97,'Scoring Method'!$A$300:$A$305,0))+INDEX('Scoring Method'!$B$309:$B$314,MATCH(AX97,'Scoring Method'!$A$309:$A$314,0))+INDEX('Scoring Method'!$B$337:$B$341,MATCH(X97,'Scoring Method'!$A$337:$A$341,0))+INDEX('Scoring Method'!$B$324:$B$326,MATCH(P97,'Scoring Method'!$A$324:$A$326,0)),1)</f>
        <v/>
      </c>
      <c r="BF97" s="96">
        <f>ROUND(INDEX('Scoring Method'!$B$268:$B$276,MATCH(AE97,'Scoring Method'!$A$268:$A$276,0))*BB97*BD97+INDEX('Scoring Method'!$B$280:$B$288,MATCH(AP97,'Scoring Method'!$A$280:$A$288,0))*BM97*BB97*BD97+INDEX('Scoring Method'!$B$292:$B$296,MATCH(AQ97,'Scoring Method'!$A$292:$A$296,0))*BD97+INDEX('Scoring Method'!$B$300:$B$305,MATCH(AO97,'Scoring Method'!$A$300:$A$305,0))*BM97*BB97+INDEX('Scoring Method'!$B$309:$B$314,MATCH(AX97,'Scoring Method'!$A$309:$A$314,0))+INDEX('Scoring Method'!$B$337:$B$341,MATCH(X97,'Scoring Method'!$A$337:$A$341,0))+INDEX('Scoring Method'!$B$324:$B$326,MATCH(P97,'Scoring Method'!$A$324:$A$326,0)),1)</f>
        <v/>
      </c>
      <c r="BG97" s="92" t="inlineStr">
        <is>
          <t>Fits (~$4,244/mo)</t>
        </is>
      </c>
      <c r="BH97" s="61" t="inlineStr">
        <is>
          <t>TUR (HP)</t>
        </is>
      </c>
      <c r="BI97" s="61" t="inlineStr">
        <is>
          <t>Traditional Urban Residential</t>
        </is>
      </c>
      <c r="BJ97" s="61" t="inlineStr">
        <is>
          <t>HP</t>
        </is>
      </c>
      <c r="BK97" s="61" t="inlineStr"/>
      <c r="BL97" s="61" t="inlineStr">
        <is>
          <t>Bar prohibited, alt-path</t>
        </is>
      </c>
      <c r="BM97" s="61">
        <f>INDEX('Scoring Method'!$B$358:$B$363,MATCH(BL97,'Scoring Method'!$A$358:$A$363,0))</f>
        <v/>
      </c>
    </row>
    <row r="98" ht="15" customHeight="1" s="62">
      <c r="A98" s="92" t="n">
        <v>97</v>
      </c>
      <c r="B98" s="92" t="inlineStr">
        <is>
          <t>056-20-00-059.09</t>
        </is>
      </c>
      <c r="C98" s="92" t="inlineStr">
        <is>
          <t>HOWARD LITZLER RD</t>
        </is>
      </c>
      <c r="D98" s="92" t="inlineStr">
        <is>
          <t>BROOKS MANAGEMENT LLC</t>
        </is>
      </c>
      <c r="E98" s="92" t="inlineStr">
        <is>
          <t>10903 GRISTSTONE CIR</t>
        </is>
      </c>
      <c r="F98" s="92" t="inlineStr">
        <is>
          <t>INDEPENDENCE</t>
        </is>
      </c>
      <c r="G98" s="92" t="inlineStr">
        <is>
          <t>KY</t>
        </is>
      </c>
      <c r="H98" s="92" t="inlineStr">
        <is>
          <t>WAREHOUSE 1-20000 SQ FT</t>
        </is>
      </c>
      <c r="I98" s="93" t="n">
        <v>59090</v>
      </c>
      <c r="J98" s="94">
        <f>I98/43560</f>
        <v/>
      </c>
      <c r="K98" s="93" t="n">
        <v>1644.5</v>
      </c>
      <c r="L98" s="95">
        <f>I98/(K98^2)</f>
        <v/>
      </c>
      <c r="M98" s="92" t="inlineStr">
        <is>
          <t>Marginal 10-14k/45-60k</t>
        </is>
      </c>
      <c r="N98" s="92" t="inlineStr">
        <is>
          <t>A</t>
        </is>
      </c>
      <c r="O98" s="92" t="inlineStr">
        <is>
          <t>Irregular &lt;.035</t>
        </is>
      </c>
      <c r="P98" s="92" t="inlineStr">
        <is>
          <t>Low</t>
        </is>
      </c>
      <c r="Q98" s="92" t="inlineStr">
        <is>
          <t>Out-of-city KY</t>
        </is>
      </c>
      <c r="R98" s="92" t="inlineStr">
        <is>
          <t>Passive vehicle</t>
        </is>
      </c>
      <c r="S98" s="92" t="n">
        <v>1</v>
      </c>
      <c r="T98" s="96">
        <f>INDEX('Scoring Method'!$B$6:$B$9,MATCH(M98,'Scoring Method'!$A$6:$A$9,0))+INDEX('Scoring Method'!$B$12:$B$16,MATCH(N98,'Scoring Method'!$A$12:$A$16,0))+INDEX('Scoring Method'!$B$19:$B$22,MATCH(O98,'Scoring Method'!$A$19:$A$22,0))+INDEX('Scoring Method'!$B$25:$B$27,MATCH(P98,'Scoring Method'!$A$25:$A$27,0))</f>
        <v/>
      </c>
      <c r="U98" s="96">
        <f>(INDEX('Scoring Method'!$B$30:$B$33,MATCH(Q98,'Scoring Method'!$A$30:$A$33,0))+INDEX('Scoring Method'!$B$36:$B$42,MATCH(R98,'Scoring Method'!$A$36:$A$42,0))+INDEX('Scoring Method'!$B$45:$B$47,MATCH(IF(S98=1,"1",IF(S98=2,"2","3+")),'Scoring Method'!$A$45:$A$47,0)))/90*100</f>
        <v/>
      </c>
      <c r="V98" s="96">
        <f>T98*U98/100</f>
        <v/>
      </c>
      <c r="W98" s="93" t="n">
        <v>8665</v>
      </c>
      <c r="X98" s="92" t="inlineStr">
        <is>
          <t>AE (1% annual)</t>
        </is>
      </c>
      <c r="Y98" s="93" t="n">
        <v>47775</v>
      </c>
      <c r="Z98" s="97" t="n"/>
      <c r="AA98" s="98">
        <f>MAX(0,(Y98-5000)/300)</f>
        <v/>
      </c>
      <c r="AB98" s="92" t="n"/>
      <c r="AC98" s="92" t="n"/>
      <c r="AD98" s="92" t="n"/>
      <c r="AE98" s="92" t="inlineStr">
        <is>
          <t>Oversize 6-12k</t>
        </is>
      </c>
      <c r="AF98" s="96">
        <f>INDEX('Scoring Method'!$B$63:$B$71,MATCH(AE98,'Scoring Method'!$A$63:$A$71,0))+INDEX('Scoring Method'!$B$75:$B$79,MATCH("Ample &gt;=15k",'Scoring Method'!$A$75:$A$79,0))+INDEX('Scoring Method'!$B$343:$B$347,MATCH(X98,'Scoring Method'!$A$343:$A$347,0))+INDEX('Scoring Method'!$B$25:$B$27,MATCH(P98,'Scoring Method'!$A$25:$A$27,0))</f>
        <v/>
      </c>
      <c r="AG98" s="96">
        <f>AF98*U98/100</f>
        <v/>
      </c>
      <c r="AH98" s="92" t="inlineStr">
        <is>
          <t>LINK-GIS only</t>
        </is>
      </c>
      <c r="AI98" s="99" t="n">
        <v>39.0399</v>
      </c>
      <c r="AJ98" s="99" t="n">
        <v>-84.51215000000001</v>
      </c>
      <c r="AK98" s="94" t="n">
        <v>3.09</v>
      </c>
      <c r="AL98" s="94" t="n">
        <v>3.53</v>
      </c>
      <c r="AM98" s="94" t="n">
        <v>4.26</v>
      </c>
      <c r="AN98" s="94" t="n">
        <v>3.05</v>
      </c>
      <c r="AO98" s="92" t="inlineStr">
        <is>
          <t>Remote &gt;3mi</t>
        </is>
      </c>
      <c r="AP98" s="92" t="inlineStr">
        <is>
          <t>Open span</t>
        </is>
      </c>
      <c r="AQ98" s="92" t="inlineStr">
        <is>
          <t>Ample &gt;=15k</t>
        </is>
      </c>
      <c r="AR98" s="100" t="n"/>
      <c r="AS98" s="96">
        <f>ROUND(INDEX('Scoring Method'!$B$63:$B$70,MATCH(AE98,'Scoring Method'!$A$63:$A$70,0))*0.625+INDEX('Scoring Method'!$B$105:$B$113,MATCH(AP98,'Scoring Method'!$A$105:$A$113,0))+INDEX('Scoring Method'!$B$74:$B$78,MATCH(AQ98,'Scoring Method'!$A$74:$A$78,0))*0.6667+INDEX('Scoring Method'!$B$96:$B$101,MATCH(AO98,'Scoring Method'!$A$96:$A$101,0))+INDEX('Scoring Method'!$B$343:$B$347,MATCH(X98,'Scoring Method'!$A$343:$A$347,0))*0.3333+INDEX('Scoring Method'!$B$25:$B$27,MATCH(P98,'Scoring Method'!$A$25:$A$27,0))*0.3333,1)</f>
        <v/>
      </c>
      <c r="AT98" s="96">
        <f>AS98*U98/100</f>
        <v/>
      </c>
      <c r="AU98" s="92" t="inlineStr">
        <is>
          <t>Rittes East / Winston Park</t>
        </is>
      </c>
      <c r="AV98" s="92" t="n">
        <v>82</v>
      </c>
      <c r="AW98" s="92" t="inlineStr">
        <is>
          <t>Sourced</t>
        </is>
      </c>
      <c r="AX98" s="92" t="inlineStr">
        <is>
          <t>Very safe 80+</t>
        </is>
      </c>
      <c r="AY98" s="96">
        <f>ROUND(INDEX('Scoring Method'!$B$132:$B$140,MATCH(AE98,'Scoring Method'!$A$132:$A$140,0))+INDEX('Scoring Method'!$B$144:$B$152,MATCH(AP98,'Scoring Method'!$A$144:$A$152,0))+INDEX('Scoring Method'!$B$156:$B$160,MATCH(AQ98,'Scoring Method'!$A$156:$A$160,0))+INDEX('Scoring Method'!$B$164:$B$169,MATCH(AO98,'Scoring Method'!$A$164:$A$169,0))+INDEX('Scoring Method'!$B$173:$B$178,MATCH(AX98,'Scoring Method'!$A$173:$A$178,0))+INDEX('Scoring Method'!$B$349:$B$353,MATCH(X98,'Scoring Method'!$A$349:$A$353,0))+INDEX('Scoring Method'!$B$188:$B$190,MATCH(P98,'Scoring Method'!$A$188:$A$190,0)),1)</f>
        <v/>
      </c>
      <c r="AZ98" s="96">
        <f>AY98*U98/100</f>
        <v/>
      </c>
      <c r="BA98" s="92" t="inlineStr">
        <is>
          <t>No chain signal</t>
        </is>
      </c>
      <c r="BB98" s="94" t="n">
        <v>1</v>
      </c>
      <c r="BC98" s="103" t="inlineStr">
        <is>
          <t>Oversized &gt;1.25 AC</t>
        </is>
      </c>
      <c r="BD98" s="94" t="n">
        <v>0.65</v>
      </c>
      <c r="BE98" s="96">
        <f>ROUND(INDEX('Scoring Method'!$B$268:$B$276,MATCH(AE98,'Scoring Method'!$A$268:$A$276,0))+INDEX('Scoring Method'!$B$280:$B$288,MATCH(AP98,'Scoring Method'!$A$280:$A$288,0))+INDEX('Scoring Method'!$B$292:$B$296,MATCH(AQ98,'Scoring Method'!$A$292:$A$296,0))+INDEX('Scoring Method'!$B$300:$B$305,MATCH(AO98,'Scoring Method'!$A$300:$A$305,0))+INDEX('Scoring Method'!$B$309:$B$314,MATCH(AX98,'Scoring Method'!$A$309:$A$314,0))+INDEX('Scoring Method'!$B$337:$B$341,MATCH(X98,'Scoring Method'!$A$337:$A$341,0))+INDEX('Scoring Method'!$B$324:$B$326,MATCH(P98,'Scoring Method'!$A$324:$A$326,0)),1)</f>
        <v/>
      </c>
      <c r="BF98" s="96">
        <f>ROUND(INDEX('Scoring Method'!$B$268:$B$276,MATCH(AE98,'Scoring Method'!$A$268:$A$276,0))*BB98*BD98+INDEX('Scoring Method'!$B$280:$B$288,MATCH(AP98,'Scoring Method'!$A$280:$A$288,0))*BM98*BB98*BD98+INDEX('Scoring Method'!$B$292:$B$296,MATCH(AQ98,'Scoring Method'!$A$292:$A$296,0))*BD98+INDEX('Scoring Method'!$B$300:$B$305,MATCH(AO98,'Scoring Method'!$A$300:$A$305,0))*BM98*BB98+INDEX('Scoring Method'!$B$309:$B$314,MATCH(AX98,'Scoring Method'!$A$309:$A$314,0))+INDEX('Scoring Method'!$B$337:$B$341,MATCH(X98,'Scoring Method'!$A$337:$A$341,0))+INDEX('Scoring Method'!$B$324:$B$326,MATCH(P98,'Scoring Method'!$A$324:$A$326,0)),1)</f>
        <v/>
      </c>
      <c r="BG98" s="92" t="inlineStr">
        <is>
          <t>Fits (~$7,943/mo)</t>
        </is>
      </c>
      <c r="BH98" s="61" t="inlineStr">
        <is>
          <t>SI</t>
        </is>
      </c>
      <c r="BI98" s="61" t="inlineStr">
        <is>
          <t>Suburban Industrial</t>
        </is>
      </c>
      <c r="BJ98" s="61" t="inlineStr"/>
      <c r="BK98" s="61" t="inlineStr"/>
      <c r="BL98" s="61" t="inlineStr">
        <is>
          <t>Bar permitted</t>
        </is>
      </c>
      <c r="BM98" s="61">
        <f>INDEX('Scoring Method'!$B$358:$B$363,MATCH(BL98,'Scoring Method'!$A$358:$A$363,0))</f>
        <v/>
      </c>
    </row>
    <row r="99" ht="15" customHeight="1" s="62">
      <c r="A99" s="92" t="n">
        <v>98</v>
      </c>
      <c r="B99" s="92" t="inlineStr">
        <is>
          <t>054-24-10-005.00</t>
        </is>
      </c>
      <c r="C99" s="92" t="inlineStr">
        <is>
          <t>1240 MADISON AVE</t>
        </is>
      </c>
      <c r="D99" s="92" t="inlineStr">
        <is>
          <t>TIGER COMMERCIAL PROPERTIES</t>
        </is>
      </c>
      <c r="E99" s="92" t="inlineStr">
        <is>
          <t>PO BOX 23599</t>
        </is>
      </c>
      <c r="F99" s="92" t="inlineStr">
        <is>
          <t>LOUISVILLE</t>
        </is>
      </c>
      <c r="G99" s="92" t="inlineStr">
        <is>
          <t>KY</t>
        </is>
      </c>
      <c r="H99" s="92" t="inlineStr">
        <is>
          <t>OFFICE BLDG 1 OR 2 STORY</t>
        </is>
      </c>
      <c r="I99" s="93" t="n">
        <v>14400</v>
      </c>
      <c r="J99" s="94">
        <f>I99/43560</f>
        <v/>
      </c>
      <c r="K99" s="93" t="n">
        <v>500</v>
      </c>
      <c r="L99" s="95">
        <f>I99/(K99^2)</f>
        <v/>
      </c>
      <c r="M99" s="92" t="inlineStr">
        <is>
          <t>Near 14-18k/32-45k</t>
        </is>
      </c>
      <c r="N99" s="92" t="inlineStr">
        <is>
          <t>E</t>
        </is>
      </c>
      <c r="O99" s="92" t="inlineStr">
        <is>
          <t>Compact &gt;=.055</t>
        </is>
      </c>
      <c r="P99" s="92" t="inlineStr">
        <is>
          <t>Low</t>
        </is>
      </c>
      <c r="Q99" s="92" t="inlineStr">
        <is>
          <t>Out-of-city KY</t>
        </is>
      </c>
      <c r="R99" s="92" t="inlineStr">
        <is>
          <t>Passive vehicle</t>
        </is>
      </c>
      <c r="S99" s="92" t="n">
        <v>1</v>
      </c>
      <c r="T99" s="96">
        <f>INDEX('Scoring Method'!$B$6:$B$9,MATCH(M99,'Scoring Method'!$A$6:$A$9,0))+INDEX('Scoring Method'!$B$12:$B$16,MATCH(N99,'Scoring Method'!$A$12:$A$16,0))+INDEX('Scoring Method'!$B$19:$B$22,MATCH(O99,'Scoring Method'!$A$19:$A$22,0))+INDEX('Scoring Method'!$B$25:$B$27,MATCH(P99,'Scoring Method'!$A$25:$A$27,0))</f>
        <v/>
      </c>
      <c r="U99" s="96">
        <f>(INDEX('Scoring Method'!$B$30:$B$33,MATCH(Q99,'Scoring Method'!$A$30:$A$33,0))+INDEX('Scoring Method'!$B$36:$B$42,MATCH(R99,'Scoring Method'!$A$36:$A$42,0))+INDEX('Scoring Method'!$B$45:$B$47,MATCH(IF(S99=1,"1",IF(S99=2,"2","3+")),'Scoring Method'!$A$45:$A$47,0)))/90*100</f>
        <v/>
      </c>
      <c r="V99" s="96">
        <f>T99*U99/100</f>
        <v/>
      </c>
      <c r="W99" s="93" t="n">
        <v>3000</v>
      </c>
      <c r="X99" s="92" t="inlineStr">
        <is>
          <t>X (minimal hazard)</t>
        </is>
      </c>
      <c r="Y99" s="93" t="n">
        <v>9275</v>
      </c>
      <c r="Z99" s="97" t="n"/>
      <c r="AA99" s="98">
        <f>MAX(0,(Y99-5000)/300)</f>
        <v/>
      </c>
      <c r="AB99" s="92" t="n"/>
      <c r="AC99" s="92" t="n"/>
      <c r="AD99" s="92" t="n"/>
      <c r="AE99" s="92" t="inlineStr">
        <is>
          <t>Above 2.5-4k</t>
        </is>
      </c>
      <c r="AF99" s="96">
        <f>INDEX('Scoring Method'!$B$63:$B$71,MATCH(AE99,'Scoring Method'!$A$63:$A$71,0))+INDEX('Scoring Method'!$B$75:$B$79,MATCH("Good 8-15k",'Scoring Method'!$A$75:$A$79,0))+INDEX('Scoring Method'!$B$343:$B$347,MATCH(X99,'Scoring Method'!$A$343:$A$347,0))+INDEX('Scoring Method'!$B$25:$B$27,MATCH(P99,'Scoring Method'!$A$25:$A$27,0))</f>
        <v/>
      </c>
      <c r="AG99" s="96">
        <f>AF99*U99/100</f>
        <v/>
      </c>
      <c r="AH99" s="92" t="inlineStr">
        <is>
          <t>LINK-GIS + LoopNet (2026-08-02)</t>
        </is>
      </c>
      <c r="AI99" s="99" t="n">
        <v>39.07673</v>
      </c>
      <c r="AJ99" s="99" t="n">
        <v>-84.50789</v>
      </c>
      <c r="AK99" s="94" t="n">
        <v>0.75</v>
      </c>
      <c r="AL99" s="94" t="n">
        <v>0.98</v>
      </c>
      <c r="AM99" s="94" t="n">
        <v>1.73</v>
      </c>
      <c r="AN99" s="94" t="n">
        <v>0.53</v>
      </c>
      <c r="AO99" s="92" t="inlineStr">
        <is>
          <t>Near 0.35-0.75mi</t>
        </is>
      </c>
      <c r="AP99" s="92" t="inlineStr">
        <is>
          <t>Office/institutional</t>
        </is>
      </c>
      <c r="AQ99" s="92" t="inlineStr">
        <is>
          <t>Good 8-15k</t>
        </is>
      </c>
      <c r="AR99" s="100" t="n"/>
      <c r="AS99" s="96">
        <f>ROUND(INDEX('Scoring Method'!$B$63:$B$70,MATCH(AE99,'Scoring Method'!$A$63:$A$70,0))*0.625+INDEX('Scoring Method'!$B$105:$B$113,MATCH(AP99,'Scoring Method'!$A$105:$A$113,0))+INDEX('Scoring Method'!$B$74:$B$78,MATCH(AQ99,'Scoring Method'!$A$74:$A$78,0))*0.6667+INDEX('Scoring Method'!$B$96:$B$101,MATCH(AO99,'Scoring Method'!$A$96:$A$101,0))+INDEX('Scoring Method'!$B$343:$B$347,MATCH(X99,'Scoring Method'!$A$343:$A$347,0))*0.3333+INDEX('Scoring Method'!$B$25:$B$27,MATCH(P99,'Scoring Method'!$A$25:$A$27,0))*0.3333,1)</f>
        <v/>
      </c>
      <c r="AT99" s="96">
        <f>AS99*U99/100</f>
        <v/>
      </c>
      <c r="AU99" s="92" t="inlineStr">
        <is>
          <t>Eastside</t>
        </is>
      </c>
      <c r="AV99" s="92" t="n">
        <v>28</v>
      </c>
      <c r="AW99" s="101" t="inlineStr">
        <is>
          <t>ESTIMATED</t>
        </is>
      </c>
      <c r="AX99" s="92" t="inlineStr">
        <is>
          <t>High &lt;35</t>
        </is>
      </c>
      <c r="AY99" s="96">
        <f>ROUND(INDEX('Scoring Method'!$B$132:$B$140,MATCH(AE99,'Scoring Method'!$A$132:$A$140,0))+INDEX('Scoring Method'!$B$144:$B$152,MATCH(AP99,'Scoring Method'!$A$144:$A$152,0))+INDEX('Scoring Method'!$B$156:$B$160,MATCH(AQ99,'Scoring Method'!$A$156:$A$160,0))+INDEX('Scoring Method'!$B$164:$B$169,MATCH(AO99,'Scoring Method'!$A$164:$A$169,0))+INDEX('Scoring Method'!$B$173:$B$178,MATCH(AX99,'Scoring Method'!$A$173:$A$178,0))+INDEX('Scoring Method'!$B$349:$B$353,MATCH(X99,'Scoring Method'!$A$349:$A$353,0))+INDEX('Scoring Method'!$B$188:$B$190,MATCH(P99,'Scoring Method'!$A$188:$A$190,0)),1)</f>
        <v/>
      </c>
      <c r="AZ99" s="96">
        <f>AY99*U99/100</f>
        <v/>
      </c>
      <c r="BA99" s="92" t="inlineStr">
        <is>
          <t>No chain signal</t>
        </is>
      </c>
      <c r="BB99" s="94" t="n">
        <v>1</v>
      </c>
      <c r="BC99" s="102" t="inlineStr">
        <is>
          <t>Small 0.25-0.35 AC</t>
        </is>
      </c>
      <c r="BD99" s="94" t="n">
        <v>0.9</v>
      </c>
      <c r="BE99" s="96">
        <f>ROUND(INDEX('Scoring Method'!$B$268:$B$276,MATCH(AE99,'Scoring Method'!$A$268:$A$276,0))+INDEX('Scoring Method'!$B$280:$B$288,MATCH(AP99,'Scoring Method'!$A$280:$A$288,0))+INDEX('Scoring Method'!$B$292:$B$296,MATCH(AQ99,'Scoring Method'!$A$292:$A$296,0))+INDEX('Scoring Method'!$B$300:$B$305,MATCH(AO99,'Scoring Method'!$A$300:$A$305,0))+INDEX('Scoring Method'!$B$309:$B$314,MATCH(AX99,'Scoring Method'!$A$309:$A$314,0))+INDEX('Scoring Method'!$B$337:$B$341,MATCH(X99,'Scoring Method'!$A$337:$A$341,0))+INDEX('Scoring Method'!$B$324:$B$326,MATCH(P99,'Scoring Method'!$A$324:$A$326,0)),1)</f>
        <v/>
      </c>
      <c r="BF99" s="96">
        <f>ROUND(INDEX('Scoring Method'!$B$268:$B$276,MATCH(AE99,'Scoring Method'!$A$268:$A$276,0))*BB99*BD99+INDEX('Scoring Method'!$B$280:$B$288,MATCH(AP99,'Scoring Method'!$A$280:$A$288,0))*BM99*BB99*BD99+INDEX('Scoring Method'!$B$292:$B$296,MATCH(AQ99,'Scoring Method'!$A$292:$A$296,0))*BD99+INDEX('Scoring Method'!$B$300:$B$305,MATCH(AO99,'Scoring Method'!$A$300:$A$305,0))*BM99*BB99+INDEX('Scoring Method'!$B$309:$B$314,MATCH(AX99,'Scoring Method'!$A$309:$A$314,0))+INDEX('Scoring Method'!$B$337:$B$341,MATCH(X99,'Scoring Method'!$A$337:$A$341,0))+INDEX('Scoring Method'!$B$324:$B$326,MATCH(P99,'Scoring Method'!$A$324:$A$326,0)),1)</f>
        <v/>
      </c>
      <c r="BG99" s="92" t="inlineStr">
        <is>
          <t>Fits (~$2,750/mo)</t>
        </is>
      </c>
      <c r="BH99" s="61" t="inlineStr">
        <is>
          <t>DTC</t>
        </is>
      </c>
      <c r="BI99" s="61" t="inlineStr">
        <is>
          <t>Downtown Core</t>
        </is>
      </c>
      <c r="BJ99" s="61" t="inlineStr"/>
      <c r="BK99" s="61" t="inlineStr"/>
      <c r="BL99" s="61" t="inlineStr">
        <is>
          <t>Bar permitted</t>
        </is>
      </c>
      <c r="BM99" s="61">
        <f>INDEX('Scoring Method'!$B$358:$B$363,MATCH(BL99,'Scoring Method'!$A$358:$A$363,0))</f>
        <v/>
      </c>
    </row>
    <row r="100" ht="15" customHeight="1" s="62">
      <c r="A100" s="92" t="n">
        <v>99</v>
      </c>
      <c r="B100" s="92" t="inlineStr">
        <is>
          <t>042-30-00-066.01</t>
        </is>
      </c>
      <c r="C100" s="92" t="inlineStr">
        <is>
          <t>3214 MADISON PIKE</t>
        </is>
      </c>
      <c r="D100" s="92" t="inlineStr">
        <is>
          <t>PM MARTIN LLC</t>
        </is>
      </c>
      <c r="E100" s="92" t="inlineStr">
        <is>
          <t>208 COLLEGE PARK DR</t>
        </is>
      </c>
      <c r="F100" s="92" t="inlineStr">
        <is>
          <t>CRESTVIEW HILLS</t>
        </is>
      </c>
      <c r="G100" s="92" t="inlineStr">
        <is>
          <t>KY</t>
        </is>
      </c>
      <c r="H100" s="92" t="inlineStr">
        <is>
          <t>RESTAURANT CAFE/BAR</t>
        </is>
      </c>
      <c r="I100" s="93" t="n">
        <v>24576</v>
      </c>
      <c r="J100" s="94">
        <f>I100/43560</f>
        <v/>
      </c>
      <c r="K100" s="93" t="n">
        <v>649.8</v>
      </c>
      <c r="L100" s="95">
        <f>I100/(K100^2)</f>
        <v/>
      </c>
      <c r="M100" s="92" t="inlineStr">
        <is>
          <t>Ideal 18-32k</t>
        </is>
      </c>
      <c r="N100" s="92" t="inlineStr">
        <is>
          <t>C</t>
        </is>
      </c>
      <c r="O100" s="92" t="inlineStr">
        <is>
          <t>Compact &gt;=.055</t>
        </is>
      </c>
      <c r="P100" s="92" t="inlineStr">
        <is>
          <t>Low</t>
        </is>
      </c>
      <c r="Q100" s="92" t="inlineStr">
        <is>
          <t>Out-of-city KY</t>
        </is>
      </c>
      <c r="R100" s="92" t="inlineStr">
        <is>
          <t>Operating entity</t>
        </is>
      </c>
      <c r="S100" s="92" t="n">
        <v>1</v>
      </c>
      <c r="T100" s="96">
        <f>INDEX('Scoring Method'!$B$6:$B$9,MATCH(M100,'Scoring Method'!$A$6:$A$9,0))+INDEX('Scoring Method'!$B$12:$B$16,MATCH(N100,'Scoring Method'!$A$12:$A$16,0))+INDEX('Scoring Method'!$B$19:$B$22,MATCH(O100,'Scoring Method'!$A$19:$A$22,0))+INDEX('Scoring Method'!$B$25:$B$27,MATCH(P100,'Scoring Method'!$A$25:$A$27,0))</f>
        <v/>
      </c>
      <c r="U100" s="96">
        <f>(INDEX('Scoring Method'!$B$30:$B$33,MATCH(Q100,'Scoring Method'!$A$30:$A$33,0))+INDEX('Scoring Method'!$B$36:$B$42,MATCH(R100,'Scoring Method'!$A$36:$A$42,0))+INDEX('Scoring Method'!$B$45:$B$47,MATCH(IF(S100=1,"1",IF(S100=2,"2","3+")),'Scoring Method'!$A$45:$A$47,0)))/90*100</f>
        <v/>
      </c>
      <c r="V100" s="96">
        <f>T100*U100/100</f>
        <v/>
      </c>
      <c r="W100" s="93" t="n">
        <v>1500</v>
      </c>
      <c r="X100" s="92" t="inlineStr">
        <is>
          <t>X (minimal hazard)</t>
        </is>
      </c>
      <c r="Y100" s="93" t="n">
        <v>21825</v>
      </c>
      <c r="Z100" s="97" t="n"/>
      <c r="AA100" s="98">
        <f>MAX(0,(Y100-5000)/300)</f>
        <v/>
      </c>
      <c r="AB100" s="92" t="n"/>
      <c r="AC100" s="92" t="n"/>
      <c r="AD100" s="92" t="n"/>
      <c r="AE100" s="92" t="inlineStr">
        <is>
          <t>Target 1.5-2.5k</t>
        </is>
      </c>
      <c r="AF100" s="96">
        <f>INDEX('Scoring Method'!$B$63:$B$71,MATCH(AE100,'Scoring Method'!$A$63:$A$71,0))+INDEX('Scoring Method'!$B$75:$B$79,MATCH("Ample &gt;=15k",'Scoring Method'!$A$75:$A$79,0))+INDEX('Scoring Method'!$B$343:$B$347,MATCH(X100,'Scoring Method'!$A$343:$A$347,0))+INDEX('Scoring Method'!$B$25:$B$27,MATCH(P100,'Scoring Method'!$A$25:$A$27,0))</f>
        <v/>
      </c>
      <c r="AG100" s="96">
        <f>AF100*U100/100</f>
        <v/>
      </c>
      <c r="AH100" s="92" t="inlineStr">
        <is>
          <t>LINK-GIS + LoopNet (2026-08-02)</t>
        </is>
      </c>
      <c r="AI100" s="99" t="n">
        <v>39.0469</v>
      </c>
      <c r="AJ100" s="99" t="n">
        <v>-84.52104</v>
      </c>
      <c r="AK100" s="94" t="n">
        <v>2.6</v>
      </c>
      <c r="AL100" s="94" t="n">
        <v>3.11</v>
      </c>
      <c r="AM100" s="94" t="n">
        <v>3.8</v>
      </c>
      <c r="AN100" s="94" t="n">
        <v>2.6</v>
      </c>
      <c r="AO100" s="92" t="inlineStr">
        <is>
          <t>Distant 2-3mi</t>
        </is>
      </c>
      <c r="AP100" s="92" t="inlineStr">
        <is>
          <t>Built-out kitchen</t>
        </is>
      </c>
      <c r="AQ100" s="92" t="inlineStr">
        <is>
          <t>Ample &gt;=15k</t>
        </is>
      </c>
      <c r="AR100" s="100" t="n"/>
      <c r="AS100" s="96">
        <f>ROUND(INDEX('Scoring Method'!$B$63:$B$70,MATCH(AE100,'Scoring Method'!$A$63:$A$70,0))*0.625+INDEX('Scoring Method'!$B$105:$B$113,MATCH(AP100,'Scoring Method'!$A$105:$A$113,0))+INDEX('Scoring Method'!$B$74:$B$78,MATCH(AQ100,'Scoring Method'!$A$74:$A$78,0))*0.6667+INDEX('Scoring Method'!$B$96:$B$101,MATCH(AO100,'Scoring Method'!$A$96:$A$101,0))+INDEX('Scoring Method'!$B$343:$B$347,MATCH(X100,'Scoring Method'!$A$343:$A$347,0))*0.3333+INDEX('Scoring Method'!$B$25:$B$27,MATCH(P100,'Scoring Method'!$A$25:$A$27,0))*0.3333,1)</f>
        <v/>
      </c>
      <c r="AT100" s="96">
        <f>AS100*U100/100</f>
        <v/>
      </c>
      <c r="AU100" s="92" t="inlineStr">
        <is>
          <t>Latonia Rosedale</t>
        </is>
      </c>
      <c r="AV100" s="92" t="n">
        <v>68</v>
      </c>
      <c r="AW100" s="92" t="inlineStr">
        <is>
          <t>Sourced</t>
        </is>
      </c>
      <c r="AX100" s="92" t="inlineStr">
        <is>
          <t>Moderate 60-69</t>
        </is>
      </c>
      <c r="AY100" s="96">
        <f>ROUND(INDEX('Scoring Method'!$B$132:$B$140,MATCH(AE100,'Scoring Method'!$A$132:$A$140,0))+INDEX('Scoring Method'!$B$144:$B$152,MATCH(AP100,'Scoring Method'!$A$144:$A$152,0))+INDEX('Scoring Method'!$B$156:$B$160,MATCH(AQ100,'Scoring Method'!$A$156:$A$160,0))+INDEX('Scoring Method'!$B$164:$B$169,MATCH(AO100,'Scoring Method'!$A$164:$A$169,0))+INDEX('Scoring Method'!$B$173:$B$178,MATCH(AX100,'Scoring Method'!$A$173:$A$178,0))+INDEX('Scoring Method'!$B$349:$B$353,MATCH(X100,'Scoring Method'!$A$349:$A$353,0))+INDEX('Scoring Method'!$B$188:$B$190,MATCH(P100,'Scoring Method'!$A$188:$A$190,0)),1)</f>
        <v/>
      </c>
      <c r="AZ100" s="96">
        <f>AY100*U100/100</f>
        <v/>
      </c>
      <c r="BA100" s="92" t="inlineStr">
        <is>
          <t>No chain signal</t>
        </is>
      </c>
      <c r="BB100" s="94" t="n">
        <v>1</v>
      </c>
      <c r="BC100" s="92" t="inlineStr">
        <is>
          <t>Right-sized 0.35-0.75 AC</t>
        </is>
      </c>
      <c r="BD100" s="94" t="n">
        <v>1</v>
      </c>
      <c r="BE100" s="96">
        <f>ROUND(INDEX('Scoring Method'!$B$268:$B$276,MATCH(AE100,'Scoring Method'!$A$268:$A$276,0))+INDEX('Scoring Method'!$B$280:$B$288,MATCH(AP100,'Scoring Method'!$A$280:$A$288,0))+INDEX('Scoring Method'!$B$292:$B$296,MATCH(AQ100,'Scoring Method'!$A$292:$A$296,0))+INDEX('Scoring Method'!$B$300:$B$305,MATCH(AO100,'Scoring Method'!$A$300:$A$305,0))+INDEX('Scoring Method'!$B$309:$B$314,MATCH(AX100,'Scoring Method'!$A$309:$A$314,0))+INDEX('Scoring Method'!$B$337:$B$341,MATCH(X100,'Scoring Method'!$A$337:$A$341,0))+INDEX('Scoring Method'!$B$324:$B$326,MATCH(P100,'Scoring Method'!$A$324:$A$326,0)),1)</f>
        <v/>
      </c>
      <c r="BF100" s="96">
        <f>ROUND(INDEX('Scoring Method'!$B$268:$B$276,MATCH(AE100,'Scoring Method'!$A$268:$A$276,0))*BB100*BD100+INDEX('Scoring Method'!$B$280:$B$288,MATCH(AP100,'Scoring Method'!$A$280:$A$288,0))*BM100*BB100*BD100+INDEX('Scoring Method'!$B$292:$B$296,MATCH(AQ100,'Scoring Method'!$A$292:$A$296,0))*BD100+INDEX('Scoring Method'!$B$300:$B$305,MATCH(AO100,'Scoring Method'!$A$300:$A$305,0))*BM100*BB100+INDEX('Scoring Method'!$B$309:$B$314,MATCH(AX100,'Scoring Method'!$A$309:$A$314,0))+INDEX('Scoring Method'!$B$337:$B$341,MATCH(X100,'Scoring Method'!$A$337:$A$341,0))+INDEX('Scoring Method'!$B$324:$B$326,MATCH(P100,'Scoring Method'!$A$324:$A$326,0)),1)</f>
        <v/>
      </c>
      <c r="BG100" s="92" t="inlineStr">
        <is>
          <t>Fits (~$1,375/mo)</t>
        </is>
      </c>
      <c r="BH100" s="61" t="inlineStr">
        <is>
          <t>AUC</t>
        </is>
      </c>
      <c r="BI100" s="61" t="inlineStr">
        <is>
          <t>Auto-Urban Commercial</t>
        </is>
      </c>
      <c r="BJ100" s="61" t="inlineStr"/>
      <c r="BK100" s="61" t="inlineStr"/>
      <c r="BL100" s="61" t="inlineStr">
        <is>
          <t>Bar permitted</t>
        </is>
      </c>
      <c r="BM100" s="61">
        <f>INDEX('Scoring Method'!$B$358:$B$363,MATCH(BL100,'Scoring Method'!$A$358:$A$363,0))</f>
        <v/>
      </c>
    </row>
    <row r="101" ht="15" customHeight="1" s="62">
      <c r="A101" s="92" t="n">
        <v>100</v>
      </c>
      <c r="B101" s="92" t="inlineStr">
        <is>
          <t>054-23-04-026.00</t>
        </is>
      </c>
      <c r="C101" s="92" t="inlineStr">
        <is>
          <t>412 MADISON AVE</t>
        </is>
      </c>
      <c r="D101" s="92" t="inlineStr">
        <is>
          <t>MILBURN GROUP 3 LLC</t>
        </is>
      </c>
      <c r="E101" s="92" t="inlineStr">
        <is>
          <t>3113 CAROL LEE DR</t>
        </is>
      </c>
      <c r="F101" s="92" t="inlineStr">
        <is>
          <t>ERLANGER</t>
        </is>
      </c>
      <c r="G101" s="92" t="inlineStr">
        <is>
          <t>KY</t>
        </is>
      </c>
      <c r="H101" s="92" t="inlineStr">
        <is>
          <t>MIXED USE</t>
        </is>
      </c>
      <c r="I101" s="93" t="n">
        <v>18050</v>
      </c>
      <c r="J101" s="94">
        <f>I101/43560</f>
        <v/>
      </c>
      <c r="K101" s="93" t="n">
        <v>570</v>
      </c>
      <c r="L101" s="95">
        <f>I101/(K101^2)</f>
        <v/>
      </c>
      <c r="M101" s="92" t="inlineStr">
        <is>
          <t>Ideal 18-32k</t>
        </is>
      </c>
      <c r="N101" s="92" t="inlineStr">
        <is>
          <t>C</t>
        </is>
      </c>
      <c r="O101" s="92" t="inlineStr">
        <is>
          <t>Compact &gt;=.055</t>
        </is>
      </c>
      <c r="P101" s="92" t="inlineStr">
        <is>
          <t>Low</t>
        </is>
      </c>
      <c r="Q101" s="92" t="inlineStr">
        <is>
          <t>Out-of-city KY</t>
        </is>
      </c>
      <c r="R101" s="92" t="inlineStr">
        <is>
          <t>Operating entity</t>
        </is>
      </c>
      <c r="S101" s="92" t="n">
        <v>1</v>
      </c>
      <c r="T101" s="96">
        <f>INDEX('Scoring Method'!$B$6:$B$9,MATCH(M101,'Scoring Method'!$A$6:$A$9,0))+INDEX('Scoring Method'!$B$12:$B$16,MATCH(N101,'Scoring Method'!$A$12:$A$16,0))+INDEX('Scoring Method'!$B$19:$B$22,MATCH(O101,'Scoring Method'!$A$19:$A$22,0))+INDEX('Scoring Method'!$B$25:$B$27,MATCH(P101,'Scoring Method'!$A$25:$A$27,0))</f>
        <v/>
      </c>
      <c r="U101" s="96">
        <f>(INDEX('Scoring Method'!$B$30:$B$33,MATCH(Q101,'Scoring Method'!$A$30:$A$33,0))+INDEX('Scoring Method'!$B$36:$B$42,MATCH(R101,'Scoring Method'!$A$36:$A$42,0))+INDEX('Scoring Method'!$B$45:$B$47,MATCH(IF(S101=1,"1",IF(S101=2,"2","3+")),'Scoring Method'!$A$45:$A$47,0)))/90*100</f>
        <v/>
      </c>
      <c r="V101" s="96">
        <f>T101*U101/100</f>
        <v/>
      </c>
      <c r="W101" s="93" t="n">
        <v>10800</v>
      </c>
      <c r="X101" s="92" t="inlineStr">
        <is>
          <t>X (minimal hazard)</t>
        </is>
      </c>
      <c r="Y101" s="93" t="n">
        <v>7175</v>
      </c>
      <c r="Z101" s="97">
        <f>W101/I101</f>
        <v/>
      </c>
      <c r="AA101" s="98">
        <f>MAX(0,(Y101-5000)/300)</f>
        <v/>
      </c>
      <c r="AB101" s="92" t="n"/>
      <c r="AC101" s="92" t="n">
        <v>0.39</v>
      </c>
      <c r="AD101" s="92" t="inlineStr">
        <is>
          <t>ok</t>
        </is>
      </c>
      <c r="AE101" s="92" t="inlineStr">
        <is>
          <t>Oversize 6-12k</t>
        </is>
      </c>
      <c r="AF101" s="96">
        <f>INDEX('Scoring Method'!$B$63:$B$71,MATCH(AE101,'Scoring Method'!$A$63:$A$71,0))+INDEX('Scoring Method'!$B$75:$B$79,MATCH("Adequate 5-8k",'Scoring Method'!$A$75:$A$79,0))+INDEX('Scoring Method'!$B$343:$B$347,MATCH(X101,'Scoring Method'!$A$343:$A$347,0))+INDEX('Scoring Method'!$B$25:$B$27,MATCH(P101,'Scoring Method'!$A$25:$A$27,0))</f>
        <v/>
      </c>
      <c r="AG101" s="96">
        <f>AF101*U101/100</f>
        <v/>
      </c>
      <c r="AH101" s="92" t="inlineStr">
        <is>
          <t>LINK-GIS + LoopNet</t>
        </is>
      </c>
      <c r="AI101" s="99" t="n">
        <v>39.08669</v>
      </c>
      <c r="AJ101" s="99" t="n">
        <v>-84.51040999999999</v>
      </c>
      <c r="AK101" s="94" t="n">
        <v>0.43</v>
      </c>
      <c r="AL101" s="94" t="n">
        <v>0.31</v>
      </c>
      <c r="AM101" s="94" t="n">
        <v>1.03</v>
      </c>
      <c r="AN101" s="94" t="n">
        <v>0.19</v>
      </c>
      <c r="AO101" s="92" t="inlineStr">
        <is>
          <t>Core &lt;=0.35mi</t>
        </is>
      </c>
      <c r="AP101" s="92" t="inlineStr">
        <is>
          <t>Retail shell</t>
        </is>
      </c>
      <c r="AQ101" s="92" t="inlineStr">
        <is>
          <t>Adequate 5-8k</t>
        </is>
      </c>
      <c r="AR101" s="100" t="n"/>
      <c r="AS101" s="96">
        <f>ROUND(INDEX('Scoring Method'!$B$63:$B$70,MATCH(AE101,'Scoring Method'!$A$63:$A$70,0))*0.625+INDEX('Scoring Method'!$B$105:$B$113,MATCH(AP101,'Scoring Method'!$A$105:$A$113,0))+INDEX('Scoring Method'!$B$74:$B$78,MATCH(AQ101,'Scoring Method'!$A$74:$A$78,0))*0.6667+INDEX('Scoring Method'!$B$96:$B$101,MATCH(AO101,'Scoring Method'!$A$96:$A$101,0))+INDEX('Scoring Method'!$B$343:$B$347,MATCH(X101,'Scoring Method'!$A$343:$A$347,0))*0.3333+INDEX('Scoring Method'!$B$25:$B$27,MATCH(P101,'Scoring Method'!$A$25:$A$27,0))*0.3333,1)</f>
        <v/>
      </c>
      <c r="AT101" s="96">
        <f>AS101*U101/100</f>
        <v/>
      </c>
      <c r="AU101" s="92" t="inlineStr">
        <is>
          <t>Central Business District</t>
        </is>
      </c>
      <c r="AV101" s="92" t="n">
        <v>48</v>
      </c>
      <c r="AW101" s="101" t="inlineStr">
        <is>
          <t>ESTIMATED</t>
        </is>
      </c>
      <c r="AX101" s="92" t="inlineStr">
        <is>
          <t>Mixed 45-59</t>
        </is>
      </c>
      <c r="AY101" s="96">
        <f>ROUND(INDEX('Scoring Method'!$B$132:$B$140,MATCH(AE101,'Scoring Method'!$A$132:$A$140,0))+INDEX('Scoring Method'!$B$144:$B$152,MATCH(AP101,'Scoring Method'!$A$144:$A$152,0))+INDEX('Scoring Method'!$B$156:$B$160,MATCH(AQ101,'Scoring Method'!$A$156:$A$160,0))+INDEX('Scoring Method'!$B$164:$B$169,MATCH(AO101,'Scoring Method'!$A$164:$A$169,0))+INDEX('Scoring Method'!$B$173:$B$178,MATCH(AX101,'Scoring Method'!$A$173:$A$178,0))+INDEX('Scoring Method'!$B$349:$B$353,MATCH(X101,'Scoring Method'!$A$349:$A$353,0))+INDEX('Scoring Method'!$B$188:$B$190,MATCH(P101,'Scoring Method'!$A$188:$A$190,0)),1)</f>
        <v/>
      </c>
      <c r="AZ101" s="96">
        <f>AY101*U101/100</f>
        <v/>
      </c>
      <c r="BA101" s="92" t="inlineStr">
        <is>
          <t>No chain signal</t>
        </is>
      </c>
      <c r="BB101" s="94" t="n">
        <v>1</v>
      </c>
      <c r="BC101" s="92" t="inlineStr">
        <is>
          <t>Right-sized 0.35-0.75 AC</t>
        </is>
      </c>
      <c r="BD101" s="94" t="n">
        <v>1</v>
      </c>
      <c r="BE101" s="96">
        <f>ROUND(INDEX('Scoring Method'!$B$268:$B$276,MATCH(AE101,'Scoring Method'!$A$268:$A$276,0))+INDEX('Scoring Method'!$B$280:$B$288,MATCH(AP101,'Scoring Method'!$A$280:$A$288,0))+INDEX('Scoring Method'!$B$292:$B$296,MATCH(AQ101,'Scoring Method'!$A$292:$A$296,0))+INDEX('Scoring Method'!$B$300:$B$305,MATCH(AO101,'Scoring Method'!$A$300:$A$305,0))+INDEX('Scoring Method'!$B$309:$B$314,MATCH(AX101,'Scoring Method'!$A$309:$A$314,0))+INDEX('Scoring Method'!$B$337:$B$341,MATCH(X101,'Scoring Method'!$A$337:$A$341,0))+INDEX('Scoring Method'!$B$324:$B$326,MATCH(P101,'Scoring Method'!$A$324:$A$326,0)),1)</f>
        <v/>
      </c>
      <c r="BF101" s="96">
        <f>ROUND(INDEX('Scoring Method'!$B$268:$B$276,MATCH(AE101,'Scoring Method'!$A$268:$A$276,0))*BB101*BD101+INDEX('Scoring Method'!$B$280:$B$288,MATCH(AP101,'Scoring Method'!$A$280:$A$288,0))*BM101*BB101*BD101+INDEX('Scoring Method'!$B$292:$B$296,MATCH(AQ101,'Scoring Method'!$A$292:$A$296,0))*BD101+INDEX('Scoring Method'!$B$300:$B$305,MATCH(AO101,'Scoring Method'!$A$300:$A$305,0))*BM101*BB101+INDEX('Scoring Method'!$B$309:$B$314,MATCH(AX101,'Scoring Method'!$A$309:$A$314,0))+INDEX('Scoring Method'!$B$337:$B$341,MATCH(X101,'Scoring Method'!$A$337:$A$341,0))+INDEX('Scoring Method'!$B$324:$B$326,MATCH(P101,'Scoring Method'!$A$324:$A$326,0)),1)</f>
        <v/>
      </c>
      <c r="BG101" s="92" t="inlineStr">
        <is>
          <t>Fits (~$9,900/mo)</t>
        </is>
      </c>
      <c r="BH101" s="61" t="inlineStr">
        <is>
          <t>DTC (HP)</t>
        </is>
      </c>
      <c r="BI101" s="61" t="inlineStr">
        <is>
          <t>Downtown Core</t>
        </is>
      </c>
      <c r="BJ101" s="61" t="inlineStr">
        <is>
          <t>HP</t>
        </is>
      </c>
      <c r="BK101" s="61" t="inlineStr"/>
      <c r="BL101" s="61" t="inlineStr">
        <is>
          <t>Bar permitted</t>
        </is>
      </c>
      <c r="BM101" s="61">
        <f>INDEX('Scoring Method'!$B$358:$B$363,MATCH(BL101,'Scoring Method'!$A$358:$A$363,0))</f>
        <v/>
      </c>
    </row>
    <row r="102" ht="15" customHeight="1" s="62">
      <c r="A102" s="92" t="n">
        <v>101</v>
      </c>
      <c r="B102" s="92" t="inlineStr">
        <is>
          <t>055-23-13-004.00</t>
        </is>
      </c>
      <c r="C102" s="92" t="inlineStr">
        <is>
          <t>2445 MADISON AVE</t>
        </is>
      </c>
      <c r="D102" s="92" t="inlineStr">
        <is>
          <t>SMITH PHILLIP W &amp; JILL R</t>
        </is>
      </c>
      <c r="E102" s="92" t="inlineStr">
        <is>
          <t>10188 DECOURSEY PK</t>
        </is>
      </c>
      <c r="F102" s="92" t="inlineStr">
        <is>
          <t>RYLAND HEIGHTS</t>
        </is>
      </c>
      <c r="G102" s="92" t="inlineStr">
        <is>
          <t>KY</t>
        </is>
      </c>
      <c r="H102" s="92" t="inlineStr">
        <is>
          <t>AUTO SERVICE/REPAIR</t>
        </is>
      </c>
      <c r="I102" s="93" t="n">
        <v>9955</v>
      </c>
      <c r="J102" s="94">
        <f>I102/43560</f>
        <v/>
      </c>
      <c r="K102" s="93" t="n">
        <v>426.1</v>
      </c>
      <c r="L102" s="95">
        <f>I102/(K102^2)</f>
        <v/>
      </c>
      <c r="M102" s="92" t="inlineStr">
        <is>
          <t>Poor &lt;10k/&gt;60k</t>
        </is>
      </c>
      <c r="N102" s="92" t="inlineStr">
        <is>
          <t>A</t>
        </is>
      </c>
      <c r="O102" s="92" t="inlineStr">
        <is>
          <t>Regular .045-.055</t>
        </is>
      </c>
      <c r="P102" s="92" t="inlineStr">
        <is>
          <t>Moderate</t>
        </is>
      </c>
      <c r="Q102" s="92" t="inlineStr">
        <is>
          <t>Out-of-city KY</t>
        </is>
      </c>
      <c r="R102" s="92" t="inlineStr">
        <is>
          <t>Individual</t>
        </is>
      </c>
      <c r="S102" s="92" t="n">
        <v>1</v>
      </c>
      <c r="T102" s="96">
        <f>INDEX('Scoring Method'!$B$6:$B$9,MATCH(M102,'Scoring Method'!$A$6:$A$9,0))+INDEX('Scoring Method'!$B$12:$B$16,MATCH(N102,'Scoring Method'!$A$12:$A$16,0))+INDEX('Scoring Method'!$B$19:$B$22,MATCH(O102,'Scoring Method'!$A$19:$A$22,0))+INDEX('Scoring Method'!$B$25:$B$27,MATCH(P102,'Scoring Method'!$A$25:$A$27,0))</f>
        <v/>
      </c>
      <c r="U102" s="96">
        <f>(INDEX('Scoring Method'!$B$30:$B$33,MATCH(Q102,'Scoring Method'!$A$30:$A$33,0))+INDEX('Scoring Method'!$B$36:$B$42,MATCH(R102,'Scoring Method'!$A$36:$A$42,0))+INDEX('Scoring Method'!$B$45:$B$47,MATCH(IF(S102=1,"1",IF(S102=2,"2","3+")),'Scoring Method'!$A$45:$A$47,0)))/90*100</f>
        <v/>
      </c>
      <c r="V102" s="96">
        <f>T102*U102/100</f>
        <v/>
      </c>
      <c r="W102" s="93" t="n">
        <v>7381</v>
      </c>
      <c r="X102" s="92" t="inlineStr">
        <is>
          <t>X (minimal hazard)</t>
        </is>
      </c>
      <c r="Y102" s="93" t="n">
        <v>4350</v>
      </c>
      <c r="Z102" s="97" t="n"/>
      <c r="AA102" s="98">
        <f>MAX(0,(Y102-5000)/300)</f>
        <v/>
      </c>
      <c r="AB102" s="92" t="n"/>
      <c r="AC102" s="92" t="n"/>
      <c r="AD102" s="92" t="n"/>
      <c r="AE102" s="92" t="inlineStr">
        <is>
          <t>Oversize 6-12k</t>
        </is>
      </c>
      <c r="AF102" s="96">
        <f>INDEX('Scoring Method'!$B$63:$B$71,MATCH(AE102,'Scoring Method'!$A$63:$A$71,0))+INDEX('Scoring Method'!$B$75:$B$79,MATCH("Tight 2-5k",'Scoring Method'!$A$75:$A$79,0))+INDEX('Scoring Method'!$B$343:$B$347,MATCH(X102,'Scoring Method'!$A$343:$A$347,0))+INDEX('Scoring Method'!$B$25:$B$27,MATCH(P102,'Scoring Method'!$A$25:$A$27,0))</f>
        <v/>
      </c>
      <c r="AG102" s="96">
        <f>AF102*U102/100</f>
        <v/>
      </c>
      <c r="AH102" s="92" t="inlineStr">
        <is>
          <t>LINK-GIS + LoopNet (2026-08-02)</t>
        </is>
      </c>
      <c r="AI102" s="99" t="n">
        <v>39.06161</v>
      </c>
      <c r="AJ102" s="99" t="n">
        <v>-84.50467</v>
      </c>
      <c r="AK102" s="94" t="n">
        <v>1.73</v>
      </c>
      <c r="AL102" s="94" t="n">
        <v>2.03</v>
      </c>
      <c r="AM102" s="94" t="n">
        <v>2.79</v>
      </c>
      <c r="AN102" s="94" t="n">
        <v>1.58</v>
      </c>
      <c r="AO102" s="92" t="inlineStr">
        <is>
          <t>Outer 1.25-2mi</t>
        </is>
      </c>
      <c r="AP102" s="92" t="inlineStr">
        <is>
          <t>Open span</t>
        </is>
      </c>
      <c r="AQ102" s="92" t="inlineStr">
        <is>
          <t>Tight 2-5k</t>
        </is>
      </c>
      <c r="AR102" s="100" t="n"/>
      <c r="AS102" s="96">
        <f>ROUND(INDEX('Scoring Method'!$B$63:$B$70,MATCH(AE102,'Scoring Method'!$A$63:$A$70,0))*0.625+INDEX('Scoring Method'!$B$105:$B$113,MATCH(AP102,'Scoring Method'!$A$105:$A$113,0))+INDEX('Scoring Method'!$B$74:$B$78,MATCH(AQ102,'Scoring Method'!$A$74:$A$78,0))*0.6667+INDEX('Scoring Method'!$B$96:$B$101,MATCH(AO102,'Scoring Method'!$A$96:$A$101,0))+INDEX('Scoring Method'!$B$343:$B$347,MATCH(X102,'Scoring Method'!$A$343:$A$347,0))*0.3333+INDEX('Scoring Method'!$B$25:$B$27,MATCH(P102,'Scoring Method'!$A$25:$A$27,0))*0.3333,1)</f>
        <v/>
      </c>
      <c r="AT102" s="96">
        <f>AS102*U102/100</f>
        <v/>
      </c>
      <c r="AU102" s="92" t="inlineStr">
        <is>
          <t>Levassor Park</t>
        </is>
      </c>
      <c r="AV102" s="92" t="n">
        <v>42</v>
      </c>
      <c r="AW102" s="101" t="inlineStr">
        <is>
          <t>ESTIMATED</t>
        </is>
      </c>
      <c r="AX102" s="92" t="inlineStr">
        <is>
          <t>Elevated 35-44</t>
        </is>
      </c>
      <c r="AY102" s="96">
        <f>ROUND(INDEX('Scoring Method'!$B$132:$B$140,MATCH(AE102,'Scoring Method'!$A$132:$A$140,0))+INDEX('Scoring Method'!$B$144:$B$152,MATCH(AP102,'Scoring Method'!$A$144:$A$152,0))+INDEX('Scoring Method'!$B$156:$B$160,MATCH(AQ102,'Scoring Method'!$A$156:$A$160,0))+INDEX('Scoring Method'!$B$164:$B$169,MATCH(AO102,'Scoring Method'!$A$164:$A$169,0))+INDEX('Scoring Method'!$B$173:$B$178,MATCH(AX102,'Scoring Method'!$A$173:$A$178,0))+INDEX('Scoring Method'!$B$349:$B$353,MATCH(X102,'Scoring Method'!$A$349:$A$353,0))+INDEX('Scoring Method'!$B$188:$B$190,MATCH(P102,'Scoring Method'!$A$188:$A$190,0)),1)</f>
        <v/>
      </c>
      <c r="AZ102" s="96">
        <f>AY102*U102/100</f>
        <v/>
      </c>
      <c r="BA102" s="92" t="inlineStr">
        <is>
          <t>No chain signal</t>
        </is>
      </c>
      <c r="BB102" s="94" t="n">
        <v>1</v>
      </c>
      <c r="BC102" s="103" t="inlineStr">
        <is>
          <t>Extra small 0.15-0.25 AC</t>
        </is>
      </c>
      <c r="BD102" s="94" t="n">
        <v>0.8</v>
      </c>
      <c r="BE102" s="96">
        <f>ROUND(INDEX('Scoring Method'!$B$268:$B$276,MATCH(AE102,'Scoring Method'!$A$268:$A$276,0))+INDEX('Scoring Method'!$B$280:$B$288,MATCH(AP102,'Scoring Method'!$A$280:$A$288,0))+INDEX('Scoring Method'!$B$292:$B$296,MATCH(AQ102,'Scoring Method'!$A$292:$A$296,0))+INDEX('Scoring Method'!$B$300:$B$305,MATCH(AO102,'Scoring Method'!$A$300:$A$305,0))+INDEX('Scoring Method'!$B$309:$B$314,MATCH(AX102,'Scoring Method'!$A$309:$A$314,0))+INDEX('Scoring Method'!$B$337:$B$341,MATCH(X102,'Scoring Method'!$A$337:$A$341,0))+INDEX('Scoring Method'!$B$324:$B$326,MATCH(P102,'Scoring Method'!$A$324:$A$326,0)),1)</f>
        <v/>
      </c>
      <c r="BF102" s="96">
        <f>ROUND(INDEX('Scoring Method'!$B$268:$B$276,MATCH(AE102,'Scoring Method'!$A$268:$A$276,0))*BB102*BD102+INDEX('Scoring Method'!$B$280:$B$288,MATCH(AP102,'Scoring Method'!$A$280:$A$288,0))*BM102*BB102*BD102+INDEX('Scoring Method'!$B$292:$B$296,MATCH(AQ102,'Scoring Method'!$A$292:$A$296,0))*BD102+INDEX('Scoring Method'!$B$300:$B$305,MATCH(AO102,'Scoring Method'!$A$300:$A$305,0))*BM102*BB102+INDEX('Scoring Method'!$B$309:$B$314,MATCH(AX102,'Scoring Method'!$A$309:$A$314,0))+INDEX('Scoring Method'!$B$337:$B$341,MATCH(X102,'Scoring Method'!$A$337:$A$341,0))+INDEX('Scoring Method'!$B$324:$B$326,MATCH(P102,'Scoring Method'!$A$324:$A$326,0)),1)</f>
        <v/>
      </c>
      <c r="BG102" s="92" t="inlineStr">
        <is>
          <t>Fits (~$6,766/mo)</t>
        </is>
      </c>
      <c r="BH102" s="61" t="inlineStr">
        <is>
          <t>AUC</t>
        </is>
      </c>
      <c r="BI102" s="61" t="inlineStr">
        <is>
          <t>Auto-Urban Commercial</t>
        </is>
      </c>
      <c r="BJ102" s="61" t="inlineStr"/>
      <c r="BK102" s="61" t="inlineStr"/>
      <c r="BL102" s="61" t="inlineStr">
        <is>
          <t>Bar permitted</t>
        </is>
      </c>
      <c r="BM102" s="61">
        <f>INDEX('Scoring Method'!$B$358:$B$363,MATCH(BL102,'Scoring Method'!$A$358:$A$363,0))</f>
        <v/>
      </c>
    </row>
    <row r="103" ht="15" customHeight="1" s="62">
      <c r="A103" s="92" t="n">
        <v>102</v>
      </c>
      <c r="B103" s="92" t="inlineStr">
        <is>
          <t>054-21-12-011.00</t>
        </is>
      </c>
      <c r="C103" s="92" t="inlineStr">
        <is>
          <t>238 W PIKE ST</t>
        </is>
      </c>
      <c r="D103" s="92" t="inlineStr">
        <is>
          <t>CLAYPOOL REBECCA</t>
        </is>
      </c>
      <c r="E103" s="92" t="inlineStr">
        <is>
          <t>330 LONGMEADOW DR</t>
        </is>
      </c>
      <c r="F103" s="92" t="inlineStr">
        <is>
          <t>FT MITCHELL</t>
        </is>
      </c>
      <c r="G103" s="92" t="inlineStr">
        <is>
          <t>KY</t>
        </is>
      </c>
      <c r="H103" s="92" t="inlineStr">
        <is>
          <t>OFFICE/ENTERTAINMENT FACILITY</t>
        </is>
      </c>
      <c r="I103" s="93" t="n">
        <v>12391</v>
      </c>
      <c r="J103" s="94">
        <f>I103/43560</f>
        <v/>
      </c>
      <c r="K103" s="93" t="n">
        <v>496</v>
      </c>
      <c r="L103" s="95">
        <f>I103/(K103^2)</f>
        <v/>
      </c>
      <c r="M103" s="92" t="inlineStr">
        <is>
          <t>Marginal 10-14k/45-60k</t>
        </is>
      </c>
      <c r="N103" s="92" t="inlineStr">
        <is>
          <t>C</t>
        </is>
      </c>
      <c r="O103" s="92" t="inlineStr">
        <is>
          <t>Regular .045-.055</t>
        </is>
      </c>
      <c r="P103" s="92" t="inlineStr">
        <is>
          <t>Low</t>
        </is>
      </c>
      <c r="Q103" s="92" t="inlineStr">
        <is>
          <t>Out-of-city KY</t>
        </is>
      </c>
      <c r="R103" s="92" t="inlineStr">
        <is>
          <t>Individual</t>
        </is>
      </c>
      <c r="S103" s="92" t="n">
        <v>1</v>
      </c>
      <c r="T103" s="96">
        <f>INDEX('Scoring Method'!$B$6:$B$9,MATCH(M103,'Scoring Method'!$A$6:$A$9,0))+INDEX('Scoring Method'!$B$12:$B$16,MATCH(N103,'Scoring Method'!$A$12:$A$16,0))+INDEX('Scoring Method'!$B$19:$B$22,MATCH(O103,'Scoring Method'!$A$19:$A$22,0))+INDEX('Scoring Method'!$B$25:$B$27,MATCH(P103,'Scoring Method'!$A$25:$A$27,0))</f>
        <v/>
      </c>
      <c r="U103" s="96">
        <f>(INDEX('Scoring Method'!$B$30:$B$33,MATCH(Q103,'Scoring Method'!$A$30:$A$33,0))+INDEX('Scoring Method'!$B$36:$B$42,MATCH(R103,'Scoring Method'!$A$36:$A$42,0))+INDEX('Scoring Method'!$B$45:$B$47,MATCH(IF(S103=1,"1",IF(S103=2,"2","3+")),'Scoring Method'!$A$45:$A$47,0)))/90*100</f>
        <v/>
      </c>
      <c r="V103" s="96">
        <f>T103*U103/100</f>
        <v/>
      </c>
      <c r="W103" s="93" t="n">
        <v>21875</v>
      </c>
      <c r="X103" s="92" t="inlineStr">
        <is>
          <t>X (minimal hazard)</t>
        </is>
      </c>
      <c r="Y103" s="93" t="n">
        <v>450</v>
      </c>
      <c r="Z103" s="97">
        <f>W103/I103</f>
        <v/>
      </c>
      <c r="AA103" s="98">
        <f>MAX(0,(Y103-5000)/300)</f>
        <v/>
      </c>
      <c r="AB103" s="92" t="n"/>
      <c r="AC103" s="92" t="n">
        <v>0.36</v>
      </c>
      <c r="AD103" s="102" t="inlineStr">
        <is>
          <t>CHECK</t>
        </is>
      </c>
      <c r="AE103" s="92" t="inlineStr">
        <is>
          <t>Far oversize &gt;12k</t>
        </is>
      </c>
      <c r="AF103" s="96">
        <f>INDEX('Scoring Method'!$B$63:$B$71,MATCH(AE103,'Scoring Method'!$A$63:$A$71,0))+INDEX('Scoring Method'!$B$75:$B$79,MATCH("Insufficient &lt;2k",'Scoring Method'!$A$75:$A$79,0))+INDEX('Scoring Method'!$B$343:$B$347,MATCH(X103,'Scoring Method'!$A$343:$A$347,0))+INDEX('Scoring Method'!$B$25:$B$27,MATCH(P103,'Scoring Method'!$A$25:$A$27,0))</f>
        <v/>
      </c>
      <c r="AG103" s="96">
        <f>AF103*U103/100</f>
        <v/>
      </c>
      <c r="AH103" s="92" t="inlineStr">
        <is>
          <t>LINK-GIS + LoopNet</t>
        </is>
      </c>
      <c r="AI103" s="99" t="n">
        <v>39.08168</v>
      </c>
      <c r="AJ103" s="99" t="n">
        <v>-84.51439999999999</v>
      </c>
      <c r="AK103" s="94" t="n">
        <v>0.26</v>
      </c>
      <c r="AL103" s="94" t="n">
        <v>0.71</v>
      </c>
      <c r="AM103" s="94" t="n">
        <v>1.37</v>
      </c>
      <c r="AN103" s="94" t="n">
        <v>0.24</v>
      </c>
      <c r="AO103" s="92" t="inlineStr">
        <is>
          <t>Core &lt;=0.35mi</t>
        </is>
      </c>
      <c r="AP103" s="92" t="inlineStr">
        <is>
          <t>Purpose-built venue</t>
        </is>
      </c>
      <c r="AQ103" s="92" t="inlineStr">
        <is>
          <t>Insufficient &lt;2k</t>
        </is>
      </c>
      <c r="AR103" s="100" t="n"/>
      <c r="AS103" s="96">
        <f>ROUND(INDEX('Scoring Method'!$B$63:$B$70,MATCH(AE103,'Scoring Method'!$A$63:$A$70,0))*0.625+INDEX('Scoring Method'!$B$105:$B$113,MATCH(AP103,'Scoring Method'!$A$105:$A$113,0))+INDEX('Scoring Method'!$B$74:$B$78,MATCH(AQ103,'Scoring Method'!$A$74:$A$78,0))*0.6667+INDEX('Scoring Method'!$B$96:$B$101,MATCH(AO103,'Scoring Method'!$A$96:$A$101,0))+INDEX('Scoring Method'!$B$343:$B$347,MATCH(X103,'Scoring Method'!$A$343:$A$347,0))*0.3333+INDEX('Scoring Method'!$B$25:$B$27,MATCH(P103,'Scoring Method'!$A$25:$A$27,0))*0.3333,1)</f>
        <v/>
      </c>
      <c r="AT103" s="96">
        <f>AS103*U103/100</f>
        <v/>
      </c>
      <c r="AU103" s="92" t="inlineStr">
        <is>
          <t>MainStrasse</t>
        </is>
      </c>
      <c r="AV103" s="92" t="n">
        <v>75</v>
      </c>
      <c r="AW103" s="92" t="inlineStr">
        <is>
          <t>Sourced</t>
        </is>
      </c>
      <c r="AX103" s="92" t="inlineStr">
        <is>
          <t>Safe 70-79</t>
        </is>
      </c>
      <c r="AY103" s="96">
        <f>ROUND(INDEX('Scoring Method'!$B$132:$B$140,MATCH(AE103,'Scoring Method'!$A$132:$A$140,0))+INDEX('Scoring Method'!$B$144:$B$152,MATCH(AP103,'Scoring Method'!$A$144:$A$152,0))+INDEX('Scoring Method'!$B$156:$B$160,MATCH(AQ103,'Scoring Method'!$A$156:$A$160,0))+INDEX('Scoring Method'!$B$164:$B$169,MATCH(AO103,'Scoring Method'!$A$164:$A$169,0))+INDEX('Scoring Method'!$B$173:$B$178,MATCH(AX103,'Scoring Method'!$A$173:$A$178,0))+INDEX('Scoring Method'!$B$349:$B$353,MATCH(X103,'Scoring Method'!$A$349:$A$353,0))+INDEX('Scoring Method'!$B$188:$B$190,MATCH(P103,'Scoring Method'!$A$188:$A$190,0)),1)</f>
        <v/>
      </c>
      <c r="AZ103" s="96">
        <f>AY103*U103/100</f>
        <v/>
      </c>
      <c r="BA103" s="92" t="inlineStr">
        <is>
          <t>No chain signal</t>
        </is>
      </c>
      <c r="BB103" s="94" t="n">
        <v>1</v>
      </c>
      <c r="BC103" s="102" t="inlineStr">
        <is>
          <t>Small 0.25-0.35 AC</t>
        </is>
      </c>
      <c r="BD103" s="94" t="n">
        <v>0.9</v>
      </c>
      <c r="BE103" s="96">
        <f>ROUND(INDEX('Scoring Method'!$B$268:$B$276,MATCH(AE103,'Scoring Method'!$A$268:$A$276,0))+INDEX('Scoring Method'!$B$280:$B$288,MATCH(AP103,'Scoring Method'!$A$280:$A$288,0))+INDEX('Scoring Method'!$B$292:$B$296,MATCH(AQ103,'Scoring Method'!$A$292:$A$296,0))+INDEX('Scoring Method'!$B$300:$B$305,MATCH(AO103,'Scoring Method'!$A$300:$A$305,0))+INDEX('Scoring Method'!$B$309:$B$314,MATCH(AX103,'Scoring Method'!$A$309:$A$314,0))+INDEX('Scoring Method'!$B$337:$B$341,MATCH(X103,'Scoring Method'!$A$337:$A$341,0))+INDEX('Scoring Method'!$B$324:$B$326,MATCH(P103,'Scoring Method'!$A$324:$A$326,0)),1)</f>
        <v/>
      </c>
      <c r="BF103" s="96">
        <f>ROUND(INDEX('Scoring Method'!$B$268:$B$276,MATCH(AE103,'Scoring Method'!$A$268:$A$276,0))*BB103*BD103+INDEX('Scoring Method'!$B$280:$B$288,MATCH(AP103,'Scoring Method'!$A$280:$A$288,0))*BM103*BB103*BD103+INDEX('Scoring Method'!$B$292:$B$296,MATCH(AQ103,'Scoring Method'!$A$292:$A$296,0))*BD103+INDEX('Scoring Method'!$B$300:$B$305,MATCH(AO103,'Scoring Method'!$A$300:$A$305,0))*BM103*BB103+INDEX('Scoring Method'!$B$309:$B$314,MATCH(AX103,'Scoring Method'!$A$309:$A$314,0))+INDEX('Scoring Method'!$B$337:$B$341,MATCH(X103,'Scoring Method'!$A$337:$A$341,0))+INDEX('Scoring Method'!$B$324:$B$326,MATCH(P103,'Scoring Method'!$A$324:$A$326,0)),1)</f>
        <v/>
      </c>
      <c r="BG103" s="102" t="inlineStr">
        <is>
          <t>Over (~$20,052/mo)</t>
        </is>
      </c>
      <c r="BH103" s="61" t="inlineStr">
        <is>
          <t>DTC (HP)</t>
        </is>
      </c>
      <c r="BI103" s="61" t="inlineStr">
        <is>
          <t>Downtown Core</t>
        </is>
      </c>
      <c r="BJ103" s="61" t="inlineStr">
        <is>
          <t>HP</t>
        </is>
      </c>
      <c r="BK103" s="61" t="inlineStr"/>
      <c r="BL103" s="61" t="inlineStr">
        <is>
          <t>Bar permitted</t>
        </is>
      </c>
      <c r="BM103" s="61">
        <f>INDEX('Scoring Method'!$B$358:$B$363,MATCH(BL103,'Scoring Method'!$A$358:$A$363,0))</f>
        <v/>
      </c>
    </row>
    <row r="104" ht="15" customHeight="1" s="62">
      <c r="A104" s="92" t="n">
        <v>103</v>
      </c>
      <c r="B104" s="92" t="inlineStr">
        <is>
          <t>056-32-07-002.00</t>
        </is>
      </c>
      <c r="C104" s="92" t="inlineStr">
        <is>
          <t>3601 LINCOLN AVE</t>
        </is>
      </c>
      <c r="D104" s="92" t="inlineStr">
        <is>
          <t>DIOCESE OF COVINGTON</t>
        </is>
      </c>
      <c r="E104" s="92" t="inlineStr">
        <is>
          <t>3612 CHURCH ST</t>
        </is>
      </c>
      <c r="F104" s="92" t="inlineStr">
        <is>
          <t>COVINGTON</t>
        </is>
      </c>
      <c r="G104" s="92" t="inlineStr">
        <is>
          <t>KY</t>
        </is>
      </c>
      <c r="H104" s="92" t="inlineStr">
        <is>
          <t>PAVED LOT</t>
        </is>
      </c>
      <c r="I104" s="93" t="n">
        <v>14992</v>
      </c>
      <c r="J104" s="94">
        <f>I104/43560</f>
        <v/>
      </c>
      <c r="K104" s="93" t="n">
        <v>499.9</v>
      </c>
      <c r="L104" s="95">
        <f>I104/(K104^2)</f>
        <v/>
      </c>
      <c r="M104" s="92" t="inlineStr">
        <is>
          <t>Near 14-18k/32-45k</t>
        </is>
      </c>
      <c r="N104" s="92" t="inlineStr">
        <is>
          <t>D</t>
        </is>
      </c>
      <c r="O104" s="92" t="inlineStr">
        <is>
          <t>Compact &gt;=.055</t>
        </is>
      </c>
      <c r="P104" s="92" t="inlineStr">
        <is>
          <t>Low</t>
        </is>
      </c>
      <c r="Q104" s="92" t="inlineStr">
        <is>
          <t>Local absentee</t>
        </is>
      </c>
      <c r="R104" s="92" t="inlineStr">
        <is>
          <t>Religious</t>
        </is>
      </c>
      <c r="S104" s="92" t="n">
        <v>4</v>
      </c>
      <c r="T104" s="96">
        <f>INDEX('Scoring Method'!$B$6:$B$9,MATCH(M104,'Scoring Method'!$A$6:$A$9,0))+INDEX('Scoring Method'!$B$12:$B$16,MATCH(N104,'Scoring Method'!$A$12:$A$16,0))+INDEX('Scoring Method'!$B$19:$B$22,MATCH(O104,'Scoring Method'!$A$19:$A$22,0))+INDEX('Scoring Method'!$B$25:$B$27,MATCH(P104,'Scoring Method'!$A$25:$A$27,0))</f>
        <v/>
      </c>
      <c r="U104" s="96">
        <f>(INDEX('Scoring Method'!$B$30:$B$33,MATCH(Q104,'Scoring Method'!$A$30:$A$33,0))+INDEX('Scoring Method'!$B$36:$B$42,MATCH(R104,'Scoring Method'!$A$36:$A$42,0))+INDEX('Scoring Method'!$B$45:$B$47,MATCH(IF(S104=1,"1",IF(S104=2,"2","3+")),'Scoring Method'!$A$45:$A$47,0)))/90*100</f>
        <v/>
      </c>
      <c r="V104" s="96">
        <f>T104*U104/100</f>
        <v/>
      </c>
      <c r="W104" s="93" t="n">
        <v>17</v>
      </c>
      <c r="X104" s="92" t="inlineStr">
        <is>
          <t>X (minimal hazard)</t>
        </is>
      </c>
      <c r="Y104" s="93" t="n">
        <v>14675</v>
      </c>
      <c r="Z104" s="97" t="n"/>
      <c r="AA104" s="98">
        <f>MAX(0,(Y104-5000)/300)</f>
        <v/>
      </c>
      <c r="AB104" s="92" t="n"/>
      <c r="AC104" s="92" t="n"/>
      <c r="AD104" s="92" t="n"/>
      <c r="AE104" s="92" t="inlineStr">
        <is>
          <t>Too small &lt;1.2k</t>
        </is>
      </c>
      <c r="AF104" s="96">
        <f>INDEX('Scoring Method'!$B$63:$B$71,MATCH(AE104,'Scoring Method'!$A$63:$A$71,0))+INDEX('Scoring Method'!$B$75:$B$79,MATCH("Good 8-15k",'Scoring Method'!$A$75:$A$79,0))+INDEX('Scoring Method'!$B$343:$B$347,MATCH(X104,'Scoring Method'!$A$343:$A$347,0))+INDEX('Scoring Method'!$B$25:$B$27,MATCH(P104,'Scoring Method'!$A$25:$A$27,0))</f>
        <v/>
      </c>
      <c r="AG104" s="96">
        <f>AF104*U104/100</f>
        <v/>
      </c>
      <c r="AH104" s="92" t="inlineStr">
        <is>
          <t>LINK-GIS only</t>
        </is>
      </c>
      <c r="AI104" s="99" t="n">
        <v>39.0484</v>
      </c>
      <c r="AJ104" s="99" t="n">
        <v>-84.50088</v>
      </c>
      <c r="AK104" s="94" t="n">
        <v>2.65</v>
      </c>
      <c r="AL104" s="94" t="n">
        <v>2.96</v>
      </c>
      <c r="AM104" s="94" t="n">
        <v>3.72</v>
      </c>
      <c r="AN104" s="94" t="n">
        <v>2.52</v>
      </c>
      <c r="AO104" s="92" t="inlineStr">
        <is>
          <t>Distant 2-3mi</t>
        </is>
      </c>
      <c r="AP104" s="92" t="inlineStr">
        <is>
          <t>Lot / minimal bldg</t>
        </is>
      </c>
      <c r="AQ104" s="92" t="inlineStr">
        <is>
          <t>Good 8-15k</t>
        </is>
      </c>
      <c r="AR104" s="100" t="n"/>
      <c r="AS104" s="96">
        <f>ROUND(INDEX('Scoring Method'!$B$63:$B$70,MATCH(AE104,'Scoring Method'!$A$63:$A$70,0))*0.625+INDEX('Scoring Method'!$B$105:$B$113,MATCH(AP104,'Scoring Method'!$A$105:$A$113,0))+INDEX('Scoring Method'!$B$74:$B$78,MATCH(AQ104,'Scoring Method'!$A$74:$A$78,0))*0.6667+INDEX('Scoring Method'!$B$96:$B$101,MATCH(AO104,'Scoring Method'!$A$96:$A$101,0))+INDEX('Scoring Method'!$B$343:$B$347,MATCH(X104,'Scoring Method'!$A$343:$A$347,0))*0.3333+INDEX('Scoring Method'!$B$25:$B$27,MATCH(P104,'Scoring Method'!$A$25:$A$27,0))*0.3333,1)</f>
        <v/>
      </c>
      <c r="AT104" s="96">
        <f>AS104*U104/100</f>
        <v/>
      </c>
      <c r="AU104" s="92" t="inlineStr">
        <is>
          <t>Latonia</t>
        </is>
      </c>
      <c r="AV104" s="92" t="n">
        <v>78</v>
      </c>
      <c r="AW104" s="92" t="inlineStr">
        <is>
          <t>Sourced</t>
        </is>
      </c>
      <c r="AX104" s="92" t="inlineStr">
        <is>
          <t>Safe 70-79</t>
        </is>
      </c>
      <c r="AY104" s="96">
        <f>ROUND(INDEX('Scoring Method'!$B$132:$B$140,MATCH(AE104,'Scoring Method'!$A$132:$A$140,0))+INDEX('Scoring Method'!$B$144:$B$152,MATCH(AP104,'Scoring Method'!$A$144:$A$152,0))+INDEX('Scoring Method'!$B$156:$B$160,MATCH(AQ104,'Scoring Method'!$A$156:$A$160,0))+INDEX('Scoring Method'!$B$164:$B$169,MATCH(AO104,'Scoring Method'!$A$164:$A$169,0))+INDEX('Scoring Method'!$B$173:$B$178,MATCH(AX104,'Scoring Method'!$A$173:$A$178,0))+INDEX('Scoring Method'!$B$349:$B$353,MATCH(X104,'Scoring Method'!$A$349:$A$353,0))+INDEX('Scoring Method'!$B$188:$B$190,MATCH(P104,'Scoring Method'!$A$188:$A$190,0)),1)</f>
        <v/>
      </c>
      <c r="AZ104" s="96">
        <f>AY104*U104/100</f>
        <v/>
      </c>
      <c r="BA104" s="92" t="inlineStr">
        <is>
          <t>No chain signal</t>
        </is>
      </c>
      <c r="BB104" s="94" t="n">
        <v>1</v>
      </c>
      <c r="BC104" s="102" t="inlineStr">
        <is>
          <t>Small 0.25-0.35 AC</t>
        </is>
      </c>
      <c r="BD104" s="94" t="n">
        <v>0.9</v>
      </c>
      <c r="BE104" s="96">
        <f>ROUND(INDEX('Scoring Method'!$B$268:$B$276,MATCH(AE104,'Scoring Method'!$A$268:$A$276,0))+INDEX('Scoring Method'!$B$280:$B$288,MATCH(AP104,'Scoring Method'!$A$280:$A$288,0))+INDEX('Scoring Method'!$B$292:$B$296,MATCH(AQ104,'Scoring Method'!$A$292:$A$296,0))+INDEX('Scoring Method'!$B$300:$B$305,MATCH(AO104,'Scoring Method'!$A$300:$A$305,0))+INDEX('Scoring Method'!$B$309:$B$314,MATCH(AX104,'Scoring Method'!$A$309:$A$314,0))+INDEX('Scoring Method'!$B$337:$B$341,MATCH(X104,'Scoring Method'!$A$337:$A$341,0))+INDEX('Scoring Method'!$B$324:$B$326,MATCH(P104,'Scoring Method'!$A$324:$A$326,0)),1)</f>
        <v/>
      </c>
      <c r="BF104" s="96">
        <f>ROUND(INDEX('Scoring Method'!$B$268:$B$276,MATCH(AE104,'Scoring Method'!$A$268:$A$276,0))*BB104*BD104+INDEX('Scoring Method'!$B$280:$B$288,MATCH(AP104,'Scoring Method'!$A$280:$A$288,0))*BM104*BB104*BD104+INDEX('Scoring Method'!$B$292:$B$296,MATCH(AQ104,'Scoring Method'!$A$292:$A$296,0))*BD104+INDEX('Scoring Method'!$B$300:$B$305,MATCH(AO104,'Scoring Method'!$A$300:$A$305,0))*BM104*BB104+INDEX('Scoring Method'!$B$309:$B$314,MATCH(AX104,'Scoring Method'!$A$309:$A$314,0))+INDEX('Scoring Method'!$B$337:$B$341,MATCH(X104,'Scoring Method'!$A$337:$A$341,0))+INDEX('Scoring Method'!$B$324:$B$326,MATCH(P104,'Scoring Method'!$A$324:$A$326,0)),1)</f>
        <v/>
      </c>
      <c r="BG104" s="92" t="inlineStr">
        <is>
          <t>Fits (~$16/mo)</t>
        </is>
      </c>
      <c r="BH104" s="61" t="inlineStr">
        <is>
          <t>SU</t>
        </is>
      </c>
      <c r="BI104" s="61" t="inlineStr">
        <is>
          <t>Semi-Urban Residential</t>
        </is>
      </c>
      <c r="BJ104" s="61" t="inlineStr"/>
      <c r="BK104" s="61" t="inlineStr"/>
      <c r="BL104" s="61" t="inlineStr">
        <is>
          <t>SU corner unverified</t>
        </is>
      </c>
      <c r="BM104" s="61">
        <f>INDEX('Scoring Method'!$B$358:$B$363,MATCH(BL104,'Scoring Method'!$A$358:$A$363,0))</f>
        <v/>
      </c>
    </row>
    <row r="105" ht="15" customHeight="1" s="62">
      <c r="A105" s="92" t="n">
        <v>104</v>
      </c>
      <c r="B105" s="92" t="inlineStr">
        <is>
          <t>040-44-06-013.00</t>
        </is>
      </c>
      <c r="C105" s="92" t="inlineStr">
        <is>
          <t>643 LAUREL ST</t>
        </is>
      </c>
      <c r="D105" s="92" t="inlineStr">
        <is>
          <t>STANDARD CLUB OF COVINGTON</t>
        </is>
      </c>
      <c r="E105" s="92" t="inlineStr">
        <is>
          <t>643 LAUREL ST</t>
        </is>
      </c>
      <c r="F105" s="92" t="inlineStr">
        <is>
          <t>COVINGTON</t>
        </is>
      </c>
      <c r="G105" s="92" t="inlineStr">
        <is>
          <t>KY</t>
        </is>
      </c>
      <c r="H105" s="92" t="inlineStr">
        <is>
          <t>ORGANIZATIONAL MEETING HALL</t>
        </is>
      </c>
      <c r="I105" s="93" t="n">
        <v>15222</v>
      </c>
      <c r="J105" s="94">
        <f>I105/43560</f>
        <v/>
      </c>
      <c r="K105" s="93" t="n">
        <v>516.6</v>
      </c>
      <c r="L105" s="95">
        <f>I105/(K105^2)</f>
        <v/>
      </c>
      <c r="M105" s="92" t="inlineStr">
        <is>
          <t>Near 14-18k/32-45k</t>
        </is>
      </c>
      <c r="N105" s="92" t="inlineStr">
        <is>
          <t>B</t>
        </is>
      </c>
      <c r="O105" s="92" t="inlineStr">
        <is>
          <t>Compact &gt;=.055</t>
        </is>
      </c>
      <c r="P105" s="92" t="inlineStr">
        <is>
          <t>Low</t>
        </is>
      </c>
      <c r="Q105" s="92" t="inlineStr">
        <is>
          <t>Owner-occupied</t>
        </is>
      </c>
      <c r="R105" s="92" t="inlineStr">
        <is>
          <t>Fraternal/Club</t>
        </is>
      </c>
      <c r="S105" s="92" t="n">
        <v>2</v>
      </c>
      <c r="T105" s="96">
        <f>INDEX('Scoring Method'!$B$6:$B$9,MATCH(M105,'Scoring Method'!$A$6:$A$9,0))+INDEX('Scoring Method'!$B$12:$B$16,MATCH(N105,'Scoring Method'!$A$12:$A$16,0))+INDEX('Scoring Method'!$B$19:$B$22,MATCH(O105,'Scoring Method'!$A$19:$A$22,0))+INDEX('Scoring Method'!$B$25:$B$27,MATCH(P105,'Scoring Method'!$A$25:$A$27,0))</f>
        <v/>
      </c>
      <c r="U105" s="96">
        <f>(INDEX('Scoring Method'!$B$30:$B$33,MATCH(Q105,'Scoring Method'!$A$30:$A$33,0))+INDEX('Scoring Method'!$B$36:$B$42,MATCH(R105,'Scoring Method'!$A$36:$A$42,0))+INDEX('Scoring Method'!$B$45:$B$47,MATCH(IF(S105=1,"1",IF(S105=2,"2","3+")),'Scoring Method'!$A$45:$A$47,0)))/90*100</f>
        <v/>
      </c>
      <c r="V105" s="96">
        <f>T105*U105/100</f>
        <v/>
      </c>
      <c r="W105" s="93" t="n">
        <v>3418</v>
      </c>
      <c r="X105" s="92" t="inlineStr">
        <is>
          <t>X (minimal hazard)</t>
        </is>
      </c>
      <c r="Y105" s="93" t="n">
        <v>7675</v>
      </c>
      <c r="Z105" s="97" t="n"/>
      <c r="AA105" s="98">
        <f>MAX(0,(Y105-5000)/300)</f>
        <v/>
      </c>
      <c r="AB105" s="92" t="n"/>
      <c r="AC105" s="92" t="n"/>
      <c r="AD105" s="92" t="n"/>
      <c r="AE105" s="92" t="inlineStr">
        <is>
          <t>Above 2.5-4k</t>
        </is>
      </c>
      <c r="AF105" s="96">
        <f>INDEX('Scoring Method'!$B$63:$B$71,MATCH(AE105,'Scoring Method'!$A$63:$A$71,0))+INDEX('Scoring Method'!$B$75:$B$79,MATCH("Adequate 5-8k",'Scoring Method'!$A$75:$A$79,0))+INDEX('Scoring Method'!$B$343:$B$347,MATCH(X105,'Scoring Method'!$A$343:$A$347,0))+INDEX('Scoring Method'!$B$25:$B$27,MATCH(P105,'Scoring Method'!$A$25:$A$27,0))</f>
        <v/>
      </c>
      <c r="AG105" s="96">
        <f>AF105*U105/100</f>
        <v/>
      </c>
      <c r="AH105" s="92" t="inlineStr">
        <is>
          <t>LINK-GIS + LoopNet (2026-08-02)</t>
        </is>
      </c>
      <c r="AI105" s="99" t="n">
        <v>39.07799</v>
      </c>
      <c r="AJ105" s="99" t="n">
        <v>-84.52191000000001</v>
      </c>
      <c r="AK105" s="94" t="n">
        <v>0.49</v>
      </c>
      <c r="AL105" s="94" t="n">
        <v>1.15</v>
      </c>
      <c r="AM105" s="94" t="n">
        <v>1.7</v>
      </c>
      <c r="AN105" s="94" t="n">
        <v>0.49</v>
      </c>
      <c r="AO105" s="92" t="inlineStr">
        <is>
          <t>Near 0.35-0.75mi</t>
        </is>
      </c>
      <c r="AP105" s="92" t="inlineStr">
        <is>
          <t>Assembly hall</t>
        </is>
      </c>
      <c r="AQ105" s="92" t="inlineStr">
        <is>
          <t>Adequate 5-8k</t>
        </is>
      </c>
      <c r="AR105" s="100" t="n"/>
      <c r="AS105" s="96">
        <f>ROUND(INDEX('Scoring Method'!$B$63:$B$70,MATCH(AE105,'Scoring Method'!$A$63:$A$70,0))*0.625+INDEX('Scoring Method'!$B$105:$B$113,MATCH(AP105,'Scoring Method'!$A$105:$A$113,0))+INDEX('Scoring Method'!$B$74:$B$78,MATCH(AQ105,'Scoring Method'!$A$74:$A$78,0))*0.6667+INDEX('Scoring Method'!$B$96:$B$101,MATCH(AO105,'Scoring Method'!$A$96:$A$101,0))+INDEX('Scoring Method'!$B$343:$B$347,MATCH(X105,'Scoring Method'!$A$343:$A$347,0))*0.3333+INDEX('Scoring Method'!$B$25:$B$27,MATCH(P105,'Scoring Method'!$A$25:$A$27,0))*0.3333,1)</f>
        <v/>
      </c>
      <c r="AT105" s="96">
        <f>AS105*U105/100</f>
        <v/>
      </c>
      <c r="AU105" s="92" t="inlineStr">
        <is>
          <t>Lewisburg</t>
        </is>
      </c>
      <c r="AV105" s="92" t="n">
        <v>65</v>
      </c>
      <c r="AW105" s="92" t="inlineStr">
        <is>
          <t>Sourced</t>
        </is>
      </c>
      <c r="AX105" s="92" t="inlineStr">
        <is>
          <t>Moderate 60-69</t>
        </is>
      </c>
      <c r="AY105" s="96">
        <f>ROUND(INDEX('Scoring Method'!$B$132:$B$140,MATCH(AE105,'Scoring Method'!$A$132:$A$140,0))+INDEX('Scoring Method'!$B$144:$B$152,MATCH(AP105,'Scoring Method'!$A$144:$A$152,0))+INDEX('Scoring Method'!$B$156:$B$160,MATCH(AQ105,'Scoring Method'!$A$156:$A$160,0))+INDEX('Scoring Method'!$B$164:$B$169,MATCH(AO105,'Scoring Method'!$A$164:$A$169,0))+INDEX('Scoring Method'!$B$173:$B$178,MATCH(AX105,'Scoring Method'!$A$173:$A$178,0))+INDEX('Scoring Method'!$B$349:$B$353,MATCH(X105,'Scoring Method'!$A$349:$A$353,0))+INDEX('Scoring Method'!$B$188:$B$190,MATCH(P105,'Scoring Method'!$A$188:$A$190,0)),1)</f>
        <v/>
      </c>
      <c r="AZ105" s="96">
        <f>AY105*U105/100</f>
        <v/>
      </c>
      <c r="BA105" s="92" t="inlineStr">
        <is>
          <t>Owner-occupied operator</t>
        </is>
      </c>
      <c r="BB105" s="94" t="n">
        <v>0.8</v>
      </c>
      <c r="BC105" s="102" t="inlineStr">
        <is>
          <t>Small 0.25-0.35 AC</t>
        </is>
      </c>
      <c r="BD105" s="94" t="n">
        <v>0.9</v>
      </c>
      <c r="BE105" s="96">
        <f>ROUND(INDEX('Scoring Method'!$B$268:$B$276,MATCH(AE105,'Scoring Method'!$A$268:$A$276,0))+INDEX('Scoring Method'!$B$280:$B$288,MATCH(AP105,'Scoring Method'!$A$280:$A$288,0))+INDEX('Scoring Method'!$B$292:$B$296,MATCH(AQ105,'Scoring Method'!$A$292:$A$296,0))+INDEX('Scoring Method'!$B$300:$B$305,MATCH(AO105,'Scoring Method'!$A$300:$A$305,0))+INDEX('Scoring Method'!$B$309:$B$314,MATCH(AX105,'Scoring Method'!$A$309:$A$314,0))+INDEX('Scoring Method'!$B$337:$B$341,MATCH(X105,'Scoring Method'!$A$337:$A$341,0))+INDEX('Scoring Method'!$B$324:$B$326,MATCH(P105,'Scoring Method'!$A$324:$A$326,0)),1)</f>
        <v/>
      </c>
      <c r="BF105" s="96">
        <f>ROUND(INDEX('Scoring Method'!$B$268:$B$276,MATCH(AE105,'Scoring Method'!$A$268:$A$276,0))*BB105*BD105+INDEX('Scoring Method'!$B$280:$B$288,MATCH(AP105,'Scoring Method'!$A$280:$A$288,0))*BM105*BB105*BD105+INDEX('Scoring Method'!$B$292:$B$296,MATCH(AQ105,'Scoring Method'!$A$292:$A$296,0))*BD105+INDEX('Scoring Method'!$B$300:$B$305,MATCH(AO105,'Scoring Method'!$A$300:$A$305,0))*BM105*BB105+INDEX('Scoring Method'!$B$309:$B$314,MATCH(AX105,'Scoring Method'!$A$309:$A$314,0))+INDEX('Scoring Method'!$B$337:$B$341,MATCH(X105,'Scoring Method'!$A$337:$A$341,0))+INDEX('Scoring Method'!$B$324:$B$326,MATCH(P105,'Scoring Method'!$A$324:$A$326,0)),1)</f>
        <v/>
      </c>
      <c r="BG105" s="92" t="inlineStr">
        <is>
          <t>Fits (~$3,133/mo)</t>
        </is>
      </c>
      <c r="BH105" s="61" t="inlineStr">
        <is>
          <t>SU</t>
        </is>
      </c>
      <c r="BI105" s="61" t="inlineStr">
        <is>
          <t>Semi-Urban Residential</t>
        </is>
      </c>
      <c r="BJ105" s="61" t="inlineStr"/>
      <c r="BK105" s="61" t="inlineStr"/>
      <c r="BL105" s="61" t="inlineStr">
        <is>
          <t>SU corner unverified</t>
        </is>
      </c>
      <c r="BM105" s="61">
        <f>INDEX('Scoring Method'!$B$358:$B$363,MATCH(BL105,'Scoring Method'!$A$358:$A$363,0))</f>
        <v/>
      </c>
    </row>
    <row r="106" ht="15" customHeight="1" s="62">
      <c r="A106" s="92" t="n">
        <v>105</v>
      </c>
      <c r="B106" s="92" t="inlineStr">
        <is>
          <t>054-22-02-002.00</t>
        </is>
      </c>
      <c r="C106" s="92" t="inlineStr">
        <is>
          <t>447 W PIKE ST</t>
        </is>
      </c>
      <c r="D106" s="92" t="inlineStr">
        <is>
          <t>COVINGTON TURNER SOCIETY INC</t>
        </is>
      </c>
      <c r="E106" s="92" t="inlineStr">
        <is>
          <t>447 PIKE ST</t>
        </is>
      </c>
      <c r="F106" s="92" t="inlineStr">
        <is>
          <t>COVINGTON</t>
        </is>
      </c>
      <c r="G106" s="92" t="inlineStr">
        <is>
          <t>KY</t>
        </is>
      </c>
      <c r="H106" s="92" t="inlineStr">
        <is>
          <t>ORGANIZATIONAL MEETING HALL</t>
        </is>
      </c>
      <c r="I106" s="93" t="n">
        <v>14693</v>
      </c>
      <c r="J106" s="94">
        <f>I106/43560</f>
        <v/>
      </c>
      <c r="K106" s="93" t="n">
        <v>514.9</v>
      </c>
      <c r="L106" s="95">
        <f>I106/(K106^2)</f>
        <v/>
      </c>
      <c r="M106" s="92" t="inlineStr">
        <is>
          <t>Near 14-18k/32-45k</t>
        </is>
      </c>
      <c r="N106" s="92" t="inlineStr">
        <is>
          <t>B</t>
        </is>
      </c>
      <c r="O106" s="92" t="inlineStr">
        <is>
          <t>Compact &gt;=.055</t>
        </is>
      </c>
      <c r="P106" s="92" t="inlineStr">
        <is>
          <t>Low</t>
        </is>
      </c>
      <c r="Q106" s="92" t="inlineStr">
        <is>
          <t>Owner-occupied</t>
        </is>
      </c>
      <c r="R106" s="92" t="inlineStr">
        <is>
          <t>Fraternal/Club</t>
        </is>
      </c>
      <c r="S106" s="92" t="n">
        <v>2</v>
      </c>
      <c r="T106" s="96">
        <f>INDEX('Scoring Method'!$B$6:$B$9,MATCH(M106,'Scoring Method'!$A$6:$A$9,0))+INDEX('Scoring Method'!$B$12:$B$16,MATCH(N106,'Scoring Method'!$A$12:$A$16,0))+INDEX('Scoring Method'!$B$19:$B$22,MATCH(O106,'Scoring Method'!$A$19:$A$22,0))+INDEX('Scoring Method'!$B$25:$B$27,MATCH(P106,'Scoring Method'!$A$25:$A$27,0))</f>
        <v/>
      </c>
      <c r="U106" s="96">
        <f>(INDEX('Scoring Method'!$B$30:$B$33,MATCH(Q106,'Scoring Method'!$A$30:$A$33,0))+INDEX('Scoring Method'!$B$36:$B$42,MATCH(R106,'Scoring Method'!$A$36:$A$42,0))+INDEX('Scoring Method'!$B$45:$B$47,MATCH(IF(S106=1,"1",IF(S106=2,"2","3+")),'Scoring Method'!$A$45:$A$47,0)))/90*100</f>
        <v/>
      </c>
      <c r="V106" s="96">
        <f>T106*U106/100</f>
        <v/>
      </c>
      <c r="W106" s="93" t="n">
        <v>9552</v>
      </c>
      <c r="X106" s="92" t="inlineStr">
        <is>
          <t>X (minimal hazard)</t>
        </is>
      </c>
      <c r="Y106" s="93" t="n">
        <v>5475</v>
      </c>
      <c r="Z106" s="97" t="n"/>
      <c r="AA106" s="98">
        <f>MAX(0,(Y106-5000)/300)</f>
        <v/>
      </c>
      <c r="AB106" s="92" t="n"/>
      <c r="AC106" s="92" t="n"/>
      <c r="AD106" s="92" t="n"/>
      <c r="AE106" s="92" t="inlineStr">
        <is>
          <t>Oversize 6-12k</t>
        </is>
      </c>
      <c r="AF106" s="96">
        <f>INDEX('Scoring Method'!$B$63:$B$71,MATCH(AE106,'Scoring Method'!$A$63:$A$71,0))+INDEX('Scoring Method'!$B$75:$B$79,MATCH("Adequate 5-8k",'Scoring Method'!$A$75:$A$79,0))+INDEX('Scoring Method'!$B$343:$B$347,MATCH(X106,'Scoring Method'!$A$343:$A$347,0))+INDEX('Scoring Method'!$B$25:$B$27,MATCH(P106,'Scoring Method'!$A$25:$A$27,0))</f>
        <v/>
      </c>
      <c r="AG106" s="96">
        <f>AF106*U106/100</f>
        <v/>
      </c>
      <c r="AH106" s="92" t="inlineStr">
        <is>
          <t>LINK-GIS + LoopNet (2026-08-03)</t>
        </is>
      </c>
      <c r="AI106" s="99" t="n">
        <v>39.07781</v>
      </c>
      <c r="AJ106" s="99" t="n">
        <v>-84.51742</v>
      </c>
      <c r="AK106" s="94" t="n">
        <v>0.46</v>
      </c>
      <c r="AL106" s="94" t="n">
        <v>1.02</v>
      </c>
      <c r="AM106" s="94" t="n">
        <v>1.66</v>
      </c>
      <c r="AN106" s="94" t="n">
        <v>0.46</v>
      </c>
      <c r="AO106" s="92" t="inlineStr">
        <is>
          <t>Near 0.35-0.75mi</t>
        </is>
      </c>
      <c r="AP106" s="92" t="inlineStr">
        <is>
          <t>Assembly hall</t>
        </is>
      </c>
      <c r="AQ106" s="92" t="inlineStr">
        <is>
          <t>Adequate 5-8k</t>
        </is>
      </c>
      <c r="AR106" s="100" t="n"/>
      <c r="AS106" s="96">
        <f>ROUND(INDEX('Scoring Method'!$B$63:$B$70,MATCH(AE106,'Scoring Method'!$A$63:$A$70,0))*0.625+INDEX('Scoring Method'!$B$105:$B$113,MATCH(AP106,'Scoring Method'!$A$105:$A$113,0))+INDEX('Scoring Method'!$B$74:$B$78,MATCH(AQ106,'Scoring Method'!$A$74:$A$78,0))*0.6667+INDEX('Scoring Method'!$B$96:$B$101,MATCH(AO106,'Scoring Method'!$A$96:$A$101,0))+INDEX('Scoring Method'!$B$343:$B$347,MATCH(X106,'Scoring Method'!$A$343:$A$347,0))*0.3333+INDEX('Scoring Method'!$B$25:$B$27,MATCH(P106,'Scoring Method'!$A$25:$A$27,0))*0.3333,1)</f>
        <v/>
      </c>
      <c r="AT106" s="96">
        <f>AS106*U106/100</f>
        <v/>
      </c>
      <c r="AU106" s="92" t="inlineStr">
        <is>
          <t>Old Seminary Square</t>
        </is>
      </c>
      <c r="AV106" s="92" t="n">
        <v>35</v>
      </c>
      <c r="AW106" s="101" t="inlineStr">
        <is>
          <t>ESTIMATED</t>
        </is>
      </c>
      <c r="AX106" s="92" t="inlineStr">
        <is>
          <t>Elevated 35-44</t>
        </is>
      </c>
      <c r="AY106" s="96">
        <f>ROUND(INDEX('Scoring Method'!$B$132:$B$140,MATCH(AE106,'Scoring Method'!$A$132:$A$140,0))+INDEX('Scoring Method'!$B$144:$B$152,MATCH(AP106,'Scoring Method'!$A$144:$A$152,0))+INDEX('Scoring Method'!$B$156:$B$160,MATCH(AQ106,'Scoring Method'!$A$156:$A$160,0))+INDEX('Scoring Method'!$B$164:$B$169,MATCH(AO106,'Scoring Method'!$A$164:$A$169,0))+INDEX('Scoring Method'!$B$173:$B$178,MATCH(AX106,'Scoring Method'!$A$173:$A$178,0))+INDEX('Scoring Method'!$B$349:$B$353,MATCH(X106,'Scoring Method'!$A$349:$A$353,0))+INDEX('Scoring Method'!$B$188:$B$190,MATCH(P106,'Scoring Method'!$A$188:$A$190,0)),1)</f>
        <v/>
      </c>
      <c r="AZ106" s="96">
        <f>AY106*U106/100</f>
        <v/>
      </c>
      <c r="BA106" s="92" t="inlineStr">
        <is>
          <t>Owner-occupied operator</t>
        </is>
      </c>
      <c r="BB106" s="94" t="n">
        <v>0.8</v>
      </c>
      <c r="BC106" s="102" t="inlineStr">
        <is>
          <t>Small 0.25-0.35 AC</t>
        </is>
      </c>
      <c r="BD106" s="94" t="n">
        <v>0.9</v>
      </c>
      <c r="BE106" s="96">
        <f>ROUND(INDEX('Scoring Method'!$B$268:$B$276,MATCH(AE106,'Scoring Method'!$A$268:$A$276,0))+INDEX('Scoring Method'!$B$280:$B$288,MATCH(AP106,'Scoring Method'!$A$280:$A$288,0))+INDEX('Scoring Method'!$B$292:$B$296,MATCH(AQ106,'Scoring Method'!$A$292:$A$296,0))+INDEX('Scoring Method'!$B$300:$B$305,MATCH(AO106,'Scoring Method'!$A$300:$A$305,0))+INDEX('Scoring Method'!$B$309:$B$314,MATCH(AX106,'Scoring Method'!$A$309:$A$314,0))+INDEX('Scoring Method'!$B$337:$B$341,MATCH(X106,'Scoring Method'!$A$337:$A$341,0))+INDEX('Scoring Method'!$B$324:$B$326,MATCH(P106,'Scoring Method'!$A$324:$A$326,0)),1)</f>
        <v/>
      </c>
      <c r="BF106" s="96">
        <f>ROUND(INDEX('Scoring Method'!$B$268:$B$276,MATCH(AE106,'Scoring Method'!$A$268:$A$276,0))*BB106*BD106+INDEX('Scoring Method'!$B$280:$B$288,MATCH(AP106,'Scoring Method'!$A$280:$A$288,0))*BM106*BB106*BD106+INDEX('Scoring Method'!$B$292:$B$296,MATCH(AQ106,'Scoring Method'!$A$292:$A$296,0))*BD106+INDEX('Scoring Method'!$B$300:$B$305,MATCH(AO106,'Scoring Method'!$A$300:$A$305,0))*BM106*BB106+INDEX('Scoring Method'!$B$309:$B$314,MATCH(AX106,'Scoring Method'!$A$309:$A$314,0))+INDEX('Scoring Method'!$B$337:$B$341,MATCH(X106,'Scoring Method'!$A$337:$A$341,0))+INDEX('Scoring Method'!$B$324:$B$326,MATCH(P106,'Scoring Method'!$A$324:$A$326,0)),1)</f>
        <v/>
      </c>
      <c r="BG106" s="92" t="inlineStr">
        <is>
          <t>Fits (~$8,756/mo)</t>
        </is>
      </c>
      <c r="BH106" s="61" t="inlineStr">
        <is>
          <t>TUMU (HP)</t>
        </is>
      </c>
      <c r="BI106" s="61" t="inlineStr">
        <is>
          <t>Traditional Urban Mixed Use</t>
        </is>
      </c>
      <c r="BJ106" s="61" t="inlineStr">
        <is>
          <t>HP</t>
        </is>
      </c>
      <c r="BK106" s="61" t="inlineStr"/>
      <c r="BL106" s="61" t="inlineStr">
        <is>
          <t>Bar permitted</t>
        </is>
      </c>
      <c r="BM106" s="61">
        <f>INDEX('Scoring Method'!$B$358:$B$363,MATCH(BL106,'Scoring Method'!$A$358:$A$363,0))</f>
        <v/>
      </c>
    </row>
    <row r="107" ht="15" customHeight="1" s="62">
      <c r="A107" s="92" t="n">
        <v>106</v>
      </c>
      <c r="B107" s="92" t="inlineStr">
        <is>
          <t>056-14-11-001.00</t>
        </is>
      </c>
      <c r="C107" s="92" t="inlineStr">
        <is>
          <t>3801 WINSTON AVE</t>
        </is>
      </c>
      <c r="D107" s="92" t="inlineStr">
        <is>
          <t>HOME CORP OF LAT POST 203</t>
        </is>
      </c>
      <c r="E107" s="92" t="inlineStr">
        <is>
          <t>PO BOX 15036</t>
        </is>
      </c>
      <c r="F107" s="92" t="inlineStr">
        <is>
          <t>COVINGTON</t>
        </is>
      </c>
      <c r="G107" s="92" t="inlineStr">
        <is>
          <t>KY</t>
        </is>
      </c>
      <c r="H107" s="92" t="inlineStr">
        <is>
          <t>ORGANIZATIONAL MEETING HALL</t>
        </is>
      </c>
      <c r="I107" s="93" t="n">
        <v>41344</v>
      </c>
      <c r="J107" s="94">
        <f>I107/43560</f>
        <v/>
      </c>
      <c r="K107" s="93" t="n">
        <v>911</v>
      </c>
      <c r="L107" s="95">
        <f>I107/(K107^2)</f>
        <v/>
      </c>
      <c r="M107" s="92" t="inlineStr">
        <is>
          <t>Near 14-18k/32-45k</t>
        </is>
      </c>
      <c r="N107" s="92" t="inlineStr">
        <is>
          <t>B</t>
        </is>
      </c>
      <c r="O107" s="92" t="inlineStr">
        <is>
          <t>Regular .045-.055</t>
        </is>
      </c>
      <c r="P107" s="92" t="inlineStr">
        <is>
          <t>Low</t>
        </is>
      </c>
      <c r="Q107" s="92" t="inlineStr">
        <is>
          <t>Local absentee</t>
        </is>
      </c>
      <c r="R107" s="92" t="inlineStr">
        <is>
          <t>Fraternal/Club</t>
        </is>
      </c>
      <c r="S107" s="92" t="n">
        <v>1</v>
      </c>
      <c r="T107" s="96">
        <f>INDEX('Scoring Method'!$B$6:$B$9,MATCH(M107,'Scoring Method'!$A$6:$A$9,0))+INDEX('Scoring Method'!$B$12:$B$16,MATCH(N107,'Scoring Method'!$A$12:$A$16,0))+INDEX('Scoring Method'!$B$19:$B$22,MATCH(O107,'Scoring Method'!$A$19:$A$22,0))+INDEX('Scoring Method'!$B$25:$B$27,MATCH(P107,'Scoring Method'!$A$25:$A$27,0))</f>
        <v/>
      </c>
      <c r="U107" s="96">
        <f>(INDEX('Scoring Method'!$B$30:$B$33,MATCH(Q107,'Scoring Method'!$A$30:$A$33,0))+INDEX('Scoring Method'!$B$36:$B$42,MATCH(R107,'Scoring Method'!$A$36:$A$42,0))+INDEX('Scoring Method'!$B$45:$B$47,MATCH(IF(S107=1,"1",IF(S107=2,"2","3+")),'Scoring Method'!$A$45:$A$47,0)))/90*100</f>
        <v/>
      </c>
      <c r="V107" s="96">
        <f>T107*U107/100</f>
        <v/>
      </c>
      <c r="W107" s="93" t="n">
        <v>8700</v>
      </c>
      <c r="X107" s="92" t="inlineStr">
        <is>
          <t>X (minimal hazard)</t>
        </is>
      </c>
      <c r="Y107" s="93" t="n">
        <v>30700</v>
      </c>
      <c r="Z107" s="97" t="n"/>
      <c r="AA107" s="98">
        <f>MAX(0,(Y107-5000)/300)</f>
        <v/>
      </c>
      <c r="AB107" s="92" t="n"/>
      <c r="AC107" s="92" t="n"/>
      <c r="AD107" s="92" t="n"/>
      <c r="AE107" s="92" t="inlineStr">
        <is>
          <t>Oversize 6-12k</t>
        </is>
      </c>
      <c r="AF107" s="96">
        <f>INDEX('Scoring Method'!$B$63:$B$71,MATCH(AE107,'Scoring Method'!$A$63:$A$71,0))+INDEX('Scoring Method'!$B$75:$B$79,MATCH("Ample &gt;=15k",'Scoring Method'!$A$75:$A$79,0))+INDEX('Scoring Method'!$B$343:$B$347,MATCH(X107,'Scoring Method'!$A$343:$A$347,0))+INDEX('Scoring Method'!$B$25:$B$27,MATCH(P107,'Scoring Method'!$A$25:$A$27,0))</f>
        <v/>
      </c>
      <c r="AG107" s="96">
        <f>AF107*U107/100</f>
        <v/>
      </c>
      <c r="AH107" s="92" t="inlineStr">
        <is>
          <t>LINK-GIS + LoopNet (2026-08-02)</t>
        </is>
      </c>
      <c r="AI107" s="99" t="n">
        <v>39.04615</v>
      </c>
      <c r="AJ107" s="99" t="n">
        <v>-84.50418000000001</v>
      </c>
      <c r="AK107" s="94" t="n">
        <v>2.74</v>
      </c>
      <c r="AL107" s="94" t="n">
        <v>3.1</v>
      </c>
      <c r="AM107" s="94" t="n">
        <v>3.85</v>
      </c>
      <c r="AN107" s="94" t="n">
        <v>2.64</v>
      </c>
      <c r="AO107" s="92" t="inlineStr">
        <is>
          <t>Distant 2-3mi</t>
        </is>
      </c>
      <c r="AP107" s="92" t="inlineStr">
        <is>
          <t>Assembly hall</t>
        </is>
      </c>
      <c r="AQ107" s="92" t="inlineStr">
        <is>
          <t>Ample &gt;=15k</t>
        </is>
      </c>
      <c r="AR107" s="100" t="n"/>
      <c r="AS107" s="96">
        <f>ROUND(INDEX('Scoring Method'!$B$63:$B$70,MATCH(AE107,'Scoring Method'!$A$63:$A$70,0))*0.625+INDEX('Scoring Method'!$B$105:$B$113,MATCH(AP107,'Scoring Method'!$A$105:$A$113,0))+INDEX('Scoring Method'!$B$74:$B$78,MATCH(AQ107,'Scoring Method'!$A$74:$A$78,0))*0.6667+INDEX('Scoring Method'!$B$96:$B$101,MATCH(AO107,'Scoring Method'!$A$96:$A$101,0))+INDEX('Scoring Method'!$B$343:$B$347,MATCH(X107,'Scoring Method'!$A$343:$A$347,0))*0.3333+INDEX('Scoring Method'!$B$25:$B$27,MATCH(P107,'Scoring Method'!$A$25:$A$27,0))*0.3333,1)</f>
        <v/>
      </c>
      <c r="AT107" s="96">
        <f>AS107*U107/100</f>
        <v/>
      </c>
      <c r="AU107" s="92" t="inlineStr">
        <is>
          <t>Latonia</t>
        </is>
      </c>
      <c r="AV107" s="92" t="n">
        <v>78</v>
      </c>
      <c r="AW107" s="92" t="inlineStr">
        <is>
          <t>Sourced</t>
        </is>
      </c>
      <c r="AX107" s="92" t="inlineStr">
        <is>
          <t>Safe 70-79</t>
        </is>
      </c>
      <c r="AY107" s="96">
        <f>ROUND(INDEX('Scoring Method'!$B$132:$B$140,MATCH(AE107,'Scoring Method'!$A$132:$A$140,0))+INDEX('Scoring Method'!$B$144:$B$152,MATCH(AP107,'Scoring Method'!$A$144:$A$152,0))+INDEX('Scoring Method'!$B$156:$B$160,MATCH(AQ107,'Scoring Method'!$A$156:$A$160,0))+INDEX('Scoring Method'!$B$164:$B$169,MATCH(AO107,'Scoring Method'!$A$164:$A$169,0))+INDEX('Scoring Method'!$B$173:$B$178,MATCH(AX107,'Scoring Method'!$A$173:$A$178,0))+INDEX('Scoring Method'!$B$349:$B$353,MATCH(X107,'Scoring Method'!$A$349:$A$353,0))+INDEX('Scoring Method'!$B$188:$B$190,MATCH(P107,'Scoring Method'!$A$188:$A$190,0)),1)</f>
        <v/>
      </c>
      <c r="AZ107" s="96">
        <f>AY107*U107/100</f>
        <v/>
      </c>
      <c r="BA107" s="92" t="inlineStr">
        <is>
          <t>No chain signal</t>
        </is>
      </c>
      <c r="BB107" s="94" t="n">
        <v>1</v>
      </c>
      <c r="BC107" s="102" t="inlineStr">
        <is>
          <t>Large 0.75-1.25 AC</t>
        </is>
      </c>
      <c r="BD107" s="94" t="n">
        <v>0.9</v>
      </c>
      <c r="BE107" s="96">
        <f>ROUND(INDEX('Scoring Method'!$B$268:$B$276,MATCH(AE107,'Scoring Method'!$A$268:$A$276,0))+INDEX('Scoring Method'!$B$280:$B$288,MATCH(AP107,'Scoring Method'!$A$280:$A$288,0))+INDEX('Scoring Method'!$B$292:$B$296,MATCH(AQ107,'Scoring Method'!$A$292:$A$296,0))+INDEX('Scoring Method'!$B$300:$B$305,MATCH(AO107,'Scoring Method'!$A$300:$A$305,0))+INDEX('Scoring Method'!$B$309:$B$314,MATCH(AX107,'Scoring Method'!$A$309:$A$314,0))+INDEX('Scoring Method'!$B$337:$B$341,MATCH(X107,'Scoring Method'!$A$337:$A$341,0))+INDEX('Scoring Method'!$B$324:$B$326,MATCH(P107,'Scoring Method'!$A$324:$A$326,0)),1)</f>
        <v/>
      </c>
      <c r="BF107" s="96">
        <f>ROUND(INDEX('Scoring Method'!$B$268:$B$276,MATCH(AE107,'Scoring Method'!$A$268:$A$276,0))*BB107*BD107+INDEX('Scoring Method'!$B$280:$B$288,MATCH(AP107,'Scoring Method'!$A$280:$A$288,0))*BM107*BB107*BD107+INDEX('Scoring Method'!$B$292:$B$296,MATCH(AQ107,'Scoring Method'!$A$292:$A$296,0))*BD107+INDEX('Scoring Method'!$B$300:$B$305,MATCH(AO107,'Scoring Method'!$A$300:$A$305,0))*BM107*BB107+INDEX('Scoring Method'!$B$309:$B$314,MATCH(AX107,'Scoring Method'!$A$309:$A$314,0))+INDEX('Scoring Method'!$B$337:$B$341,MATCH(X107,'Scoring Method'!$A$337:$A$341,0))+INDEX('Scoring Method'!$B$324:$B$326,MATCH(P107,'Scoring Method'!$A$324:$A$326,0)),1)</f>
        <v/>
      </c>
      <c r="BG107" s="92" t="inlineStr">
        <is>
          <t>Fits (~$7,975/mo)</t>
        </is>
      </c>
      <c r="BH107" s="61" t="inlineStr">
        <is>
          <t>TUMU</t>
        </is>
      </c>
      <c r="BI107" s="61" t="inlineStr">
        <is>
          <t>Traditional Urban Mixed Use</t>
        </is>
      </c>
      <c r="BJ107" s="61" t="inlineStr"/>
      <c r="BK107" s="61" t="inlineStr"/>
      <c r="BL107" s="61" t="inlineStr">
        <is>
          <t>Bar permitted</t>
        </is>
      </c>
      <c r="BM107" s="61">
        <f>INDEX('Scoring Method'!$B$358:$B$363,MATCH(BL107,'Scoring Method'!$A$358:$A$363,0))</f>
        <v/>
      </c>
    </row>
    <row r="108" ht="15" customHeight="1" s="62">
      <c r="A108" s="92" t="n">
        <v>107</v>
      </c>
      <c r="B108" s="92" t="inlineStr">
        <is>
          <t>055-13-02-010.00</t>
        </is>
      </c>
      <c r="C108" s="92" t="inlineStr">
        <is>
          <t>1850 AUGUSTINE ST</t>
        </is>
      </c>
      <c r="D108" s="92" t="inlineStr">
        <is>
          <t>JRW HOLDINGS LLC</t>
        </is>
      </c>
      <c r="E108" s="92" t="inlineStr">
        <is>
          <t>1850 AUGUSTINE ST STE C</t>
        </is>
      </c>
      <c r="F108" s="92" t="inlineStr">
        <is>
          <t>COVINGTON</t>
        </is>
      </c>
      <c r="G108" s="92" t="inlineStr">
        <is>
          <t>KY</t>
        </is>
      </c>
      <c r="H108" s="92" t="inlineStr">
        <is>
          <t>WAREHOUSE 1-20000 SQ FT</t>
        </is>
      </c>
      <c r="I108" s="93" t="n">
        <v>66354</v>
      </c>
      <c r="J108" s="94">
        <f>I108/43560</f>
        <v/>
      </c>
      <c r="K108" s="93" t="n">
        <v>1088.9</v>
      </c>
      <c r="L108" s="95">
        <f>I108/(K108^2)</f>
        <v/>
      </c>
      <c r="M108" s="92" t="inlineStr">
        <is>
          <t>Poor &lt;10k/&gt;60k</t>
        </is>
      </c>
      <c r="N108" s="92" t="inlineStr">
        <is>
          <t>A</t>
        </is>
      </c>
      <c r="O108" s="92" t="inlineStr">
        <is>
          <t>Compact &gt;=.055</t>
        </is>
      </c>
      <c r="P108" s="92" t="inlineStr">
        <is>
          <t>Low</t>
        </is>
      </c>
      <c r="Q108" s="92" t="inlineStr">
        <is>
          <t>Owner-occupied</t>
        </is>
      </c>
      <c r="R108" s="92" t="inlineStr">
        <is>
          <t>Passive vehicle</t>
        </is>
      </c>
      <c r="S108" s="92" t="n">
        <v>3</v>
      </c>
      <c r="T108" s="96">
        <f>INDEX('Scoring Method'!$B$6:$B$9,MATCH(M108,'Scoring Method'!$A$6:$A$9,0))+INDEX('Scoring Method'!$B$12:$B$16,MATCH(N108,'Scoring Method'!$A$12:$A$16,0))+INDEX('Scoring Method'!$B$19:$B$22,MATCH(O108,'Scoring Method'!$A$19:$A$22,0))+INDEX('Scoring Method'!$B$25:$B$27,MATCH(P108,'Scoring Method'!$A$25:$A$27,0))</f>
        <v/>
      </c>
      <c r="U108" s="96">
        <f>(INDEX('Scoring Method'!$B$30:$B$33,MATCH(Q108,'Scoring Method'!$A$30:$A$33,0))+INDEX('Scoring Method'!$B$36:$B$42,MATCH(R108,'Scoring Method'!$A$36:$A$42,0))+INDEX('Scoring Method'!$B$45:$B$47,MATCH(IF(S108=1,"1",IF(S108=2,"2","3+")),'Scoring Method'!$A$45:$A$47,0)))/90*100</f>
        <v/>
      </c>
      <c r="V108" s="96">
        <f>T108*U108/100</f>
        <v/>
      </c>
      <c r="W108" s="93" t="n">
        <v>20060</v>
      </c>
      <c r="X108" s="92" t="inlineStr">
        <is>
          <t>X (minimal hazard)</t>
        </is>
      </c>
      <c r="Y108" s="93" t="n">
        <v>45575</v>
      </c>
      <c r="Z108" s="97" t="n"/>
      <c r="AA108" s="98">
        <f>MAX(0,(Y108-5000)/300)</f>
        <v/>
      </c>
      <c r="AB108" s="92" t="n"/>
      <c r="AC108" s="92" t="n"/>
      <c r="AD108" s="92" t="n"/>
      <c r="AE108" s="92" t="inlineStr">
        <is>
          <t>Far oversize &gt;12k</t>
        </is>
      </c>
      <c r="AF108" s="96">
        <f>INDEX('Scoring Method'!$B$63:$B$71,MATCH(AE108,'Scoring Method'!$A$63:$A$71,0))+INDEX('Scoring Method'!$B$75:$B$79,MATCH("Ample &gt;=15k",'Scoring Method'!$A$75:$A$79,0))+INDEX('Scoring Method'!$B$343:$B$347,MATCH(X108,'Scoring Method'!$A$343:$A$347,0))+INDEX('Scoring Method'!$B$25:$B$27,MATCH(P108,'Scoring Method'!$A$25:$A$27,0))</f>
        <v/>
      </c>
      <c r="AG108" s="96">
        <f>AF108*U108/100</f>
        <v/>
      </c>
      <c r="AH108" s="92" t="inlineStr">
        <is>
          <t>LINK-GIS + LoopNet (2026-08-02)</t>
        </is>
      </c>
      <c r="AI108" s="99" t="n">
        <v>39.06766</v>
      </c>
      <c r="AJ108" s="99" t="n">
        <v>-84.50883</v>
      </c>
      <c r="AK108" s="94" t="n">
        <v>1.25</v>
      </c>
      <c r="AL108" s="94" t="n">
        <v>1.6</v>
      </c>
      <c r="AM108" s="94" t="n">
        <v>2.35</v>
      </c>
      <c r="AN108" s="94" t="n">
        <v>1.13</v>
      </c>
      <c r="AO108" s="92" t="inlineStr">
        <is>
          <t>Fringe 0.75-1.25mi</t>
        </is>
      </c>
      <c r="AP108" s="92" t="inlineStr">
        <is>
          <t>Open span</t>
        </is>
      </c>
      <c r="AQ108" s="92" t="inlineStr">
        <is>
          <t>Ample &gt;=15k</t>
        </is>
      </c>
      <c r="AR108" s="100" t="n"/>
      <c r="AS108" s="96">
        <f>ROUND(INDEX('Scoring Method'!$B$63:$B$70,MATCH(AE108,'Scoring Method'!$A$63:$A$70,0))*0.625+INDEX('Scoring Method'!$B$105:$B$113,MATCH(AP108,'Scoring Method'!$A$105:$A$113,0))+INDEX('Scoring Method'!$B$74:$B$78,MATCH(AQ108,'Scoring Method'!$A$74:$A$78,0))*0.6667+INDEX('Scoring Method'!$B$96:$B$101,MATCH(AO108,'Scoring Method'!$A$96:$A$101,0))+INDEX('Scoring Method'!$B$343:$B$347,MATCH(X108,'Scoring Method'!$A$343:$A$347,0))*0.3333+INDEX('Scoring Method'!$B$25:$B$27,MATCH(P108,'Scoring Method'!$A$25:$A$27,0))*0.3333,1)</f>
        <v/>
      </c>
      <c r="AT108" s="96">
        <f>AS108*U108/100</f>
        <v/>
      </c>
      <c r="AU108" s="92" t="inlineStr">
        <is>
          <t>Levassor Park</t>
        </is>
      </c>
      <c r="AV108" s="92" t="n">
        <v>42</v>
      </c>
      <c r="AW108" s="101" t="inlineStr">
        <is>
          <t>ESTIMATED</t>
        </is>
      </c>
      <c r="AX108" s="92" t="inlineStr">
        <is>
          <t>Elevated 35-44</t>
        </is>
      </c>
      <c r="AY108" s="96">
        <f>ROUND(INDEX('Scoring Method'!$B$132:$B$140,MATCH(AE108,'Scoring Method'!$A$132:$A$140,0))+INDEX('Scoring Method'!$B$144:$B$152,MATCH(AP108,'Scoring Method'!$A$144:$A$152,0))+INDEX('Scoring Method'!$B$156:$B$160,MATCH(AQ108,'Scoring Method'!$A$156:$A$160,0))+INDEX('Scoring Method'!$B$164:$B$169,MATCH(AO108,'Scoring Method'!$A$164:$A$169,0))+INDEX('Scoring Method'!$B$173:$B$178,MATCH(AX108,'Scoring Method'!$A$173:$A$178,0))+INDEX('Scoring Method'!$B$349:$B$353,MATCH(X108,'Scoring Method'!$A$349:$A$353,0))+INDEX('Scoring Method'!$B$188:$B$190,MATCH(P108,'Scoring Method'!$A$188:$A$190,0)),1)</f>
        <v/>
      </c>
      <c r="AZ108" s="96">
        <f>AY108*U108/100</f>
        <v/>
      </c>
      <c r="BA108" s="92" t="inlineStr">
        <is>
          <t>Owner-occupied operator</t>
        </is>
      </c>
      <c r="BB108" s="94" t="n">
        <v>0.8</v>
      </c>
      <c r="BC108" s="103" t="inlineStr">
        <is>
          <t>Oversized &gt;1.25 AC</t>
        </is>
      </c>
      <c r="BD108" s="94" t="n">
        <v>0.65</v>
      </c>
      <c r="BE108" s="96">
        <f>ROUND(INDEX('Scoring Method'!$B$268:$B$276,MATCH(AE108,'Scoring Method'!$A$268:$A$276,0))+INDEX('Scoring Method'!$B$280:$B$288,MATCH(AP108,'Scoring Method'!$A$280:$A$288,0))+INDEX('Scoring Method'!$B$292:$B$296,MATCH(AQ108,'Scoring Method'!$A$292:$A$296,0))+INDEX('Scoring Method'!$B$300:$B$305,MATCH(AO108,'Scoring Method'!$A$300:$A$305,0))+INDEX('Scoring Method'!$B$309:$B$314,MATCH(AX108,'Scoring Method'!$A$309:$A$314,0))+INDEX('Scoring Method'!$B$337:$B$341,MATCH(X108,'Scoring Method'!$A$337:$A$341,0))+INDEX('Scoring Method'!$B$324:$B$326,MATCH(P108,'Scoring Method'!$A$324:$A$326,0)),1)</f>
        <v/>
      </c>
      <c r="BF108" s="96">
        <f>ROUND(INDEX('Scoring Method'!$B$268:$B$276,MATCH(AE108,'Scoring Method'!$A$268:$A$276,0))*BB108*BD108+INDEX('Scoring Method'!$B$280:$B$288,MATCH(AP108,'Scoring Method'!$A$280:$A$288,0))*BM108*BB108*BD108+INDEX('Scoring Method'!$B$292:$B$296,MATCH(AQ108,'Scoring Method'!$A$292:$A$296,0))*BD108+INDEX('Scoring Method'!$B$300:$B$305,MATCH(AO108,'Scoring Method'!$A$300:$A$305,0))*BM108*BB108+INDEX('Scoring Method'!$B$309:$B$314,MATCH(AX108,'Scoring Method'!$A$309:$A$314,0))+INDEX('Scoring Method'!$B$337:$B$341,MATCH(X108,'Scoring Method'!$A$337:$A$341,0))+INDEX('Scoring Method'!$B$324:$B$326,MATCH(P108,'Scoring Method'!$A$324:$A$326,0)),1)</f>
        <v/>
      </c>
      <c r="BG108" s="102" t="inlineStr">
        <is>
          <t>Over (~$18,388/mo)</t>
        </is>
      </c>
      <c r="BH108" s="61" t="inlineStr">
        <is>
          <t>LI</t>
        </is>
      </c>
      <c r="BI108" s="61" t="inlineStr">
        <is>
          <t>Limited Industrial</t>
        </is>
      </c>
      <c r="BJ108" s="61" t="inlineStr"/>
      <c r="BK108" s="61" t="inlineStr"/>
      <c r="BL108" s="61" t="inlineStr">
        <is>
          <t>Bar prohibited, alt-path</t>
        </is>
      </c>
      <c r="BM108" s="61">
        <f>INDEX('Scoring Method'!$B$358:$B$363,MATCH(BL108,'Scoring Method'!$A$358:$A$363,0))</f>
        <v/>
      </c>
    </row>
    <row r="109" ht="15" customHeight="1" s="62">
      <c r="A109" s="92" t="n">
        <v>108</v>
      </c>
      <c r="B109" s="92" t="inlineStr">
        <is>
          <t>054-22-08-003.00</t>
        </is>
      </c>
      <c r="C109" s="92" t="inlineStr">
        <is>
          <t>419 W PIKE ST</t>
        </is>
      </c>
      <c r="D109" s="92" t="inlineStr">
        <is>
          <t>RICHARD G KEMPER INC</t>
        </is>
      </c>
      <c r="E109" s="92" t="inlineStr">
        <is>
          <t>411 PIKE ST</t>
        </is>
      </c>
      <c r="F109" s="92" t="inlineStr">
        <is>
          <t>COVINGTON</t>
        </is>
      </c>
      <c r="G109" s="92" t="inlineStr">
        <is>
          <t>KY</t>
        </is>
      </c>
      <c r="H109" s="92" t="inlineStr">
        <is>
          <t>WHSE DISTRIBUTION</t>
        </is>
      </c>
      <c r="I109" s="93" t="n">
        <v>27385</v>
      </c>
      <c r="J109" s="94">
        <f>I109/43560</f>
        <v/>
      </c>
      <c r="K109" s="93" t="n">
        <v>891</v>
      </c>
      <c r="L109" s="95">
        <f>I109/(K109^2)</f>
        <v/>
      </c>
      <c r="M109" s="92" t="inlineStr">
        <is>
          <t>Ideal 18-32k</t>
        </is>
      </c>
      <c r="N109" s="92" t="inlineStr">
        <is>
          <t>B</t>
        </is>
      </c>
      <c r="O109" s="92" t="inlineStr">
        <is>
          <t>Irregular &lt;.035</t>
        </is>
      </c>
      <c r="P109" s="92" t="inlineStr">
        <is>
          <t>Low</t>
        </is>
      </c>
      <c r="Q109" s="92" t="inlineStr">
        <is>
          <t>Local absentee</t>
        </is>
      </c>
      <c r="R109" s="92" t="inlineStr">
        <is>
          <t>Operating entity</t>
        </is>
      </c>
      <c r="S109" s="92" t="n">
        <v>4</v>
      </c>
      <c r="T109" s="96">
        <f>INDEX('Scoring Method'!$B$6:$B$9,MATCH(M109,'Scoring Method'!$A$6:$A$9,0))+INDEX('Scoring Method'!$B$12:$B$16,MATCH(N109,'Scoring Method'!$A$12:$A$16,0))+INDEX('Scoring Method'!$B$19:$B$22,MATCH(O109,'Scoring Method'!$A$19:$A$22,0))+INDEX('Scoring Method'!$B$25:$B$27,MATCH(P109,'Scoring Method'!$A$25:$A$27,0))</f>
        <v/>
      </c>
      <c r="U109" s="96">
        <f>(INDEX('Scoring Method'!$B$30:$B$33,MATCH(Q109,'Scoring Method'!$A$30:$A$33,0))+INDEX('Scoring Method'!$B$36:$B$42,MATCH(R109,'Scoring Method'!$A$36:$A$42,0))+INDEX('Scoring Method'!$B$45:$B$47,MATCH(IF(S109=1,"1",IF(S109=2,"2","3+")),'Scoring Method'!$A$45:$A$47,0)))/90*100</f>
        <v/>
      </c>
      <c r="V109" s="96">
        <f>T109*U109/100</f>
        <v/>
      </c>
      <c r="W109" s="93" t="n">
        <v>11496</v>
      </c>
      <c r="X109" s="92" t="inlineStr">
        <is>
          <t>X (minimal hazard)</t>
        </is>
      </c>
      <c r="Y109" s="93" t="n">
        <v>14875</v>
      </c>
      <c r="Z109" s="97">
        <f>W109/I109</f>
        <v/>
      </c>
      <c r="AA109" s="98">
        <f>MAX(0,(Y109-5000)/300)</f>
        <v/>
      </c>
      <c r="AB109" s="92" t="n"/>
      <c r="AC109" s="92" t="n">
        <v>0.31</v>
      </c>
      <c r="AD109" s="102" t="inlineStr">
        <is>
          <t>CHECK</t>
        </is>
      </c>
      <c r="AE109" s="92" t="inlineStr">
        <is>
          <t>Oversize 6-12k</t>
        </is>
      </c>
      <c r="AF109" s="96">
        <f>INDEX('Scoring Method'!$B$63:$B$71,MATCH(AE109,'Scoring Method'!$A$63:$A$71,0))+INDEX('Scoring Method'!$B$75:$B$79,MATCH("Good 8-15k",'Scoring Method'!$A$75:$A$79,0))+INDEX('Scoring Method'!$B$343:$B$347,MATCH(X109,'Scoring Method'!$A$343:$A$347,0))+INDEX('Scoring Method'!$B$25:$B$27,MATCH(P109,'Scoring Method'!$A$25:$A$27,0))</f>
        <v/>
      </c>
      <c r="AG109" s="96">
        <f>AF109*U109/100</f>
        <v/>
      </c>
      <c r="AH109" s="92" t="inlineStr">
        <is>
          <t>LINK-GIS + LoopNet</t>
        </is>
      </c>
      <c r="AI109" s="99" t="n">
        <v>39.07829</v>
      </c>
      <c r="AJ109" s="99" t="n">
        <v>-84.51645000000001</v>
      </c>
      <c r="AK109" s="94" t="n">
        <v>0.43</v>
      </c>
      <c r="AL109" s="94" t="n">
        <v>0.97</v>
      </c>
      <c r="AM109" s="94" t="n">
        <v>1.62</v>
      </c>
      <c r="AN109" s="94" t="n">
        <v>0.43</v>
      </c>
      <c r="AO109" s="92" t="inlineStr">
        <is>
          <t>Near 0.35-0.75mi</t>
        </is>
      </c>
      <c r="AP109" s="92" t="inlineStr">
        <is>
          <t>Open span</t>
        </is>
      </c>
      <c r="AQ109" s="92" t="inlineStr">
        <is>
          <t>Good 8-15k</t>
        </is>
      </c>
      <c r="AR109" s="100" t="n"/>
      <c r="AS109" s="96">
        <f>ROUND(INDEX('Scoring Method'!$B$63:$B$70,MATCH(AE109,'Scoring Method'!$A$63:$A$70,0))*0.625+INDEX('Scoring Method'!$B$105:$B$113,MATCH(AP109,'Scoring Method'!$A$105:$A$113,0))+INDEX('Scoring Method'!$B$74:$B$78,MATCH(AQ109,'Scoring Method'!$A$74:$A$78,0))*0.6667+INDEX('Scoring Method'!$B$96:$B$101,MATCH(AO109,'Scoring Method'!$A$96:$A$101,0))+INDEX('Scoring Method'!$B$343:$B$347,MATCH(X109,'Scoring Method'!$A$343:$A$347,0))*0.3333+INDEX('Scoring Method'!$B$25:$B$27,MATCH(P109,'Scoring Method'!$A$25:$A$27,0))*0.3333,1)</f>
        <v/>
      </c>
      <c r="AT109" s="96">
        <f>AS109*U109/100</f>
        <v/>
      </c>
      <c r="AU109" s="92" t="inlineStr">
        <is>
          <t>Old Seminary Square</t>
        </is>
      </c>
      <c r="AV109" s="92" t="n">
        <v>35</v>
      </c>
      <c r="AW109" s="101" t="inlineStr">
        <is>
          <t>ESTIMATED</t>
        </is>
      </c>
      <c r="AX109" s="92" t="inlineStr">
        <is>
          <t>Elevated 35-44</t>
        </is>
      </c>
      <c r="AY109" s="96">
        <f>ROUND(INDEX('Scoring Method'!$B$132:$B$140,MATCH(AE109,'Scoring Method'!$A$132:$A$140,0))+INDEX('Scoring Method'!$B$144:$B$152,MATCH(AP109,'Scoring Method'!$A$144:$A$152,0))+INDEX('Scoring Method'!$B$156:$B$160,MATCH(AQ109,'Scoring Method'!$A$156:$A$160,0))+INDEX('Scoring Method'!$B$164:$B$169,MATCH(AO109,'Scoring Method'!$A$164:$A$169,0))+INDEX('Scoring Method'!$B$173:$B$178,MATCH(AX109,'Scoring Method'!$A$173:$A$178,0))+INDEX('Scoring Method'!$B$349:$B$353,MATCH(X109,'Scoring Method'!$A$349:$A$353,0))+INDEX('Scoring Method'!$B$188:$B$190,MATCH(P109,'Scoring Method'!$A$188:$A$190,0)),1)</f>
        <v/>
      </c>
      <c r="AZ109" s="96">
        <f>AY109*U109/100</f>
        <v/>
      </c>
      <c r="BA109" s="92" t="inlineStr">
        <is>
          <t>No chain signal</t>
        </is>
      </c>
      <c r="BB109" s="94" t="n">
        <v>1</v>
      </c>
      <c r="BC109" s="92" t="inlineStr">
        <is>
          <t>Right-sized 0.35-0.75 AC</t>
        </is>
      </c>
      <c r="BD109" s="94" t="n">
        <v>1</v>
      </c>
      <c r="BE109" s="96">
        <f>ROUND(INDEX('Scoring Method'!$B$268:$B$276,MATCH(AE109,'Scoring Method'!$A$268:$A$276,0))+INDEX('Scoring Method'!$B$280:$B$288,MATCH(AP109,'Scoring Method'!$A$280:$A$288,0))+INDEX('Scoring Method'!$B$292:$B$296,MATCH(AQ109,'Scoring Method'!$A$292:$A$296,0))+INDEX('Scoring Method'!$B$300:$B$305,MATCH(AO109,'Scoring Method'!$A$300:$A$305,0))+INDEX('Scoring Method'!$B$309:$B$314,MATCH(AX109,'Scoring Method'!$A$309:$A$314,0))+INDEX('Scoring Method'!$B$337:$B$341,MATCH(X109,'Scoring Method'!$A$337:$A$341,0))+INDEX('Scoring Method'!$B$324:$B$326,MATCH(P109,'Scoring Method'!$A$324:$A$326,0)),1)</f>
        <v/>
      </c>
      <c r="BF109" s="96">
        <f>ROUND(INDEX('Scoring Method'!$B$268:$B$276,MATCH(AE109,'Scoring Method'!$A$268:$A$276,0))*BB109*BD109+INDEX('Scoring Method'!$B$280:$B$288,MATCH(AP109,'Scoring Method'!$A$280:$A$288,0))*BM109*BB109*BD109+INDEX('Scoring Method'!$B$292:$B$296,MATCH(AQ109,'Scoring Method'!$A$292:$A$296,0))*BD109+INDEX('Scoring Method'!$B$300:$B$305,MATCH(AO109,'Scoring Method'!$A$300:$A$305,0))*BM109*BB109+INDEX('Scoring Method'!$B$309:$B$314,MATCH(AX109,'Scoring Method'!$A$309:$A$314,0))+INDEX('Scoring Method'!$B$337:$B$341,MATCH(X109,'Scoring Method'!$A$337:$A$341,0))+INDEX('Scoring Method'!$B$324:$B$326,MATCH(P109,'Scoring Method'!$A$324:$A$326,0)),1)</f>
        <v/>
      </c>
      <c r="BG109" s="92" t="inlineStr">
        <is>
          <t>Fits (~$10,538/mo)</t>
        </is>
      </c>
      <c r="BH109" s="61" t="inlineStr">
        <is>
          <t>TUMU (HP)</t>
        </is>
      </c>
      <c r="BI109" s="61" t="inlineStr">
        <is>
          <t>Traditional Urban Mixed Use</t>
        </is>
      </c>
      <c r="BJ109" s="61" t="inlineStr">
        <is>
          <t>HP</t>
        </is>
      </c>
      <c r="BK109" s="61" t="inlineStr"/>
      <c r="BL109" s="61" t="inlineStr">
        <is>
          <t>Bar permitted</t>
        </is>
      </c>
      <c r="BM109" s="61">
        <f>INDEX('Scoring Method'!$B$358:$B$363,MATCH(BL109,'Scoring Method'!$A$358:$A$363,0))</f>
        <v/>
      </c>
    </row>
    <row r="110" ht="15" customHeight="1" s="62">
      <c r="A110" s="92" t="n">
        <v>109</v>
      </c>
      <c r="B110" s="92" t="inlineStr">
        <is>
          <t>055-23-12-002.00</t>
        </is>
      </c>
      <c r="C110" s="92" t="inlineStr">
        <is>
          <t>2145 DONALDSON AVE</t>
        </is>
      </c>
      <c r="D110" s="92" t="inlineStr">
        <is>
          <t>2301 DONALDSON AVENUE LLC</t>
        </is>
      </c>
      <c r="E110" s="92" t="inlineStr">
        <is>
          <t>2524 WOODSIDE BLVD</t>
        </is>
      </c>
      <c r="F110" s="92" t="inlineStr">
        <is>
          <t>HAILEY</t>
        </is>
      </c>
      <c r="G110" s="92" t="inlineStr">
        <is>
          <t>ID</t>
        </is>
      </c>
      <c r="H110" s="92" t="inlineStr">
        <is>
          <t>AUTO SERVICE/REPAIR</t>
        </is>
      </c>
      <c r="I110" s="93" t="n">
        <v>33204</v>
      </c>
      <c r="J110" s="94">
        <f>I110/43560</f>
        <v/>
      </c>
      <c r="K110" s="93" t="n">
        <v>940.7</v>
      </c>
      <c r="L110" s="95">
        <f>I110/(K110^2)</f>
        <v/>
      </c>
      <c r="M110" s="92" t="inlineStr">
        <is>
          <t>Near 14-18k/32-45k</t>
        </is>
      </c>
      <c r="N110" s="92" t="inlineStr">
        <is>
          <t>A</t>
        </is>
      </c>
      <c r="O110" s="92" t="inlineStr">
        <is>
          <t>Elongated .035-.045</t>
        </is>
      </c>
      <c r="P110" s="92" t="inlineStr">
        <is>
          <t>Moderate</t>
        </is>
      </c>
      <c r="Q110" s="92" t="inlineStr">
        <is>
          <t>Out-of-state</t>
        </is>
      </c>
      <c r="R110" s="92" t="inlineStr">
        <is>
          <t>Operating entity</t>
        </is>
      </c>
      <c r="S110" s="92" t="n">
        <v>1</v>
      </c>
      <c r="T110" s="96">
        <f>INDEX('Scoring Method'!$B$6:$B$9,MATCH(M110,'Scoring Method'!$A$6:$A$9,0))+INDEX('Scoring Method'!$B$12:$B$16,MATCH(N110,'Scoring Method'!$A$12:$A$16,0))+INDEX('Scoring Method'!$B$19:$B$22,MATCH(O110,'Scoring Method'!$A$19:$A$22,0))+INDEX('Scoring Method'!$B$25:$B$27,MATCH(P110,'Scoring Method'!$A$25:$A$27,0))</f>
        <v/>
      </c>
      <c r="U110" s="96">
        <f>(INDEX('Scoring Method'!$B$30:$B$33,MATCH(Q110,'Scoring Method'!$A$30:$A$33,0))+INDEX('Scoring Method'!$B$36:$B$42,MATCH(R110,'Scoring Method'!$A$36:$A$42,0))+INDEX('Scoring Method'!$B$45:$B$47,MATCH(IF(S110=1,"1",IF(S110=2,"2","3+")),'Scoring Method'!$A$45:$A$47,0)))/90*100</f>
        <v/>
      </c>
      <c r="V110" s="96">
        <f>T110*U110/100</f>
        <v/>
      </c>
      <c r="W110" s="93" t="n">
        <v>20454</v>
      </c>
      <c r="X110" s="92" t="inlineStr">
        <is>
          <t>X (minimal hazard)</t>
        </is>
      </c>
      <c r="Y110" s="93" t="n">
        <v>9225</v>
      </c>
      <c r="Z110" s="97" t="n"/>
      <c r="AA110" s="98">
        <f>MAX(0,(Y110-5000)/300)</f>
        <v/>
      </c>
      <c r="AB110" s="92" t="n"/>
      <c r="AC110" s="92" t="n"/>
      <c r="AD110" s="92" t="n"/>
      <c r="AE110" s="92" t="inlineStr">
        <is>
          <t>Far oversize &gt;12k</t>
        </is>
      </c>
      <c r="AF110" s="96">
        <f>INDEX('Scoring Method'!$B$63:$B$71,MATCH(AE110,'Scoring Method'!$A$63:$A$71,0))+INDEX('Scoring Method'!$B$75:$B$79,MATCH("Good 8-15k",'Scoring Method'!$A$75:$A$79,0))+INDEX('Scoring Method'!$B$343:$B$347,MATCH(X110,'Scoring Method'!$A$343:$A$347,0))+INDEX('Scoring Method'!$B$25:$B$27,MATCH(P110,'Scoring Method'!$A$25:$A$27,0))</f>
        <v/>
      </c>
      <c r="AG110" s="96">
        <f>AF110*U110/100</f>
        <v/>
      </c>
      <c r="AH110" s="92" t="inlineStr">
        <is>
          <t>LINK-GIS only</t>
        </is>
      </c>
      <c r="AI110" s="99" t="n">
        <v>39.06359</v>
      </c>
      <c r="AJ110" s="99" t="n">
        <v>-84.50595</v>
      </c>
      <c r="AK110" s="94" t="n">
        <v>1.57</v>
      </c>
      <c r="AL110" s="94" t="n">
        <v>1.89</v>
      </c>
      <c r="AM110" s="94" t="n">
        <v>2.64</v>
      </c>
      <c r="AN110" s="94" t="n">
        <v>1.43</v>
      </c>
      <c r="AO110" s="92" t="inlineStr">
        <is>
          <t>Outer 1.25-2mi</t>
        </is>
      </c>
      <c r="AP110" s="92" t="inlineStr">
        <is>
          <t>Open span</t>
        </is>
      </c>
      <c r="AQ110" s="92" t="inlineStr">
        <is>
          <t>Good 8-15k</t>
        </is>
      </c>
      <c r="AR110" s="100" t="n"/>
      <c r="AS110" s="96">
        <f>ROUND(INDEX('Scoring Method'!$B$63:$B$70,MATCH(AE110,'Scoring Method'!$A$63:$A$70,0))*0.625+INDEX('Scoring Method'!$B$105:$B$113,MATCH(AP110,'Scoring Method'!$A$105:$A$113,0))+INDEX('Scoring Method'!$B$74:$B$78,MATCH(AQ110,'Scoring Method'!$A$74:$A$78,0))*0.6667+INDEX('Scoring Method'!$B$96:$B$101,MATCH(AO110,'Scoring Method'!$A$96:$A$101,0))+INDEX('Scoring Method'!$B$343:$B$347,MATCH(X110,'Scoring Method'!$A$343:$A$347,0))*0.3333+INDEX('Scoring Method'!$B$25:$B$27,MATCH(P110,'Scoring Method'!$A$25:$A$27,0))*0.3333,1)</f>
        <v/>
      </c>
      <c r="AT110" s="96">
        <f>AS110*U110/100</f>
        <v/>
      </c>
      <c r="AU110" s="92" t="inlineStr">
        <is>
          <t>Levassor Park</t>
        </is>
      </c>
      <c r="AV110" s="92" t="n">
        <v>42</v>
      </c>
      <c r="AW110" s="101" t="inlineStr">
        <is>
          <t>ESTIMATED</t>
        </is>
      </c>
      <c r="AX110" s="92" t="inlineStr">
        <is>
          <t>Elevated 35-44</t>
        </is>
      </c>
      <c r="AY110" s="96">
        <f>ROUND(INDEX('Scoring Method'!$B$132:$B$140,MATCH(AE110,'Scoring Method'!$A$132:$A$140,0))+INDEX('Scoring Method'!$B$144:$B$152,MATCH(AP110,'Scoring Method'!$A$144:$A$152,0))+INDEX('Scoring Method'!$B$156:$B$160,MATCH(AQ110,'Scoring Method'!$A$156:$A$160,0))+INDEX('Scoring Method'!$B$164:$B$169,MATCH(AO110,'Scoring Method'!$A$164:$A$169,0))+INDEX('Scoring Method'!$B$173:$B$178,MATCH(AX110,'Scoring Method'!$A$173:$A$178,0))+INDEX('Scoring Method'!$B$349:$B$353,MATCH(X110,'Scoring Method'!$A$349:$A$353,0))+INDEX('Scoring Method'!$B$188:$B$190,MATCH(P110,'Scoring Method'!$A$188:$A$190,0)),1)</f>
        <v/>
      </c>
      <c r="AZ110" s="96">
        <f>AY110*U110/100</f>
        <v/>
      </c>
      <c r="BA110" s="92" t="inlineStr">
        <is>
          <t>No chain signal</t>
        </is>
      </c>
      <c r="BB110" s="94" t="n">
        <v>1</v>
      </c>
      <c r="BC110" s="102" t="inlineStr">
        <is>
          <t>Large 0.75-1.25 AC</t>
        </is>
      </c>
      <c r="BD110" s="94" t="n">
        <v>0.9</v>
      </c>
      <c r="BE110" s="96">
        <f>ROUND(INDEX('Scoring Method'!$B$268:$B$276,MATCH(AE110,'Scoring Method'!$A$268:$A$276,0))+INDEX('Scoring Method'!$B$280:$B$288,MATCH(AP110,'Scoring Method'!$A$280:$A$288,0))+INDEX('Scoring Method'!$B$292:$B$296,MATCH(AQ110,'Scoring Method'!$A$292:$A$296,0))+INDEX('Scoring Method'!$B$300:$B$305,MATCH(AO110,'Scoring Method'!$A$300:$A$305,0))+INDEX('Scoring Method'!$B$309:$B$314,MATCH(AX110,'Scoring Method'!$A$309:$A$314,0))+INDEX('Scoring Method'!$B$337:$B$341,MATCH(X110,'Scoring Method'!$A$337:$A$341,0))+INDEX('Scoring Method'!$B$324:$B$326,MATCH(P110,'Scoring Method'!$A$324:$A$326,0)),1)</f>
        <v/>
      </c>
      <c r="BF110" s="96">
        <f>ROUND(INDEX('Scoring Method'!$B$268:$B$276,MATCH(AE110,'Scoring Method'!$A$268:$A$276,0))*BB110*BD110+INDEX('Scoring Method'!$B$280:$B$288,MATCH(AP110,'Scoring Method'!$A$280:$A$288,0))*BM110*BB110*BD110+INDEX('Scoring Method'!$B$292:$B$296,MATCH(AQ110,'Scoring Method'!$A$292:$A$296,0))*BD110+INDEX('Scoring Method'!$B$300:$B$305,MATCH(AO110,'Scoring Method'!$A$300:$A$305,0))*BM110*BB110+INDEX('Scoring Method'!$B$309:$B$314,MATCH(AX110,'Scoring Method'!$A$309:$A$314,0))+INDEX('Scoring Method'!$B$337:$B$341,MATCH(X110,'Scoring Method'!$A$337:$A$341,0))+INDEX('Scoring Method'!$B$324:$B$326,MATCH(P110,'Scoring Method'!$A$324:$A$326,0)),1)</f>
        <v/>
      </c>
      <c r="BG110" s="102" t="inlineStr">
        <is>
          <t>Over (~$18,750/mo)</t>
        </is>
      </c>
      <c r="BH110" s="61" t="inlineStr">
        <is>
          <t>LI</t>
        </is>
      </c>
      <c r="BI110" s="61" t="inlineStr">
        <is>
          <t>Limited Industrial</t>
        </is>
      </c>
      <c r="BJ110" s="61" t="inlineStr"/>
      <c r="BK110" s="61" t="inlineStr"/>
      <c r="BL110" s="61" t="inlineStr">
        <is>
          <t>Bar prohibited, alt-path</t>
        </is>
      </c>
      <c r="BM110" s="61">
        <f>INDEX('Scoring Method'!$B$358:$B$363,MATCH(BL110,'Scoring Method'!$A$358:$A$363,0))</f>
        <v/>
      </c>
    </row>
    <row r="111" ht="15" customHeight="1" s="62">
      <c r="A111" s="92" t="n">
        <v>110</v>
      </c>
      <c r="B111" s="92" t="inlineStr">
        <is>
          <t>054-14-03-004.00</t>
        </is>
      </c>
      <c r="C111" s="92" t="inlineStr">
        <is>
          <t>300 MADISON AVE</t>
        </is>
      </c>
      <c r="D111" s="92" t="inlineStr">
        <is>
          <t>ARCP OFC COVINGTON KY LLC</t>
        </is>
      </c>
      <c r="E111" s="92" t="inlineStr">
        <is>
          <t>PO BOX 460069 DEPT 811</t>
        </is>
      </c>
      <c r="F111" s="92" t="inlineStr">
        <is>
          <t>HOUSTON</t>
        </is>
      </c>
      <c r="G111" s="92" t="inlineStr">
        <is>
          <t>TX</t>
        </is>
      </c>
      <c r="H111" s="92" t="inlineStr">
        <is>
          <t>OFFICE TOWER - 3 STORY &amp; UP</t>
        </is>
      </c>
      <c r="I111" s="93" t="n">
        <v>27075</v>
      </c>
      <c r="J111" s="94">
        <f>I111/43560</f>
        <v/>
      </c>
      <c r="K111" s="93" t="n">
        <v>665</v>
      </c>
      <c r="L111" s="95">
        <f>I111/(K111^2)</f>
        <v/>
      </c>
      <c r="M111" s="92" t="inlineStr">
        <is>
          <t>Ideal 18-32k</t>
        </is>
      </c>
      <c r="N111" s="92" t="inlineStr">
        <is>
          <t>E</t>
        </is>
      </c>
      <c r="O111" s="92" t="inlineStr">
        <is>
          <t>Compact &gt;=.055</t>
        </is>
      </c>
      <c r="P111" s="92" t="inlineStr">
        <is>
          <t>Low</t>
        </is>
      </c>
      <c r="Q111" s="92" t="inlineStr">
        <is>
          <t>Out-of-state</t>
        </is>
      </c>
      <c r="R111" s="92" t="inlineStr">
        <is>
          <t>Operating entity</t>
        </is>
      </c>
      <c r="S111" s="92" t="n">
        <v>1</v>
      </c>
      <c r="T111" s="96">
        <f>INDEX('Scoring Method'!$B$6:$B$9,MATCH(M111,'Scoring Method'!$A$6:$A$9,0))+INDEX('Scoring Method'!$B$12:$B$16,MATCH(N111,'Scoring Method'!$A$12:$A$16,0))+INDEX('Scoring Method'!$B$19:$B$22,MATCH(O111,'Scoring Method'!$A$19:$A$22,0))+INDEX('Scoring Method'!$B$25:$B$27,MATCH(P111,'Scoring Method'!$A$25:$A$27,0))</f>
        <v/>
      </c>
      <c r="U111" s="96">
        <f>(INDEX('Scoring Method'!$B$30:$B$33,MATCH(Q111,'Scoring Method'!$A$30:$A$33,0))+INDEX('Scoring Method'!$B$36:$B$42,MATCH(R111,'Scoring Method'!$A$36:$A$42,0))+INDEX('Scoring Method'!$B$45:$B$47,MATCH(IF(S111=1,"1",IF(S111=2,"2","3+")),'Scoring Method'!$A$45:$A$47,0)))/90*100</f>
        <v/>
      </c>
      <c r="V111" s="96">
        <f>T111*U111/100</f>
        <v/>
      </c>
      <c r="W111" s="93" t="n">
        <v>25575</v>
      </c>
      <c r="X111" s="92" t="inlineStr">
        <is>
          <t>X (minimal hazard)</t>
        </is>
      </c>
      <c r="Y111" s="93" t="n">
        <v>0</v>
      </c>
      <c r="Z111" s="97" t="n"/>
      <c r="AA111" s="98">
        <f>MAX(0,(Y111-5000)/300)</f>
        <v/>
      </c>
      <c r="AB111" s="92" t="n"/>
      <c r="AC111" s="92" t="n"/>
      <c r="AD111" s="92" t="n"/>
      <c r="AE111" s="92" t="inlineStr">
        <is>
          <t>Office tower 3+ storey</t>
        </is>
      </c>
      <c r="AF111" s="96">
        <f>INDEX('Scoring Method'!$B$63:$B$71,MATCH(AE111,'Scoring Method'!$A$63:$A$71,0))+INDEX('Scoring Method'!$B$75:$B$79,MATCH("Insufficient &lt;2k",'Scoring Method'!$A$75:$A$79,0))+INDEX('Scoring Method'!$B$343:$B$347,MATCH(X111,'Scoring Method'!$A$343:$A$347,0))+INDEX('Scoring Method'!$B$25:$B$27,MATCH(P111,'Scoring Method'!$A$25:$A$27,0))</f>
        <v/>
      </c>
      <c r="AG111" s="96">
        <f>AF111*U111/100</f>
        <v/>
      </c>
      <c r="AH111" s="92" t="inlineStr">
        <is>
          <t>LINK-GIS only</t>
        </is>
      </c>
      <c r="AI111" s="99" t="n">
        <v>39.08809</v>
      </c>
      <c r="AJ111" s="99" t="n">
        <v>-84.51089</v>
      </c>
      <c r="AK111" s="94" t="n">
        <v>0.45</v>
      </c>
      <c r="AL111" s="94" t="n">
        <v>0.23</v>
      </c>
      <c r="AM111" s="94" t="n">
        <v>0.93</v>
      </c>
      <c r="AN111" s="94" t="n">
        <v>0.19</v>
      </c>
      <c r="AO111" s="92" t="inlineStr">
        <is>
          <t>Core &lt;=0.35mi</t>
        </is>
      </c>
      <c r="AP111" s="92" t="inlineStr">
        <is>
          <t>Office tower 3+ storey</t>
        </is>
      </c>
      <c r="AQ111" s="92" t="inlineStr">
        <is>
          <t>Insufficient &lt;2k</t>
        </is>
      </c>
      <c r="AR111" s="100" t="n"/>
      <c r="AS111" s="96">
        <f>ROUND(INDEX('Scoring Method'!$B$63:$B$70,MATCH(AE111,'Scoring Method'!$A$63:$A$70,0))*0.625+INDEX('Scoring Method'!$B$105:$B$113,MATCH(AP111,'Scoring Method'!$A$105:$A$113,0))+INDEX('Scoring Method'!$B$74:$B$78,MATCH(AQ111,'Scoring Method'!$A$74:$A$78,0))*0.6667+INDEX('Scoring Method'!$B$96:$B$101,MATCH(AO111,'Scoring Method'!$A$96:$A$101,0))+INDEX('Scoring Method'!$B$343:$B$347,MATCH(X111,'Scoring Method'!$A$343:$A$347,0))*0.3333+INDEX('Scoring Method'!$B$25:$B$27,MATCH(P111,'Scoring Method'!$A$25:$A$27,0))*0.3333,1)</f>
        <v/>
      </c>
      <c r="AT111" s="96">
        <f>AS111*U111/100</f>
        <v/>
      </c>
      <c r="AU111" s="92" t="inlineStr">
        <is>
          <t>Central Business District</t>
        </is>
      </c>
      <c r="AV111" s="92" t="n">
        <v>48</v>
      </c>
      <c r="AW111" s="101" t="inlineStr">
        <is>
          <t>ESTIMATED</t>
        </is>
      </c>
      <c r="AX111" s="92" t="inlineStr">
        <is>
          <t>Mixed 45-59</t>
        </is>
      </c>
      <c r="AY111" s="96">
        <f>ROUND(INDEX('Scoring Method'!$B$132:$B$140,MATCH(AE111,'Scoring Method'!$A$132:$A$140,0))+INDEX('Scoring Method'!$B$144:$B$152,MATCH(AP111,'Scoring Method'!$A$144:$A$152,0))+INDEX('Scoring Method'!$B$156:$B$160,MATCH(AQ111,'Scoring Method'!$A$156:$A$160,0))+INDEX('Scoring Method'!$B$164:$B$169,MATCH(AO111,'Scoring Method'!$A$164:$A$169,0))+INDEX('Scoring Method'!$B$173:$B$178,MATCH(AX111,'Scoring Method'!$A$173:$A$178,0))+INDEX('Scoring Method'!$B$349:$B$353,MATCH(X111,'Scoring Method'!$A$349:$A$353,0))+INDEX('Scoring Method'!$B$188:$B$190,MATCH(P111,'Scoring Method'!$A$188:$A$190,0)),1)</f>
        <v/>
      </c>
      <c r="AZ111" s="96">
        <f>AY111*U111/100</f>
        <v/>
      </c>
      <c r="BA111" s="103" t="inlineStr">
        <is>
          <t>Brand-owned / net lease</t>
        </is>
      </c>
      <c r="BB111" s="94" t="n">
        <v>0.3</v>
      </c>
      <c r="BC111" s="92" t="inlineStr">
        <is>
          <t>Right-sized 0.35-0.75 AC</t>
        </is>
      </c>
      <c r="BD111" s="94" t="n">
        <v>1</v>
      </c>
      <c r="BE111" s="96">
        <f>ROUND(INDEX('Scoring Method'!$B$268:$B$276,MATCH(AE111,'Scoring Method'!$A$268:$A$276,0))+INDEX('Scoring Method'!$B$280:$B$288,MATCH(AP111,'Scoring Method'!$A$280:$A$288,0))+INDEX('Scoring Method'!$B$292:$B$296,MATCH(AQ111,'Scoring Method'!$A$292:$A$296,0))+INDEX('Scoring Method'!$B$300:$B$305,MATCH(AO111,'Scoring Method'!$A$300:$A$305,0))+INDEX('Scoring Method'!$B$309:$B$314,MATCH(AX111,'Scoring Method'!$A$309:$A$314,0))+INDEX('Scoring Method'!$B$337:$B$341,MATCH(X111,'Scoring Method'!$A$337:$A$341,0))+INDEX('Scoring Method'!$B$324:$B$326,MATCH(P111,'Scoring Method'!$A$324:$A$326,0)),1)</f>
        <v/>
      </c>
      <c r="BF111" s="96">
        <f>ROUND(INDEX('Scoring Method'!$B$268:$B$276,MATCH(AE111,'Scoring Method'!$A$268:$A$276,0))*BB111*BD111+INDEX('Scoring Method'!$B$280:$B$288,MATCH(AP111,'Scoring Method'!$A$280:$A$288,0))*BM111*BB111*BD111+INDEX('Scoring Method'!$B$292:$B$296,MATCH(AQ111,'Scoring Method'!$A$292:$A$296,0))*BD111+INDEX('Scoring Method'!$B$300:$B$305,MATCH(AO111,'Scoring Method'!$A$300:$A$305,0))*BM111*BB111+INDEX('Scoring Method'!$B$309:$B$314,MATCH(AX111,'Scoring Method'!$A$309:$A$314,0))+INDEX('Scoring Method'!$B$337:$B$341,MATCH(X111,'Scoring Method'!$A$337:$A$341,0))+INDEX('Scoring Method'!$B$324:$B$326,MATCH(P111,'Scoring Method'!$A$324:$A$326,0)),1)</f>
        <v/>
      </c>
      <c r="BG111" s="102" t="inlineStr">
        <is>
          <t>Over (~$23,444/mo)</t>
        </is>
      </c>
      <c r="BH111" s="61" t="inlineStr">
        <is>
          <t>DTR</t>
        </is>
      </c>
      <c r="BI111" s="61" t="inlineStr">
        <is>
          <t>Downtown Riverfront</t>
        </is>
      </c>
      <c r="BJ111" s="61" t="inlineStr"/>
      <c r="BK111" s="61" t="inlineStr"/>
      <c r="BL111" s="61" t="inlineStr">
        <is>
          <t>Bar permitted</t>
        </is>
      </c>
      <c r="BM111" s="61">
        <f>INDEX('Scoring Method'!$B$358:$B$363,MATCH(BL111,'Scoring Method'!$A$358:$A$363,0))</f>
        <v/>
      </c>
    </row>
    <row r="112" ht="15" customHeight="1" s="62">
      <c r="A112" s="92" t="n">
        <v>111</v>
      </c>
      <c r="B112" s="92" t="inlineStr">
        <is>
          <t>054-14-12-003.00</t>
        </is>
      </c>
      <c r="C112" s="92" t="inlineStr">
        <is>
          <t>1 RIVERSIDE PL</t>
        </is>
      </c>
      <c r="D112" s="92" t="inlineStr">
        <is>
          <t>RIVERSIDE TERRACE CONDO</t>
        </is>
      </c>
      <c r="E112" s="92" t="inlineStr">
        <is>
          <t>1055 ST PAUL PL</t>
        </is>
      </c>
      <c r="F112" s="92" t="inlineStr">
        <is>
          <t>CINCINNATI</t>
        </is>
      </c>
      <c r="G112" s="92" t="inlineStr">
        <is>
          <t>OH</t>
        </is>
      </c>
      <c r="H112" s="92" t="inlineStr">
        <is>
          <t>PARKING GARAGE</t>
        </is>
      </c>
      <c r="I112" s="93" t="n">
        <v>30914</v>
      </c>
      <c r="J112" s="94">
        <f>I112/43560</f>
        <v/>
      </c>
      <c r="K112" s="93" t="n">
        <v>716</v>
      </c>
      <c r="L112" s="95">
        <f>I112/(K112^2)</f>
        <v/>
      </c>
      <c r="M112" s="92" t="inlineStr">
        <is>
          <t>Ideal 18-32k</t>
        </is>
      </c>
      <c r="N112" s="92" t="inlineStr">
        <is>
          <t>E</t>
        </is>
      </c>
      <c r="O112" s="92" t="inlineStr">
        <is>
          <t>Compact &gt;=.055</t>
        </is>
      </c>
      <c r="P112" s="92" t="inlineStr">
        <is>
          <t>Low</t>
        </is>
      </c>
      <c r="Q112" s="92" t="inlineStr">
        <is>
          <t>Out-of-state</t>
        </is>
      </c>
      <c r="R112" s="92" t="inlineStr">
        <is>
          <t>Operating entity</t>
        </is>
      </c>
      <c r="S112" s="92" t="n">
        <v>1</v>
      </c>
      <c r="T112" s="96">
        <f>INDEX('Scoring Method'!$B$6:$B$9,MATCH(M112,'Scoring Method'!$A$6:$A$9,0))+INDEX('Scoring Method'!$B$12:$B$16,MATCH(N112,'Scoring Method'!$A$12:$A$16,0))+INDEX('Scoring Method'!$B$19:$B$22,MATCH(O112,'Scoring Method'!$A$19:$A$22,0))+INDEX('Scoring Method'!$B$25:$B$27,MATCH(P112,'Scoring Method'!$A$25:$A$27,0))</f>
        <v/>
      </c>
      <c r="U112" s="96">
        <f>(INDEX('Scoring Method'!$B$30:$B$33,MATCH(Q112,'Scoring Method'!$A$30:$A$33,0))+INDEX('Scoring Method'!$B$36:$B$42,MATCH(R112,'Scoring Method'!$A$36:$A$42,0))+INDEX('Scoring Method'!$B$45:$B$47,MATCH(IF(S112=1,"1",IF(S112=2,"2","3+")),'Scoring Method'!$A$45:$A$47,0)))/90*100</f>
        <v/>
      </c>
      <c r="V112" s="96">
        <f>T112*U112/100</f>
        <v/>
      </c>
      <c r="W112" s="93" t="n">
        <v>21889</v>
      </c>
      <c r="X112" s="92" t="inlineStr">
        <is>
          <t>AE (1% annual)</t>
        </is>
      </c>
      <c r="Y112" s="93" t="n">
        <v>6650</v>
      </c>
      <c r="Z112" s="97" t="n"/>
      <c r="AA112" s="98">
        <f>MAX(0,(Y112-5000)/300)</f>
        <v/>
      </c>
      <c r="AB112" s="92" t="n"/>
      <c r="AC112" s="92" t="n"/>
      <c r="AD112" s="92" t="n"/>
      <c r="AE112" s="92" t="inlineStr">
        <is>
          <t>Far oversize &gt;12k</t>
        </is>
      </c>
      <c r="AF112" s="96">
        <f>INDEX('Scoring Method'!$B$63:$B$71,MATCH(AE112,'Scoring Method'!$A$63:$A$71,0))+INDEX('Scoring Method'!$B$75:$B$79,MATCH("Adequate 5-8k",'Scoring Method'!$A$75:$A$79,0))+INDEX('Scoring Method'!$B$343:$B$347,MATCH(X112,'Scoring Method'!$A$343:$A$347,0))+INDEX('Scoring Method'!$B$25:$B$27,MATCH(P112,'Scoring Method'!$A$25:$A$27,0))</f>
        <v/>
      </c>
      <c r="AG112" s="96">
        <f>AF112*U112/100</f>
        <v/>
      </c>
      <c r="AH112" s="92" t="inlineStr">
        <is>
          <t>LINK-GIS only</t>
        </is>
      </c>
      <c r="AI112" s="99" t="n">
        <v>39.09064</v>
      </c>
      <c r="AJ112" s="99" t="n">
        <v>-84.50809</v>
      </c>
      <c r="AK112" s="94" t="n">
        <v>0.68</v>
      </c>
      <c r="AL112" s="94" t="n">
        <v>0.02</v>
      </c>
      <c r="AM112" s="94" t="n">
        <v>0.79</v>
      </c>
      <c r="AN112" s="94" t="n">
        <v>0.02</v>
      </c>
      <c r="AO112" s="92" t="inlineStr">
        <is>
          <t>Core &lt;=0.35mi</t>
        </is>
      </c>
      <c r="AP112" s="92" t="inlineStr">
        <is>
          <t>Office/institutional</t>
        </is>
      </c>
      <c r="AQ112" s="92" t="inlineStr">
        <is>
          <t>Adequate 5-8k</t>
        </is>
      </c>
      <c r="AR112" s="100" t="n"/>
      <c r="AS112" s="96">
        <f>ROUND(INDEX('Scoring Method'!$B$63:$B$70,MATCH(AE112,'Scoring Method'!$A$63:$A$70,0))*0.625+INDEX('Scoring Method'!$B$105:$B$113,MATCH(AP112,'Scoring Method'!$A$105:$A$113,0))+INDEX('Scoring Method'!$B$74:$B$78,MATCH(AQ112,'Scoring Method'!$A$74:$A$78,0))*0.6667+INDEX('Scoring Method'!$B$96:$B$101,MATCH(AO112,'Scoring Method'!$A$96:$A$101,0))+INDEX('Scoring Method'!$B$343:$B$347,MATCH(X112,'Scoring Method'!$A$343:$A$347,0))*0.3333+INDEX('Scoring Method'!$B$25:$B$27,MATCH(P112,'Scoring Method'!$A$25:$A$27,0))*0.3333,1)</f>
        <v/>
      </c>
      <c r="AT112" s="96">
        <f>AS112*U112/100</f>
        <v/>
      </c>
      <c r="AU112" s="92" t="inlineStr">
        <is>
          <t>Central Business District</t>
        </is>
      </c>
      <c r="AV112" s="92" t="n">
        <v>48</v>
      </c>
      <c r="AW112" s="101" t="inlineStr">
        <is>
          <t>ESTIMATED</t>
        </is>
      </c>
      <c r="AX112" s="92" t="inlineStr">
        <is>
          <t>Mixed 45-59</t>
        </is>
      </c>
      <c r="AY112" s="96">
        <f>ROUND(INDEX('Scoring Method'!$B$132:$B$140,MATCH(AE112,'Scoring Method'!$A$132:$A$140,0))+INDEX('Scoring Method'!$B$144:$B$152,MATCH(AP112,'Scoring Method'!$A$144:$A$152,0))+INDEX('Scoring Method'!$B$156:$B$160,MATCH(AQ112,'Scoring Method'!$A$156:$A$160,0))+INDEX('Scoring Method'!$B$164:$B$169,MATCH(AO112,'Scoring Method'!$A$164:$A$169,0))+INDEX('Scoring Method'!$B$173:$B$178,MATCH(AX112,'Scoring Method'!$A$173:$A$178,0))+INDEX('Scoring Method'!$B$349:$B$353,MATCH(X112,'Scoring Method'!$A$349:$A$353,0))+INDEX('Scoring Method'!$B$188:$B$190,MATCH(P112,'Scoring Method'!$A$188:$A$190,0)),1)</f>
        <v/>
      </c>
      <c r="AZ112" s="96">
        <f>AY112*U112/100</f>
        <v/>
      </c>
      <c r="BA112" s="92" t="inlineStr">
        <is>
          <t>No chain signal</t>
        </is>
      </c>
      <c r="BB112" s="94" t="n">
        <v>1</v>
      </c>
      <c r="BC112" s="92" t="inlineStr">
        <is>
          <t>Right-sized 0.35-0.75 AC</t>
        </is>
      </c>
      <c r="BD112" s="94" t="n">
        <v>1</v>
      </c>
      <c r="BE112" s="96">
        <f>ROUND(INDEX('Scoring Method'!$B$268:$B$276,MATCH(AE112,'Scoring Method'!$A$268:$A$276,0))+INDEX('Scoring Method'!$B$280:$B$288,MATCH(AP112,'Scoring Method'!$A$280:$A$288,0))+INDEX('Scoring Method'!$B$292:$B$296,MATCH(AQ112,'Scoring Method'!$A$292:$A$296,0))+INDEX('Scoring Method'!$B$300:$B$305,MATCH(AO112,'Scoring Method'!$A$300:$A$305,0))+INDEX('Scoring Method'!$B$309:$B$314,MATCH(AX112,'Scoring Method'!$A$309:$A$314,0))+INDEX('Scoring Method'!$B$337:$B$341,MATCH(X112,'Scoring Method'!$A$337:$A$341,0))+INDEX('Scoring Method'!$B$324:$B$326,MATCH(P112,'Scoring Method'!$A$324:$A$326,0)),1)</f>
        <v/>
      </c>
      <c r="BF112" s="96">
        <f>ROUND(INDEX('Scoring Method'!$B$268:$B$276,MATCH(AE112,'Scoring Method'!$A$268:$A$276,0))*BB112*BD112+INDEX('Scoring Method'!$B$280:$B$288,MATCH(AP112,'Scoring Method'!$A$280:$A$288,0))*BM112*BB112*BD112+INDEX('Scoring Method'!$B$292:$B$296,MATCH(AQ112,'Scoring Method'!$A$292:$A$296,0))*BD112+INDEX('Scoring Method'!$B$300:$B$305,MATCH(AO112,'Scoring Method'!$A$300:$A$305,0))*BM112*BB112+INDEX('Scoring Method'!$B$309:$B$314,MATCH(AX112,'Scoring Method'!$A$309:$A$314,0))+INDEX('Scoring Method'!$B$337:$B$341,MATCH(X112,'Scoring Method'!$A$337:$A$341,0))+INDEX('Scoring Method'!$B$324:$B$326,MATCH(P112,'Scoring Method'!$A$324:$A$326,0)),1)</f>
        <v/>
      </c>
      <c r="BG112" s="102" t="inlineStr">
        <is>
          <t>Over (~$20,065/mo)</t>
        </is>
      </c>
      <c r="BH112" s="61" t="inlineStr">
        <is>
          <t>DTR</t>
        </is>
      </c>
      <c r="BI112" s="61" t="inlineStr">
        <is>
          <t>Downtown Riverfront</t>
        </is>
      </c>
      <c r="BJ112" s="61" t="inlineStr"/>
      <c r="BK112" s="61" t="inlineStr"/>
      <c r="BL112" s="61" t="inlineStr">
        <is>
          <t>Bar permitted</t>
        </is>
      </c>
      <c r="BM112" s="61">
        <f>INDEX('Scoring Method'!$B$358:$B$363,MATCH(BL112,'Scoring Method'!$A$358:$A$363,0))</f>
        <v/>
      </c>
    </row>
    <row r="113" ht="15" customHeight="1" s="62">
      <c r="A113" s="92" t="n">
        <v>112</v>
      </c>
      <c r="B113" s="92" t="inlineStr">
        <is>
          <t>044-00-01-002.00</t>
        </is>
      </c>
      <c r="C113" s="92" t="inlineStr">
        <is>
          <t>3946 DECKER CRANE LN</t>
        </is>
      </c>
      <c r="D113" s="92" t="inlineStr">
        <is>
          <t>VEATCH INDUSTRIAL PARK LLC</t>
        </is>
      </c>
      <c r="E113" s="92" t="inlineStr">
        <is>
          <t>PO BOX 73213</t>
        </is>
      </c>
      <c r="F113" s="92" t="inlineStr">
        <is>
          <t>BELLEVUE</t>
        </is>
      </c>
      <c r="G113" s="92" t="inlineStr">
        <is>
          <t>KY</t>
        </is>
      </c>
      <c r="H113" s="92" t="inlineStr">
        <is>
          <t>PAVED LOT</t>
        </is>
      </c>
      <c r="I113" s="93" t="n">
        <v>42478</v>
      </c>
      <c r="J113" s="94">
        <f>I113/43560</f>
        <v/>
      </c>
      <c r="K113" s="93" t="n">
        <v>846.5</v>
      </c>
      <c r="L113" s="95">
        <f>I113/(K113^2)</f>
        <v/>
      </c>
      <c r="M113" s="92" t="inlineStr">
        <is>
          <t>Near 14-18k/32-45k</t>
        </is>
      </c>
      <c r="N113" s="92" t="inlineStr">
        <is>
          <t>D</t>
        </is>
      </c>
      <c r="O113" s="92" t="inlineStr">
        <is>
          <t>Compact &gt;=.055</t>
        </is>
      </c>
      <c r="P113" s="92" t="inlineStr">
        <is>
          <t>Low</t>
        </is>
      </c>
      <c r="Q113" s="92" t="inlineStr">
        <is>
          <t>Out-of-city KY</t>
        </is>
      </c>
      <c r="R113" s="92" t="inlineStr">
        <is>
          <t>Operating entity</t>
        </is>
      </c>
      <c r="S113" s="92" t="n">
        <v>2</v>
      </c>
      <c r="T113" s="96">
        <f>INDEX('Scoring Method'!$B$6:$B$9,MATCH(M113,'Scoring Method'!$A$6:$A$9,0))+INDEX('Scoring Method'!$B$12:$B$16,MATCH(N113,'Scoring Method'!$A$12:$A$16,0))+INDEX('Scoring Method'!$B$19:$B$22,MATCH(O113,'Scoring Method'!$A$19:$A$22,0))+INDEX('Scoring Method'!$B$25:$B$27,MATCH(P113,'Scoring Method'!$A$25:$A$27,0))</f>
        <v/>
      </c>
      <c r="U113" s="96">
        <f>(INDEX('Scoring Method'!$B$30:$B$33,MATCH(Q113,'Scoring Method'!$A$30:$A$33,0))+INDEX('Scoring Method'!$B$36:$B$42,MATCH(R113,'Scoring Method'!$A$36:$A$42,0))+INDEX('Scoring Method'!$B$45:$B$47,MATCH(IF(S113=1,"1",IF(S113=2,"2","3+")),'Scoring Method'!$A$45:$A$47,0)))/90*100</f>
        <v/>
      </c>
      <c r="V113" s="96">
        <f>T113*U113/100</f>
        <v/>
      </c>
      <c r="W113" s="93" t="n"/>
      <c r="X113" s="92" t="inlineStr">
        <is>
          <t>Unknown</t>
        </is>
      </c>
      <c r="Y113" s="93" t="n"/>
      <c r="Z113" s="97" t="n"/>
      <c r="AA113" s="98" t="n"/>
      <c r="AB113" s="92" t="n"/>
      <c r="AC113" s="92" t="n"/>
      <c r="AD113" s="92" t="n"/>
      <c r="AE113" s="92" t="n"/>
      <c r="AF113" s="96" t="n"/>
      <c r="AG113" s="96" t="n"/>
      <c r="AH113" s="92" t="inlineStr">
        <is>
          <t>LINK-GIS only</t>
        </is>
      </c>
      <c r="AI113" s="99" t="n">
        <v>39.00381</v>
      </c>
      <c r="AJ113" s="99" t="n">
        <v>-84.53309</v>
      </c>
      <c r="AK113" s="94" t="n">
        <v>5.63</v>
      </c>
      <c r="AL113" s="94" t="n">
        <v>6.16</v>
      </c>
      <c r="AM113" s="94" t="n">
        <v>6.84</v>
      </c>
      <c r="AN113" s="94" t="n">
        <v>5.63</v>
      </c>
      <c r="AO113" s="92" t="inlineStr">
        <is>
          <t>Remote &gt;3mi</t>
        </is>
      </c>
      <c r="AP113" s="92" t="inlineStr">
        <is>
          <t>Lot / minimal bldg</t>
        </is>
      </c>
      <c r="AQ113" s="92" t="n"/>
      <c r="AR113" s="100" t="n"/>
      <c r="AS113" s="96" t="n"/>
      <c r="AT113" s="96" t="n"/>
      <c r="AU113" s="92" t="inlineStr">
        <is>
          <t>South Covington</t>
        </is>
      </c>
      <c r="AV113" s="92" t="n">
        <v>88</v>
      </c>
      <c r="AW113" s="92" t="inlineStr">
        <is>
          <t>Sourced</t>
        </is>
      </c>
      <c r="AX113" s="92" t="inlineStr">
        <is>
          <t>Very safe 80+</t>
        </is>
      </c>
      <c r="AY113" s="96" t="n"/>
      <c r="AZ113" s="96" t="n"/>
      <c r="BA113" s="92" t="inlineStr">
        <is>
          <t>No chain signal</t>
        </is>
      </c>
      <c r="BB113" s="94" t="n">
        <v>1</v>
      </c>
      <c r="BC113" s="102" t="inlineStr">
        <is>
          <t>Large 0.75-1.25 AC</t>
        </is>
      </c>
      <c r="BD113" s="94" t="n">
        <v>0.9</v>
      </c>
      <c r="BE113" s="96" t="n"/>
      <c r="BF113" s="96" t="n"/>
      <c r="BG113" s="92" t="n"/>
      <c r="BH113" s="61" t="inlineStr">
        <is>
          <t>Not joined</t>
        </is>
      </c>
      <c r="BL113" s="61" t="inlineStr">
        <is>
          <t>Not joined</t>
        </is>
      </c>
      <c r="BM113" s="61" t="n">
        <v>1</v>
      </c>
    </row>
    <row r="114" ht="15" customHeight="1" s="62">
      <c r="A114" s="92" t="n">
        <v>113</v>
      </c>
      <c r="B114" s="92" t="inlineStr">
        <is>
          <t>055-14-21-019.00</t>
        </is>
      </c>
      <c r="C114" s="92" t="inlineStr">
        <is>
          <t>2046 MADISON AVE</t>
        </is>
      </c>
      <c r="D114" s="92" t="inlineStr">
        <is>
          <t>PORCHLIGHT REAL ESTATE</t>
        </is>
      </c>
      <c r="E114" s="92" t="inlineStr">
        <is>
          <t>7145 RUSTIC TRL</t>
        </is>
      </c>
      <c r="F114" s="92" t="inlineStr">
        <is>
          <t>BOULDER</t>
        </is>
      </c>
      <c r="G114" s="92" t="inlineStr">
        <is>
          <t>CO</t>
        </is>
      </c>
      <c r="H114" s="92" t="inlineStr">
        <is>
          <t>RETAIL W/APARTMENTS</t>
        </is>
      </c>
      <c r="I114" s="93" t="n">
        <v>11475</v>
      </c>
      <c r="J114" s="94">
        <f>I114/43560</f>
        <v/>
      </c>
      <c r="K114" s="93" t="n">
        <v>435</v>
      </c>
      <c r="L114" s="95">
        <f>I114/(K114^2)</f>
        <v/>
      </c>
      <c r="M114" s="92" t="inlineStr">
        <is>
          <t>Marginal 10-14k/45-60k</t>
        </is>
      </c>
      <c r="N114" s="92" t="inlineStr">
        <is>
          <t>E</t>
        </is>
      </c>
      <c r="O114" s="92" t="inlineStr">
        <is>
          <t>Compact &gt;=.055</t>
        </is>
      </c>
      <c r="P114" s="92" t="inlineStr">
        <is>
          <t>Low</t>
        </is>
      </c>
      <c r="Q114" s="92" t="inlineStr">
        <is>
          <t>Out-of-state</t>
        </is>
      </c>
      <c r="R114" s="92" t="inlineStr">
        <is>
          <t>Individual</t>
        </is>
      </c>
      <c r="S114" s="92" t="n">
        <v>1</v>
      </c>
      <c r="T114" s="96">
        <f>INDEX('Scoring Method'!$B$6:$B$9,MATCH(M114,'Scoring Method'!$A$6:$A$9,0))+INDEX('Scoring Method'!$B$12:$B$16,MATCH(N114,'Scoring Method'!$A$12:$A$16,0))+INDEX('Scoring Method'!$B$19:$B$22,MATCH(O114,'Scoring Method'!$A$19:$A$22,0))+INDEX('Scoring Method'!$B$25:$B$27,MATCH(P114,'Scoring Method'!$A$25:$A$27,0))</f>
        <v/>
      </c>
      <c r="U114" s="96">
        <f>(INDEX('Scoring Method'!$B$30:$B$33,MATCH(Q114,'Scoring Method'!$A$30:$A$33,0))+INDEX('Scoring Method'!$B$36:$B$42,MATCH(R114,'Scoring Method'!$A$36:$A$42,0))+INDEX('Scoring Method'!$B$45:$B$47,MATCH(IF(S114=1,"1",IF(S114=2,"2","3+")),'Scoring Method'!$A$45:$A$47,0)))/90*100</f>
        <v/>
      </c>
      <c r="V114" s="96">
        <f>T114*U114/100</f>
        <v/>
      </c>
      <c r="W114" s="93" t="n">
        <v>12500</v>
      </c>
      <c r="X114" s="92" t="inlineStr">
        <is>
          <t>X (minimal hazard)</t>
        </is>
      </c>
      <c r="Y114" s="93" t="n">
        <v>6275</v>
      </c>
      <c r="Z114" s="97" t="n"/>
      <c r="AA114" s="98">
        <f>MAX(0,(Y114-5000)/300)</f>
        <v/>
      </c>
      <c r="AB114" s="92" t="n"/>
      <c r="AC114" s="92" t="n"/>
      <c r="AD114" s="92" t="n"/>
      <c r="AE114" s="92" t="inlineStr">
        <is>
          <t>Far oversize &gt;12k</t>
        </is>
      </c>
      <c r="AF114" s="96">
        <f>INDEX('Scoring Method'!$B$63:$B$71,MATCH(AE114,'Scoring Method'!$A$63:$A$71,0))+INDEX('Scoring Method'!$B$75:$B$79,MATCH("Adequate 5-8k",'Scoring Method'!$A$75:$A$79,0))+INDEX('Scoring Method'!$B$343:$B$347,MATCH(X114,'Scoring Method'!$A$343:$A$347,0))+INDEX('Scoring Method'!$B$25:$B$27,MATCH(P114,'Scoring Method'!$A$25:$A$27,0))</f>
        <v/>
      </c>
      <c r="AG114" s="96">
        <f>AF114*U114/100</f>
        <v/>
      </c>
      <c r="AH114" s="92" t="inlineStr">
        <is>
          <t>LINK-GIS + LoopNet (2026-08-03)</t>
        </is>
      </c>
      <c r="AI114" s="99" t="n">
        <v>39.06572</v>
      </c>
      <c r="AJ114" s="99" t="n">
        <v>-84.50518</v>
      </c>
      <c r="AK114" s="94" t="n">
        <v>1.46</v>
      </c>
      <c r="AL114" s="94" t="n">
        <v>1.74</v>
      </c>
      <c r="AM114" s="94" t="n">
        <v>2.5</v>
      </c>
      <c r="AN114" s="94" t="n">
        <v>1.3</v>
      </c>
      <c r="AO114" s="92" t="inlineStr">
        <is>
          <t>Outer 1.25-2mi</t>
        </is>
      </c>
      <c r="AP114" s="92" t="inlineStr">
        <is>
          <t>Cellular</t>
        </is>
      </c>
      <c r="AQ114" s="92" t="inlineStr">
        <is>
          <t>Adequate 5-8k</t>
        </is>
      </c>
      <c r="AR114" s="100" t="n"/>
      <c r="AS114" s="96">
        <f>ROUND(INDEX('Scoring Method'!$B$63:$B$70,MATCH(AE114,'Scoring Method'!$A$63:$A$70,0))*0.625+INDEX('Scoring Method'!$B$105:$B$113,MATCH(AP114,'Scoring Method'!$A$105:$A$113,0))+INDEX('Scoring Method'!$B$74:$B$78,MATCH(AQ114,'Scoring Method'!$A$74:$A$78,0))*0.6667+INDEX('Scoring Method'!$B$96:$B$101,MATCH(AO114,'Scoring Method'!$A$96:$A$101,0))+INDEX('Scoring Method'!$B$343:$B$347,MATCH(X114,'Scoring Method'!$A$343:$A$347,0))*0.3333+INDEX('Scoring Method'!$B$25:$B$27,MATCH(P114,'Scoring Method'!$A$25:$A$27,0))*0.3333,1)</f>
        <v/>
      </c>
      <c r="AT114" s="96">
        <f>AS114*U114/100</f>
        <v/>
      </c>
      <c r="AU114" s="92" t="inlineStr">
        <is>
          <t>Levassor Park</t>
        </is>
      </c>
      <c r="AV114" s="92" t="n">
        <v>42</v>
      </c>
      <c r="AW114" s="101" t="inlineStr">
        <is>
          <t>ESTIMATED</t>
        </is>
      </c>
      <c r="AX114" s="92" t="inlineStr">
        <is>
          <t>Elevated 35-44</t>
        </is>
      </c>
      <c r="AY114" s="96">
        <f>ROUND(INDEX('Scoring Method'!$B$132:$B$140,MATCH(AE114,'Scoring Method'!$A$132:$A$140,0))+INDEX('Scoring Method'!$B$144:$B$152,MATCH(AP114,'Scoring Method'!$A$144:$A$152,0))+INDEX('Scoring Method'!$B$156:$B$160,MATCH(AQ114,'Scoring Method'!$A$156:$A$160,0))+INDEX('Scoring Method'!$B$164:$B$169,MATCH(AO114,'Scoring Method'!$A$164:$A$169,0))+INDEX('Scoring Method'!$B$173:$B$178,MATCH(AX114,'Scoring Method'!$A$173:$A$178,0))+INDEX('Scoring Method'!$B$349:$B$353,MATCH(X114,'Scoring Method'!$A$349:$A$353,0))+INDEX('Scoring Method'!$B$188:$B$190,MATCH(P114,'Scoring Method'!$A$188:$A$190,0)),1)</f>
        <v/>
      </c>
      <c r="AZ114" s="96">
        <f>AY114*U114/100</f>
        <v/>
      </c>
      <c r="BA114" s="92" t="inlineStr">
        <is>
          <t>No chain signal</t>
        </is>
      </c>
      <c r="BB114" s="94" t="n">
        <v>1</v>
      </c>
      <c r="BC114" s="102" t="inlineStr">
        <is>
          <t>Small 0.25-0.35 AC</t>
        </is>
      </c>
      <c r="BD114" s="94" t="n">
        <v>0.9</v>
      </c>
      <c r="BE114" s="96">
        <f>ROUND(INDEX('Scoring Method'!$B$268:$B$276,MATCH(AE114,'Scoring Method'!$A$268:$A$276,0))+INDEX('Scoring Method'!$B$280:$B$288,MATCH(AP114,'Scoring Method'!$A$280:$A$288,0))+INDEX('Scoring Method'!$B$292:$B$296,MATCH(AQ114,'Scoring Method'!$A$292:$A$296,0))+INDEX('Scoring Method'!$B$300:$B$305,MATCH(AO114,'Scoring Method'!$A$300:$A$305,0))+INDEX('Scoring Method'!$B$309:$B$314,MATCH(AX114,'Scoring Method'!$A$309:$A$314,0))+INDEX('Scoring Method'!$B$337:$B$341,MATCH(X114,'Scoring Method'!$A$337:$A$341,0))+INDEX('Scoring Method'!$B$324:$B$326,MATCH(P114,'Scoring Method'!$A$324:$A$326,0)),1)</f>
        <v/>
      </c>
      <c r="BF114" s="96">
        <f>ROUND(INDEX('Scoring Method'!$B$268:$B$276,MATCH(AE114,'Scoring Method'!$A$268:$A$276,0))*BB114*BD114+INDEX('Scoring Method'!$B$280:$B$288,MATCH(AP114,'Scoring Method'!$A$280:$A$288,0))*BM114*BB114*BD114+INDEX('Scoring Method'!$B$292:$B$296,MATCH(AQ114,'Scoring Method'!$A$292:$A$296,0))*BD114+INDEX('Scoring Method'!$B$300:$B$305,MATCH(AO114,'Scoring Method'!$A$300:$A$305,0))*BM114*BB114+INDEX('Scoring Method'!$B$309:$B$314,MATCH(AX114,'Scoring Method'!$A$309:$A$314,0))+INDEX('Scoring Method'!$B$337:$B$341,MATCH(X114,'Scoring Method'!$A$337:$A$341,0))+INDEX('Scoring Method'!$B$324:$B$326,MATCH(P114,'Scoring Method'!$A$324:$A$326,0)),1)</f>
        <v/>
      </c>
      <c r="BG114" s="92" t="inlineStr">
        <is>
          <t>Over (~$11,458/mo)</t>
        </is>
      </c>
      <c r="BH114" s="61" t="inlineStr">
        <is>
          <t>AUC</t>
        </is>
      </c>
      <c r="BI114" s="61" t="inlineStr">
        <is>
          <t>Auto-Urban Commercial</t>
        </is>
      </c>
      <c r="BJ114" s="61" t="inlineStr"/>
      <c r="BK114" s="61" t="inlineStr"/>
      <c r="BL114" s="61" t="inlineStr">
        <is>
          <t>Bar permitted</t>
        </is>
      </c>
      <c r="BM114" s="61">
        <f>INDEX('Scoring Method'!$B$358:$B$363,MATCH(BL114,'Scoring Method'!$A$358:$A$363,0))</f>
        <v/>
      </c>
    </row>
    <row r="115" ht="15" customHeight="1" s="62">
      <c r="A115" s="92" t="n">
        <v>114</v>
      </c>
      <c r="B115" s="92" t="inlineStr">
        <is>
          <t>044-00-01-008.00</t>
        </is>
      </c>
      <c r="C115" s="92" t="inlineStr">
        <is>
          <t>3953 DECKER CRANE LN</t>
        </is>
      </c>
      <c r="D115" s="92" t="inlineStr">
        <is>
          <t>LOCKWOOD LODGE LLC</t>
        </is>
      </c>
      <c r="E115" s="92" t="inlineStr">
        <is>
          <t>12 HIGHLAND AVE</t>
        </is>
      </c>
      <c r="F115" s="92" t="inlineStr">
        <is>
          <t>FT THOMAS</t>
        </is>
      </c>
      <c r="G115" s="92" t="inlineStr">
        <is>
          <t>KY</t>
        </is>
      </c>
      <c r="H115" s="92" t="inlineStr">
        <is>
          <t>OFFICE BLDG 1 OR 2 STORY</t>
        </is>
      </c>
      <c r="I115" s="93" t="n">
        <v>41379</v>
      </c>
      <c r="J115" s="94">
        <f>I115/43560</f>
        <v/>
      </c>
      <c r="K115" s="93" t="n">
        <v>830</v>
      </c>
      <c r="L115" s="95">
        <f>I115/(K115^2)</f>
        <v/>
      </c>
      <c r="M115" s="92" t="inlineStr">
        <is>
          <t>Near 14-18k/32-45k</t>
        </is>
      </c>
      <c r="N115" s="92" t="inlineStr">
        <is>
          <t>E</t>
        </is>
      </c>
      <c r="O115" s="92" t="inlineStr">
        <is>
          <t>Compact &gt;=.055</t>
        </is>
      </c>
      <c r="P115" s="92" t="inlineStr">
        <is>
          <t>Low</t>
        </is>
      </c>
      <c r="Q115" s="92" t="inlineStr">
        <is>
          <t>Out-of-city KY</t>
        </is>
      </c>
      <c r="R115" s="92" t="inlineStr">
        <is>
          <t>Fraternal/Club</t>
        </is>
      </c>
      <c r="S115" s="92" t="n">
        <v>1</v>
      </c>
      <c r="T115" s="96">
        <f>INDEX('Scoring Method'!$B$6:$B$9,MATCH(M115,'Scoring Method'!$A$6:$A$9,0))+INDEX('Scoring Method'!$B$12:$B$16,MATCH(N115,'Scoring Method'!$A$12:$A$16,0))+INDEX('Scoring Method'!$B$19:$B$22,MATCH(O115,'Scoring Method'!$A$19:$A$22,0))+INDEX('Scoring Method'!$B$25:$B$27,MATCH(P115,'Scoring Method'!$A$25:$A$27,0))</f>
        <v/>
      </c>
      <c r="U115" s="96">
        <f>(INDEX('Scoring Method'!$B$30:$B$33,MATCH(Q115,'Scoring Method'!$A$30:$A$33,0))+INDEX('Scoring Method'!$B$36:$B$42,MATCH(R115,'Scoring Method'!$A$36:$A$42,0))+INDEX('Scoring Method'!$B$45:$B$47,MATCH(IF(S115=1,"1",IF(S115=2,"2","3+")),'Scoring Method'!$A$45:$A$47,0)))/90*100</f>
        <v/>
      </c>
      <c r="V115" s="96">
        <f>T115*U115/100</f>
        <v/>
      </c>
      <c r="W115" s="93" t="n">
        <v>4000</v>
      </c>
      <c r="X115" s="92" t="inlineStr">
        <is>
          <t>X (minimal hazard)</t>
        </is>
      </c>
      <c r="Y115" s="93" t="n">
        <v>35550</v>
      </c>
      <c r="Z115" s="97" t="n"/>
      <c r="AA115" s="98">
        <f>MAX(0,(Y115-5000)/300)</f>
        <v/>
      </c>
      <c r="AB115" s="92" t="n"/>
      <c r="AC115" s="92" t="n"/>
      <c r="AD115" s="92" t="n"/>
      <c r="AE115" s="92" t="inlineStr">
        <is>
          <t>Above 2.5-4k</t>
        </is>
      </c>
      <c r="AF115" s="96">
        <f>INDEX('Scoring Method'!$B$63:$B$71,MATCH(AE115,'Scoring Method'!$A$63:$A$71,0))+INDEX('Scoring Method'!$B$75:$B$79,MATCH("Ample &gt;=15k",'Scoring Method'!$A$75:$A$79,0))+INDEX('Scoring Method'!$B$343:$B$347,MATCH(X115,'Scoring Method'!$A$343:$A$347,0))+INDEX('Scoring Method'!$B$25:$B$27,MATCH(P115,'Scoring Method'!$A$25:$A$27,0))</f>
        <v/>
      </c>
      <c r="AG115" s="96">
        <f>AF115*U115/100</f>
        <v/>
      </c>
      <c r="AH115" s="92" t="inlineStr">
        <is>
          <t>LINK-GIS + LoopNet (2026-08-03)</t>
        </is>
      </c>
      <c r="AI115" s="99" t="n">
        <v>39.00339</v>
      </c>
      <c r="AJ115" s="99" t="n">
        <v>-84.53319999999999</v>
      </c>
      <c r="AK115" s="94" t="n">
        <v>5.66</v>
      </c>
      <c r="AL115" s="94" t="n">
        <v>6.19</v>
      </c>
      <c r="AM115" s="94" t="n">
        <v>6.87</v>
      </c>
      <c r="AN115" s="94" t="n">
        <v>5.66</v>
      </c>
      <c r="AO115" s="92" t="inlineStr">
        <is>
          <t>Remote &gt;3mi</t>
        </is>
      </c>
      <c r="AP115" s="92" t="inlineStr">
        <is>
          <t>Office/institutional</t>
        </is>
      </c>
      <c r="AQ115" s="92" t="inlineStr">
        <is>
          <t>Ample &gt;=15k</t>
        </is>
      </c>
      <c r="AR115" s="100" t="n"/>
      <c r="AS115" s="96">
        <f>ROUND(INDEX('Scoring Method'!$B$63:$B$70,MATCH(AE115,'Scoring Method'!$A$63:$A$70,0))*0.625+INDEX('Scoring Method'!$B$105:$B$113,MATCH(AP115,'Scoring Method'!$A$105:$A$113,0))+INDEX('Scoring Method'!$B$74:$B$78,MATCH(AQ115,'Scoring Method'!$A$74:$A$78,0))*0.6667+INDEX('Scoring Method'!$B$96:$B$101,MATCH(AO115,'Scoring Method'!$A$96:$A$101,0))+INDEX('Scoring Method'!$B$343:$B$347,MATCH(X115,'Scoring Method'!$A$343:$A$347,0))*0.3333+INDEX('Scoring Method'!$B$25:$B$27,MATCH(P115,'Scoring Method'!$A$25:$A$27,0))*0.3333,1)</f>
        <v/>
      </c>
      <c r="AT115" s="96">
        <f>AS115*U115/100</f>
        <v/>
      </c>
      <c r="AU115" s="92" t="inlineStr">
        <is>
          <t>South Covington</t>
        </is>
      </c>
      <c r="AV115" s="92" t="n">
        <v>88</v>
      </c>
      <c r="AW115" s="92" t="inlineStr">
        <is>
          <t>Sourced</t>
        </is>
      </c>
      <c r="AX115" s="92" t="inlineStr">
        <is>
          <t>Very safe 80+</t>
        </is>
      </c>
      <c r="AY115" s="96">
        <f>ROUND(INDEX('Scoring Method'!$B$132:$B$140,MATCH(AE115,'Scoring Method'!$A$132:$A$140,0))+INDEX('Scoring Method'!$B$144:$B$152,MATCH(AP115,'Scoring Method'!$A$144:$A$152,0))+INDEX('Scoring Method'!$B$156:$B$160,MATCH(AQ115,'Scoring Method'!$A$156:$A$160,0))+INDEX('Scoring Method'!$B$164:$B$169,MATCH(AO115,'Scoring Method'!$A$164:$A$169,0))+INDEX('Scoring Method'!$B$173:$B$178,MATCH(AX115,'Scoring Method'!$A$173:$A$178,0))+INDEX('Scoring Method'!$B$349:$B$353,MATCH(X115,'Scoring Method'!$A$349:$A$353,0))+INDEX('Scoring Method'!$B$188:$B$190,MATCH(P115,'Scoring Method'!$A$188:$A$190,0)),1)</f>
        <v/>
      </c>
      <c r="AZ115" s="96">
        <f>AY115*U115/100</f>
        <v/>
      </c>
      <c r="BA115" s="92" t="inlineStr">
        <is>
          <t>No chain signal</t>
        </is>
      </c>
      <c r="BB115" s="94" t="n">
        <v>1</v>
      </c>
      <c r="BC115" s="102" t="inlineStr">
        <is>
          <t>Large 0.75-1.25 AC</t>
        </is>
      </c>
      <c r="BD115" s="94" t="n">
        <v>0.9</v>
      </c>
      <c r="BE115" s="96">
        <f>ROUND(INDEX('Scoring Method'!$B$268:$B$276,MATCH(AE115,'Scoring Method'!$A$268:$A$276,0))+INDEX('Scoring Method'!$B$280:$B$288,MATCH(AP115,'Scoring Method'!$A$280:$A$288,0))+INDEX('Scoring Method'!$B$292:$B$296,MATCH(AQ115,'Scoring Method'!$A$292:$A$296,0))+INDEX('Scoring Method'!$B$300:$B$305,MATCH(AO115,'Scoring Method'!$A$300:$A$305,0))+INDEX('Scoring Method'!$B$309:$B$314,MATCH(AX115,'Scoring Method'!$A$309:$A$314,0))+INDEX('Scoring Method'!$B$337:$B$341,MATCH(X115,'Scoring Method'!$A$337:$A$341,0))+INDEX('Scoring Method'!$B$324:$B$326,MATCH(P115,'Scoring Method'!$A$324:$A$326,0)),1)</f>
        <v/>
      </c>
      <c r="BF115" s="96">
        <f>ROUND(INDEX('Scoring Method'!$B$268:$B$276,MATCH(AE115,'Scoring Method'!$A$268:$A$276,0))*BB115*BD115+INDEX('Scoring Method'!$B$280:$B$288,MATCH(AP115,'Scoring Method'!$A$280:$A$288,0))*BM115*BB115*BD115+INDEX('Scoring Method'!$B$292:$B$296,MATCH(AQ115,'Scoring Method'!$A$292:$A$296,0))*BD115+INDEX('Scoring Method'!$B$300:$B$305,MATCH(AO115,'Scoring Method'!$A$300:$A$305,0))*BM115*BB115+INDEX('Scoring Method'!$B$309:$B$314,MATCH(AX115,'Scoring Method'!$A$309:$A$314,0))+INDEX('Scoring Method'!$B$337:$B$341,MATCH(X115,'Scoring Method'!$A$337:$A$341,0))+INDEX('Scoring Method'!$B$324:$B$326,MATCH(P115,'Scoring Method'!$A$324:$A$326,0)),1)</f>
        <v/>
      </c>
      <c r="BG115" s="92" t="inlineStr">
        <is>
          <t>Fits (~$3,667/mo)</t>
        </is>
      </c>
      <c r="BH115" s="61" t="inlineStr">
        <is>
          <t>SI</t>
        </is>
      </c>
      <c r="BI115" s="61" t="inlineStr">
        <is>
          <t>Suburban Industrial</t>
        </is>
      </c>
      <c r="BJ115" s="61" t="inlineStr"/>
      <c r="BK115" s="61" t="inlineStr"/>
      <c r="BL115" s="61" t="inlineStr">
        <is>
          <t>Bar permitted</t>
        </is>
      </c>
      <c r="BM115" s="61">
        <f>INDEX('Scoring Method'!$B$358:$B$363,MATCH(BL115,'Scoring Method'!$A$358:$A$363,0))</f>
        <v/>
      </c>
    </row>
    <row r="116" ht="15" customHeight="1" s="62">
      <c r="A116" s="92" t="n">
        <v>115</v>
      </c>
      <c r="B116" s="92" t="inlineStr">
        <is>
          <t>054-23-14-013.00</t>
        </is>
      </c>
      <c r="C116" s="92" t="inlineStr">
        <is>
          <t>722 SCOTT ST</t>
        </is>
      </c>
      <c r="D116" s="92" t="inlineStr">
        <is>
          <t>COVINGTON INVESTMENT</t>
        </is>
      </c>
      <c r="E116" s="92" t="inlineStr">
        <is>
          <t>2734 CHANCELLOR DR STE 208</t>
        </is>
      </c>
      <c r="F116" s="92" t="inlineStr">
        <is>
          <t>CRESTVIEW HILLS</t>
        </is>
      </c>
      <c r="G116" s="92" t="inlineStr">
        <is>
          <t>KY</t>
        </is>
      </c>
      <c r="H116" s="92" t="inlineStr">
        <is>
          <t>OFFICE TOWER - 3 STORY &amp; UP</t>
        </is>
      </c>
      <c r="I116" s="93" t="n">
        <v>21637</v>
      </c>
      <c r="J116" s="94">
        <f>I116/43560</f>
        <v/>
      </c>
      <c r="K116" s="93" t="n">
        <v>732</v>
      </c>
      <c r="L116" s="95">
        <f>I116/(K116^2)</f>
        <v/>
      </c>
      <c r="M116" s="92" t="inlineStr">
        <is>
          <t>Ideal 18-32k</t>
        </is>
      </c>
      <c r="N116" s="92" t="inlineStr">
        <is>
          <t>E</t>
        </is>
      </c>
      <c r="O116" s="92" t="inlineStr">
        <is>
          <t>Elongated .035-.045</t>
        </is>
      </c>
      <c r="P116" s="92" t="inlineStr">
        <is>
          <t>Low</t>
        </is>
      </c>
      <c r="Q116" s="92" t="inlineStr">
        <is>
          <t>Out-of-city KY</t>
        </is>
      </c>
      <c r="R116" s="92" t="inlineStr">
        <is>
          <t>Passive vehicle</t>
        </is>
      </c>
      <c r="S116" s="92" t="n">
        <v>1</v>
      </c>
      <c r="T116" s="96">
        <f>INDEX('Scoring Method'!$B$6:$B$9,MATCH(M116,'Scoring Method'!$A$6:$A$9,0))+INDEX('Scoring Method'!$B$12:$B$16,MATCH(N116,'Scoring Method'!$A$12:$A$16,0))+INDEX('Scoring Method'!$B$19:$B$22,MATCH(O116,'Scoring Method'!$A$19:$A$22,0))+INDEX('Scoring Method'!$B$25:$B$27,MATCH(P116,'Scoring Method'!$A$25:$A$27,0))</f>
        <v/>
      </c>
      <c r="U116" s="96">
        <f>(INDEX('Scoring Method'!$B$30:$B$33,MATCH(Q116,'Scoring Method'!$A$30:$A$33,0))+INDEX('Scoring Method'!$B$36:$B$42,MATCH(R116,'Scoring Method'!$A$36:$A$42,0))+INDEX('Scoring Method'!$B$45:$B$47,MATCH(IF(S116=1,"1",IF(S116=2,"2","3+")),'Scoring Method'!$A$45:$A$47,0)))/90*100</f>
        <v/>
      </c>
      <c r="V116" s="96">
        <f>T116*U116/100</f>
        <v/>
      </c>
      <c r="W116" s="93" t="n">
        <v>4662</v>
      </c>
      <c r="X116" s="92" t="inlineStr">
        <is>
          <t>X (minimal hazard)</t>
        </is>
      </c>
      <c r="Y116" s="93" t="n">
        <v>16400</v>
      </c>
      <c r="Z116" s="97" t="n"/>
      <c r="AA116" s="98">
        <f>MAX(0,(Y116-5000)/300)</f>
        <v/>
      </c>
      <c r="AB116" s="92" t="n"/>
      <c r="AC116" s="92" t="n"/>
      <c r="AD116" s="92" t="n"/>
      <c r="AE116" s="92" t="inlineStr">
        <is>
          <t>Office tower 3+ storey</t>
        </is>
      </c>
      <c r="AF116" s="96">
        <f>INDEX('Scoring Method'!$B$63:$B$71,MATCH(AE116,'Scoring Method'!$A$63:$A$71,0))+INDEX('Scoring Method'!$B$75:$B$79,MATCH("Ample &gt;=15k",'Scoring Method'!$A$75:$A$79,0))+INDEX('Scoring Method'!$B$343:$B$347,MATCH(X116,'Scoring Method'!$A$343:$A$347,0))+INDEX('Scoring Method'!$B$25:$B$27,MATCH(P116,'Scoring Method'!$A$25:$A$27,0))</f>
        <v/>
      </c>
      <c r="AG116" s="96">
        <f>AF116*U116/100</f>
        <v/>
      </c>
      <c r="AH116" s="92" t="inlineStr">
        <is>
          <t>LINK-GIS only</t>
        </is>
      </c>
      <c r="AI116" s="99" t="n">
        <v>39.08302</v>
      </c>
      <c r="AJ116" s="99" t="n">
        <v>-84.50775</v>
      </c>
      <c r="AK116" s="94" t="n">
        <v>0.55</v>
      </c>
      <c r="AL116" s="94" t="n">
        <v>0.54</v>
      </c>
      <c r="AM116" s="94" t="n">
        <v>1.3</v>
      </c>
      <c r="AN116" s="94" t="n">
        <v>0.19</v>
      </c>
      <c r="AO116" s="92" t="inlineStr">
        <is>
          <t>Core &lt;=0.35mi</t>
        </is>
      </c>
      <c r="AP116" s="92" t="inlineStr">
        <is>
          <t>Office tower 3+ storey</t>
        </is>
      </c>
      <c r="AQ116" s="92" t="inlineStr">
        <is>
          <t>Ample &gt;=15k</t>
        </is>
      </c>
      <c r="AR116" s="100" t="n"/>
      <c r="AS116" s="96">
        <f>ROUND(INDEX('Scoring Method'!$B$63:$B$70,MATCH(AE116,'Scoring Method'!$A$63:$A$70,0))*0.625+INDEX('Scoring Method'!$B$105:$B$113,MATCH(AP116,'Scoring Method'!$A$105:$A$113,0))+INDEX('Scoring Method'!$B$74:$B$78,MATCH(AQ116,'Scoring Method'!$A$74:$A$78,0))*0.6667+INDEX('Scoring Method'!$B$96:$B$101,MATCH(AO116,'Scoring Method'!$A$96:$A$101,0))+INDEX('Scoring Method'!$B$343:$B$347,MATCH(X116,'Scoring Method'!$A$343:$A$347,0))*0.3333+INDEX('Scoring Method'!$B$25:$B$27,MATCH(P116,'Scoring Method'!$A$25:$A$27,0))*0.3333,1)</f>
        <v/>
      </c>
      <c r="AT116" s="96">
        <f>AS116*U116/100</f>
        <v/>
      </c>
      <c r="AU116" s="92" t="inlineStr">
        <is>
          <t>Central Business District</t>
        </is>
      </c>
      <c r="AV116" s="92" t="n">
        <v>48</v>
      </c>
      <c r="AW116" s="101" t="inlineStr">
        <is>
          <t>ESTIMATED</t>
        </is>
      </c>
      <c r="AX116" s="92" t="inlineStr">
        <is>
          <t>Mixed 45-59</t>
        </is>
      </c>
      <c r="AY116" s="96">
        <f>ROUND(INDEX('Scoring Method'!$B$132:$B$140,MATCH(AE116,'Scoring Method'!$A$132:$A$140,0))+INDEX('Scoring Method'!$B$144:$B$152,MATCH(AP116,'Scoring Method'!$A$144:$A$152,0))+INDEX('Scoring Method'!$B$156:$B$160,MATCH(AQ116,'Scoring Method'!$A$156:$A$160,0))+INDEX('Scoring Method'!$B$164:$B$169,MATCH(AO116,'Scoring Method'!$A$164:$A$169,0))+INDEX('Scoring Method'!$B$173:$B$178,MATCH(AX116,'Scoring Method'!$A$173:$A$178,0))+INDEX('Scoring Method'!$B$349:$B$353,MATCH(X116,'Scoring Method'!$A$349:$A$353,0))+INDEX('Scoring Method'!$B$188:$B$190,MATCH(P116,'Scoring Method'!$A$188:$A$190,0)),1)</f>
        <v/>
      </c>
      <c r="AZ116" s="96">
        <f>AY116*U116/100</f>
        <v/>
      </c>
      <c r="BA116" s="92" t="inlineStr">
        <is>
          <t>No chain signal</t>
        </is>
      </c>
      <c r="BB116" s="94" t="n">
        <v>1</v>
      </c>
      <c r="BC116" s="92" t="inlineStr">
        <is>
          <t>Right-sized 0.35-0.75 AC</t>
        </is>
      </c>
      <c r="BD116" s="94" t="n">
        <v>1</v>
      </c>
      <c r="BE116" s="96">
        <f>ROUND(INDEX('Scoring Method'!$B$268:$B$276,MATCH(AE116,'Scoring Method'!$A$268:$A$276,0))+INDEX('Scoring Method'!$B$280:$B$288,MATCH(AP116,'Scoring Method'!$A$280:$A$288,0))+INDEX('Scoring Method'!$B$292:$B$296,MATCH(AQ116,'Scoring Method'!$A$292:$A$296,0))+INDEX('Scoring Method'!$B$300:$B$305,MATCH(AO116,'Scoring Method'!$A$300:$A$305,0))+INDEX('Scoring Method'!$B$309:$B$314,MATCH(AX116,'Scoring Method'!$A$309:$A$314,0))+INDEX('Scoring Method'!$B$337:$B$341,MATCH(X116,'Scoring Method'!$A$337:$A$341,0))+INDEX('Scoring Method'!$B$324:$B$326,MATCH(P116,'Scoring Method'!$A$324:$A$326,0)),1)</f>
        <v/>
      </c>
      <c r="BF116" s="96">
        <f>ROUND(INDEX('Scoring Method'!$B$268:$B$276,MATCH(AE116,'Scoring Method'!$A$268:$A$276,0))*BB116*BD116+INDEX('Scoring Method'!$B$280:$B$288,MATCH(AP116,'Scoring Method'!$A$280:$A$288,0))*BM116*BB116*BD116+INDEX('Scoring Method'!$B$292:$B$296,MATCH(AQ116,'Scoring Method'!$A$292:$A$296,0))*BD116+INDEX('Scoring Method'!$B$300:$B$305,MATCH(AO116,'Scoring Method'!$A$300:$A$305,0))*BM116*BB116+INDEX('Scoring Method'!$B$309:$B$314,MATCH(AX116,'Scoring Method'!$A$309:$A$314,0))+INDEX('Scoring Method'!$B$337:$B$341,MATCH(X116,'Scoring Method'!$A$337:$A$341,0))+INDEX('Scoring Method'!$B$324:$B$326,MATCH(P116,'Scoring Method'!$A$324:$A$326,0)),1)</f>
        <v/>
      </c>
      <c r="BG116" s="92" t="inlineStr">
        <is>
          <t>Fits (~$4,274/mo)</t>
        </is>
      </c>
      <c r="BH116" s="61" t="inlineStr">
        <is>
          <t>DTC (HP)</t>
        </is>
      </c>
      <c r="BI116" s="61" t="inlineStr">
        <is>
          <t>Downtown Core</t>
        </is>
      </c>
      <c r="BJ116" s="61" t="inlineStr">
        <is>
          <t>HP</t>
        </is>
      </c>
      <c r="BK116" s="61" t="inlineStr"/>
      <c r="BL116" s="61" t="inlineStr">
        <is>
          <t>Bar permitted</t>
        </is>
      </c>
      <c r="BM116" s="61">
        <f>INDEX('Scoring Method'!$B$358:$B$363,MATCH(BL116,'Scoring Method'!$A$358:$A$363,0))</f>
        <v/>
      </c>
    </row>
    <row r="117" ht="15" customHeight="1" s="62">
      <c r="A117" s="92" t="n">
        <v>116</v>
      </c>
      <c r="B117" s="92" t="inlineStr">
        <is>
          <t>042-30-00-067.00</t>
        </is>
      </c>
      <c r="C117" s="92" t="inlineStr">
        <is>
          <t>3212 MADISON PIKE BLDG BARN</t>
        </is>
      </c>
      <c r="D117" s="92" t="inlineStr">
        <is>
          <t>HON CHARLES G</t>
        </is>
      </c>
      <c r="E117" s="92" t="inlineStr">
        <is>
          <t>3210 MADISON PK</t>
        </is>
      </c>
      <c r="F117" s="92" t="inlineStr">
        <is>
          <t>FT MITCHELL</t>
        </is>
      </c>
      <c r="G117" s="92" t="inlineStr">
        <is>
          <t>KY</t>
        </is>
      </c>
      <c r="H117" s="92" t="inlineStr">
        <is>
          <t>GARAGE/PARKING SPACE</t>
        </is>
      </c>
      <c r="I117" s="93" t="n">
        <v>42309</v>
      </c>
      <c r="J117" s="94">
        <f>I117/43560</f>
        <v/>
      </c>
      <c r="K117" s="93" t="n">
        <v>1035.8</v>
      </c>
      <c r="L117" s="95">
        <f>I117/(K117^2)</f>
        <v/>
      </c>
      <c r="M117" s="92" t="inlineStr">
        <is>
          <t>Near 14-18k/32-45k</t>
        </is>
      </c>
      <c r="N117" s="92" t="inlineStr">
        <is>
          <t>D</t>
        </is>
      </c>
      <c r="O117" s="92" t="inlineStr">
        <is>
          <t>Elongated .035-.045</t>
        </is>
      </c>
      <c r="P117" s="92" t="inlineStr">
        <is>
          <t>Low</t>
        </is>
      </c>
      <c r="Q117" s="92" t="inlineStr">
        <is>
          <t>Out-of-city KY</t>
        </is>
      </c>
      <c r="R117" s="92" t="inlineStr">
        <is>
          <t>Individual</t>
        </is>
      </c>
      <c r="S117" s="92" t="n">
        <v>1</v>
      </c>
      <c r="T117" s="96">
        <f>INDEX('Scoring Method'!$B$6:$B$9,MATCH(M117,'Scoring Method'!$A$6:$A$9,0))+INDEX('Scoring Method'!$B$12:$B$16,MATCH(N117,'Scoring Method'!$A$12:$A$16,0))+INDEX('Scoring Method'!$B$19:$B$22,MATCH(O117,'Scoring Method'!$A$19:$A$22,0))+INDEX('Scoring Method'!$B$25:$B$27,MATCH(P117,'Scoring Method'!$A$25:$A$27,0))</f>
        <v/>
      </c>
      <c r="U117" s="96">
        <f>(INDEX('Scoring Method'!$B$30:$B$33,MATCH(Q117,'Scoring Method'!$A$30:$A$33,0))+INDEX('Scoring Method'!$B$36:$B$42,MATCH(R117,'Scoring Method'!$A$36:$A$42,0))+INDEX('Scoring Method'!$B$45:$B$47,MATCH(IF(S117=1,"1",IF(S117=2,"2","3+")),'Scoring Method'!$A$45:$A$47,0)))/90*100</f>
        <v/>
      </c>
      <c r="V117" s="96">
        <f>T117*U117/100</f>
        <v/>
      </c>
      <c r="W117" s="93" t="n">
        <v>1609</v>
      </c>
      <c r="X117" s="92" t="inlineStr">
        <is>
          <t>X (minimal hazard)</t>
        </is>
      </c>
      <c r="Y117" s="93" t="n">
        <v>40550</v>
      </c>
      <c r="Z117" s="97" t="n"/>
      <c r="AA117" s="98">
        <f>MAX(0,(Y117-5000)/300)</f>
        <v/>
      </c>
      <c r="AB117" s="92" t="n"/>
      <c r="AC117" s="92" t="n"/>
      <c r="AD117" s="92" t="n"/>
      <c r="AE117" s="92" t="inlineStr">
        <is>
          <t>Target 1.5-2.5k</t>
        </is>
      </c>
      <c r="AF117" s="96">
        <f>INDEX('Scoring Method'!$B$63:$B$71,MATCH(AE117,'Scoring Method'!$A$63:$A$71,0))+INDEX('Scoring Method'!$B$75:$B$79,MATCH("Ample &gt;=15k",'Scoring Method'!$A$75:$A$79,0))+INDEX('Scoring Method'!$B$343:$B$347,MATCH(X117,'Scoring Method'!$A$343:$A$347,0))+INDEX('Scoring Method'!$B$25:$B$27,MATCH(P117,'Scoring Method'!$A$25:$A$27,0))</f>
        <v/>
      </c>
      <c r="AG117" s="96">
        <f>AF117*U117/100</f>
        <v/>
      </c>
      <c r="AH117" s="92" t="inlineStr">
        <is>
          <t>LINK-GIS only</t>
        </is>
      </c>
      <c r="AI117" s="99" t="n">
        <v>39.04737</v>
      </c>
      <c r="AJ117" s="99" t="n">
        <v>-84.52119999999999</v>
      </c>
      <c r="AK117" s="94" t="n">
        <v>2.56</v>
      </c>
      <c r="AL117" s="94" t="n">
        <v>3.08</v>
      </c>
      <c r="AM117" s="94" t="n">
        <v>3.77</v>
      </c>
      <c r="AN117" s="94" t="n">
        <v>2.56</v>
      </c>
      <c r="AO117" s="92" t="inlineStr">
        <is>
          <t>Distant 2-3mi</t>
        </is>
      </c>
      <c r="AP117" s="92" t="inlineStr">
        <is>
          <t>Lot / minimal bldg</t>
        </is>
      </c>
      <c r="AQ117" s="92" t="inlineStr">
        <is>
          <t>Ample &gt;=15k</t>
        </is>
      </c>
      <c r="AR117" s="100" t="n"/>
      <c r="AS117" s="96">
        <f>ROUND(INDEX('Scoring Method'!$B$63:$B$70,MATCH(AE117,'Scoring Method'!$A$63:$A$70,0))*0.625+INDEX('Scoring Method'!$B$105:$B$113,MATCH(AP117,'Scoring Method'!$A$105:$A$113,0))+INDEX('Scoring Method'!$B$74:$B$78,MATCH(AQ117,'Scoring Method'!$A$74:$A$78,0))*0.6667+INDEX('Scoring Method'!$B$96:$B$101,MATCH(AO117,'Scoring Method'!$A$96:$A$101,0))+INDEX('Scoring Method'!$B$343:$B$347,MATCH(X117,'Scoring Method'!$A$343:$A$347,0))*0.3333+INDEX('Scoring Method'!$B$25:$B$27,MATCH(P117,'Scoring Method'!$A$25:$A$27,0))*0.3333,1)</f>
        <v/>
      </c>
      <c r="AT117" s="96">
        <f>AS117*U117/100</f>
        <v/>
      </c>
      <c r="AU117" s="92" t="inlineStr">
        <is>
          <t>Latonia Rosedale</t>
        </is>
      </c>
      <c r="AV117" s="92" t="n">
        <v>68</v>
      </c>
      <c r="AW117" s="92" t="inlineStr">
        <is>
          <t>Sourced</t>
        </is>
      </c>
      <c r="AX117" s="92" t="inlineStr">
        <is>
          <t>Moderate 60-69</t>
        </is>
      </c>
      <c r="AY117" s="96">
        <f>ROUND(INDEX('Scoring Method'!$B$132:$B$140,MATCH(AE117,'Scoring Method'!$A$132:$A$140,0))+INDEX('Scoring Method'!$B$144:$B$152,MATCH(AP117,'Scoring Method'!$A$144:$A$152,0))+INDEX('Scoring Method'!$B$156:$B$160,MATCH(AQ117,'Scoring Method'!$A$156:$A$160,0))+INDEX('Scoring Method'!$B$164:$B$169,MATCH(AO117,'Scoring Method'!$A$164:$A$169,0))+INDEX('Scoring Method'!$B$173:$B$178,MATCH(AX117,'Scoring Method'!$A$173:$A$178,0))+INDEX('Scoring Method'!$B$349:$B$353,MATCH(X117,'Scoring Method'!$A$349:$A$353,0))+INDEX('Scoring Method'!$B$188:$B$190,MATCH(P117,'Scoring Method'!$A$188:$A$190,0)),1)</f>
        <v/>
      </c>
      <c r="AZ117" s="96">
        <f>AY117*U117/100</f>
        <v/>
      </c>
      <c r="BA117" s="92" t="inlineStr">
        <is>
          <t>No chain signal</t>
        </is>
      </c>
      <c r="BB117" s="94" t="n">
        <v>1</v>
      </c>
      <c r="BC117" s="102" t="inlineStr">
        <is>
          <t>Large 0.75-1.25 AC</t>
        </is>
      </c>
      <c r="BD117" s="94" t="n">
        <v>0.9</v>
      </c>
      <c r="BE117" s="96">
        <f>ROUND(INDEX('Scoring Method'!$B$268:$B$276,MATCH(AE117,'Scoring Method'!$A$268:$A$276,0))+INDEX('Scoring Method'!$B$280:$B$288,MATCH(AP117,'Scoring Method'!$A$280:$A$288,0))+INDEX('Scoring Method'!$B$292:$B$296,MATCH(AQ117,'Scoring Method'!$A$292:$A$296,0))+INDEX('Scoring Method'!$B$300:$B$305,MATCH(AO117,'Scoring Method'!$A$300:$A$305,0))+INDEX('Scoring Method'!$B$309:$B$314,MATCH(AX117,'Scoring Method'!$A$309:$A$314,0))+INDEX('Scoring Method'!$B$337:$B$341,MATCH(X117,'Scoring Method'!$A$337:$A$341,0))+INDEX('Scoring Method'!$B$324:$B$326,MATCH(P117,'Scoring Method'!$A$324:$A$326,0)),1)</f>
        <v/>
      </c>
      <c r="BF117" s="96">
        <f>ROUND(INDEX('Scoring Method'!$B$268:$B$276,MATCH(AE117,'Scoring Method'!$A$268:$A$276,0))*BB117*BD117+INDEX('Scoring Method'!$B$280:$B$288,MATCH(AP117,'Scoring Method'!$A$280:$A$288,0))*BM117*BB117*BD117+INDEX('Scoring Method'!$B$292:$B$296,MATCH(AQ117,'Scoring Method'!$A$292:$A$296,0))*BD117+INDEX('Scoring Method'!$B$300:$B$305,MATCH(AO117,'Scoring Method'!$A$300:$A$305,0))*BM117*BB117+INDEX('Scoring Method'!$B$309:$B$314,MATCH(AX117,'Scoring Method'!$A$309:$A$314,0))+INDEX('Scoring Method'!$B$337:$B$341,MATCH(X117,'Scoring Method'!$A$337:$A$341,0))+INDEX('Scoring Method'!$B$324:$B$326,MATCH(P117,'Scoring Method'!$A$324:$A$326,0)),1)</f>
        <v/>
      </c>
      <c r="BG117" s="92" t="inlineStr">
        <is>
          <t>Fits (~$1,475/mo)</t>
        </is>
      </c>
      <c r="BH117" s="61" t="inlineStr">
        <is>
          <t>AUC</t>
        </is>
      </c>
      <c r="BI117" s="61" t="inlineStr">
        <is>
          <t>Auto-Urban Commercial</t>
        </is>
      </c>
      <c r="BJ117" s="61" t="inlineStr"/>
      <c r="BK117" s="61" t="inlineStr"/>
      <c r="BL117" s="61" t="inlineStr">
        <is>
          <t>Bar permitted</t>
        </is>
      </c>
      <c r="BM117" s="61">
        <f>INDEX('Scoring Method'!$B$358:$B$363,MATCH(BL117,'Scoring Method'!$A$358:$A$363,0))</f>
        <v/>
      </c>
    </row>
    <row r="118" ht="15" customHeight="1" s="62">
      <c r="A118" s="92" t="n">
        <v>117</v>
      </c>
      <c r="B118" s="92" t="inlineStr">
        <is>
          <t>054-23-14-011.00</t>
        </is>
      </c>
      <c r="C118" s="92" t="inlineStr">
        <is>
          <t>725 GREENUP ST</t>
        </is>
      </c>
      <c r="D118" s="92" t="inlineStr">
        <is>
          <t>BROCK MARY SUE</t>
        </is>
      </c>
      <c r="E118" s="92" t="inlineStr">
        <is>
          <t>150 CAVE RUN DR UNIT 3</t>
        </is>
      </c>
      <c r="F118" s="92" t="inlineStr">
        <is>
          <t>ERLANGER</t>
        </is>
      </c>
      <c r="G118" s="92" t="inlineStr">
        <is>
          <t>KY</t>
        </is>
      </c>
      <c r="H118" s="92" t="inlineStr">
        <is>
          <t>PAVED LOT</t>
        </is>
      </c>
      <c r="I118" s="93" t="n">
        <v>36725</v>
      </c>
      <c r="J118" s="94">
        <f>I118/43560</f>
        <v/>
      </c>
      <c r="K118" s="93" t="n">
        <v>911</v>
      </c>
      <c r="L118" s="95">
        <f>I118/(K118^2)</f>
        <v/>
      </c>
      <c r="M118" s="92" t="inlineStr">
        <is>
          <t>Near 14-18k/32-45k</t>
        </is>
      </c>
      <c r="N118" s="92" t="inlineStr">
        <is>
          <t>D</t>
        </is>
      </c>
      <c r="O118" s="92" t="inlineStr">
        <is>
          <t>Elongated .035-.045</t>
        </is>
      </c>
      <c r="P118" s="92" t="inlineStr">
        <is>
          <t>Low</t>
        </is>
      </c>
      <c r="Q118" s="92" t="inlineStr">
        <is>
          <t>Out-of-city KY</t>
        </is>
      </c>
      <c r="R118" s="92" t="inlineStr">
        <is>
          <t>Individual</t>
        </is>
      </c>
      <c r="S118" s="92" t="n">
        <v>1</v>
      </c>
      <c r="T118" s="96">
        <f>INDEX('Scoring Method'!$B$6:$B$9,MATCH(M118,'Scoring Method'!$A$6:$A$9,0))+INDEX('Scoring Method'!$B$12:$B$16,MATCH(N118,'Scoring Method'!$A$12:$A$16,0))+INDEX('Scoring Method'!$B$19:$B$22,MATCH(O118,'Scoring Method'!$A$19:$A$22,0))+INDEX('Scoring Method'!$B$25:$B$27,MATCH(P118,'Scoring Method'!$A$25:$A$27,0))</f>
        <v/>
      </c>
      <c r="U118" s="96">
        <f>(INDEX('Scoring Method'!$B$30:$B$33,MATCH(Q118,'Scoring Method'!$A$30:$A$33,0))+INDEX('Scoring Method'!$B$36:$B$42,MATCH(R118,'Scoring Method'!$A$36:$A$42,0))+INDEX('Scoring Method'!$B$45:$B$47,MATCH(IF(S118=1,"1",IF(S118=2,"2","3+")),'Scoring Method'!$A$45:$A$47,0)))/90*100</f>
        <v/>
      </c>
      <c r="V118" s="96">
        <f>T118*U118/100</f>
        <v/>
      </c>
      <c r="W118" s="93" t="n"/>
      <c r="X118" s="92" t="inlineStr">
        <is>
          <t>X (minimal hazard)</t>
        </is>
      </c>
      <c r="Y118" s="93" t="n">
        <v>36425</v>
      </c>
      <c r="Z118" s="97" t="n"/>
      <c r="AA118" s="98" t="n"/>
      <c r="AB118" s="92" t="n"/>
      <c r="AC118" s="92" t="n">
        <v>0.84</v>
      </c>
      <c r="AD118" s="92" t="inlineStr">
        <is>
          <t>ok</t>
        </is>
      </c>
      <c r="AE118" s="92" t="inlineStr">
        <is>
          <t>No building</t>
        </is>
      </c>
      <c r="AF118" s="96">
        <f>INDEX('Scoring Method'!$B$63:$B$71,MATCH(AE118,'Scoring Method'!$A$63:$A$71,0))+INDEX('Scoring Method'!$B$75:$B$79,MATCH("Ample &gt;=15k",'Scoring Method'!$A$75:$A$79,0))+INDEX('Scoring Method'!$B$343:$B$347,MATCH(X118,'Scoring Method'!$A$343:$A$347,0))+INDEX('Scoring Method'!$B$25:$B$27,MATCH(P118,'Scoring Method'!$A$25:$A$27,0))</f>
        <v/>
      </c>
      <c r="AG118" s="96">
        <f>AF118*U118/100</f>
        <v/>
      </c>
      <c r="AH118" s="92" t="inlineStr">
        <is>
          <t>LINK-GIS + LoopNet</t>
        </is>
      </c>
      <c r="AI118" s="99" t="n">
        <v>39.08303</v>
      </c>
      <c r="AJ118" s="99" t="n">
        <v>-84.50725</v>
      </c>
      <c r="AK118" s="94" t="n">
        <v>0.58</v>
      </c>
      <c r="AL118" s="94" t="n">
        <v>0.54</v>
      </c>
      <c r="AM118" s="94" t="n">
        <v>1.31</v>
      </c>
      <c r="AN118" s="94" t="n">
        <v>0.21</v>
      </c>
      <c r="AO118" s="92" t="inlineStr">
        <is>
          <t>Core &lt;=0.35mi</t>
        </is>
      </c>
      <c r="AP118" s="92" t="inlineStr">
        <is>
          <t>Lot / minimal bldg</t>
        </is>
      </c>
      <c r="AQ118" s="92" t="inlineStr">
        <is>
          <t>Ample &gt;=15k</t>
        </is>
      </c>
      <c r="AR118" s="100" t="n"/>
      <c r="AS118" s="96">
        <f>ROUND(INDEX('Scoring Method'!$B$63:$B$70,MATCH(AE118,'Scoring Method'!$A$63:$A$70,0))*0.625+INDEX('Scoring Method'!$B$105:$B$113,MATCH(AP118,'Scoring Method'!$A$105:$A$113,0))+INDEX('Scoring Method'!$B$74:$B$78,MATCH(AQ118,'Scoring Method'!$A$74:$A$78,0))*0.6667+INDEX('Scoring Method'!$B$96:$B$101,MATCH(AO118,'Scoring Method'!$A$96:$A$101,0))+INDEX('Scoring Method'!$B$343:$B$347,MATCH(X118,'Scoring Method'!$A$343:$A$347,0))*0.3333+INDEX('Scoring Method'!$B$25:$B$27,MATCH(P118,'Scoring Method'!$A$25:$A$27,0))*0.3333,1)</f>
        <v/>
      </c>
      <c r="AT118" s="96">
        <f>AS118*U118/100</f>
        <v/>
      </c>
      <c r="AU118" s="92" t="inlineStr">
        <is>
          <t>Central Business District</t>
        </is>
      </c>
      <c r="AV118" s="92" t="n">
        <v>48</v>
      </c>
      <c r="AW118" s="101" t="inlineStr">
        <is>
          <t>ESTIMATED</t>
        </is>
      </c>
      <c r="AX118" s="92" t="inlineStr">
        <is>
          <t>Mixed 45-59</t>
        </is>
      </c>
      <c r="AY118" s="96">
        <f>ROUND(INDEX('Scoring Method'!$B$132:$B$140,MATCH(AE118,'Scoring Method'!$A$132:$A$140,0))+INDEX('Scoring Method'!$B$144:$B$152,MATCH(AP118,'Scoring Method'!$A$144:$A$152,0))+INDEX('Scoring Method'!$B$156:$B$160,MATCH(AQ118,'Scoring Method'!$A$156:$A$160,0))+INDEX('Scoring Method'!$B$164:$B$169,MATCH(AO118,'Scoring Method'!$A$164:$A$169,0))+INDEX('Scoring Method'!$B$173:$B$178,MATCH(AX118,'Scoring Method'!$A$173:$A$178,0))+INDEX('Scoring Method'!$B$349:$B$353,MATCH(X118,'Scoring Method'!$A$349:$A$353,0))+INDEX('Scoring Method'!$B$188:$B$190,MATCH(P118,'Scoring Method'!$A$188:$A$190,0)),1)</f>
        <v/>
      </c>
      <c r="AZ118" s="96">
        <f>AY118*U118/100</f>
        <v/>
      </c>
      <c r="BA118" s="92" t="inlineStr">
        <is>
          <t>No chain signal</t>
        </is>
      </c>
      <c r="BB118" s="94" t="n">
        <v>1</v>
      </c>
      <c r="BC118" s="102" t="inlineStr">
        <is>
          <t>Large 0.75-1.25 AC</t>
        </is>
      </c>
      <c r="BD118" s="94" t="n">
        <v>0.9</v>
      </c>
      <c r="BE118" s="96">
        <f>ROUND(INDEX('Scoring Method'!$B$268:$B$276,MATCH(AE118,'Scoring Method'!$A$268:$A$276,0))+INDEX('Scoring Method'!$B$280:$B$288,MATCH(AP118,'Scoring Method'!$A$280:$A$288,0))+INDEX('Scoring Method'!$B$292:$B$296,MATCH(AQ118,'Scoring Method'!$A$292:$A$296,0))+INDEX('Scoring Method'!$B$300:$B$305,MATCH(AO118,'Scoring Method'!$A$300:$A$305,0))+INDEX('Scoring Method'!$B$309:$B$314,MATCH(AX118,'Scoring Method'!$A$309:$A$314,0))+INDEX('Scoring Method'!$B$337:$B$341,MATCH(X118,'Scoring Method'!$A$337:$A$341,0))+INDEX('Scoring Method'!$B$324:$B$326,MATCH(P118,'Scoring Method'!$A$324:$A$326,0)),1)</f>
        <v/>
      </c>
      <c r="BF118" s="96">
        <f>ROUND(INDEX('Scoring Method'!$B$268:$B$276,MATCH(AE118,'Scoring Method'!$A$268:$A$276,0))*BB118*BD118+INDEX('Scoring Method'!$B$280:$B$288,MATCH(AP118,'Scoring Method'!$A$280:$A$288,0))*BM118*BB118*BD118+INDEX('Scoring Method'!$B$292:$B$296,MATCH(AQ118,'Scoring Method'!$A$292:$A$296,0))*BD118+INDEX('Scoring Method'!$B$300:$B$305,MATCH(AO118,'Scoring Method'!$A$300:$A$305,0))*BM118*BB118+INDEX('Scoring Method'!$B$309:$B$314,MATCH(AX118,'Scoring Method'!$A$309:$A$314,0))+INDEX('Scoring Method'!$B$337:$B$341,MATCH(X118,'Scoring Method'!$A$337:$A$341,0))+INDEX('Scoring Method'!$B$324:$B$326,MATCH(P118,'Scoring Method'!$A$324:$A$326,0)),1)</f>
        <v/>
      </c>
      <c r="BG118" s="92" t="n"/>
      <c r="BH118" s="61" t="inlineStr">
        <is>
          <t>DTC (HP)</t>
        </is>
      </c>
      <c r="BI118" s="61" t="inlineStr">
        <is>
          <t>Downtown Core</t>
        </is>
      </c>
      <c r="BJ118" s="61" t="inlineStr">
        <is>
          <t>HP</t>
        </is>
      </c>
      <c r="BK118" s="61" t="inlineStr"/>
      <c r="BL118" s="61" t="inlineStr">
        <is>
          <t>Bar permitted</t>
        </is>
      </c>
      <c r="BM118" s="61">
        <f>INDEX('Scoring Method'!$B$358:$B$363,MATCH(BL118,'Scoring Method'!$A$358:$A$363,0))</f>
        <v/>
      </c>
    </row>
    <row r="119" ht="15" customHeight="1" s="62">
      <c r="A119" s="92" t="n">
        <v>118</v>
      </c>
      <c r="B119" s="92" t="inlineStr">
        <is>
          <t>055-31-29-001.00</t>
        </is>
      </c>
      <c r="C119" s="92" t="inlineStr">
        <is>
          <t>705 E 16TH ST</t>
        </is>
      </c>
      <c r="D119" s="92" t="inlineStr">
        <is>
          <t>WESTBANK PROPERTIES LLC</t>
        </is>
      </c>
      <c r="E119" s="92" t="inlineStr">
        <is>
          <t>1564 WATER ST</t>
        </is>
      </c>
      <c r="F119" s="92" t="inlineStr">
        <is>
          <t>COVINGTON</t>
        </is>
      </c>
      <c r="G119" s="92" t="inlineStr">
        <is>
          <t>KY</t>
        </is>
      </c>
      <c r="H119" s="92" t="inlineStr">
        <is>
          <t>GARAGE</t>
        </is>
      </c>
      <c r="I119" s="93" t="n">
        <v>12321</v>
      </c>
      <c r="J119" s="94">
        <f>I119/43560</f>
        <v/>
      </c>
      <c r="K119" s="93" t="n">
        <v>453.8</v>
      </c>
      <c r="L119" s="95">
        <f>I119/(K119^2)</f>
        <v/>
      </c>
      <c r="M119" s="92" t="inlineStr">
        <is>
          <t>Marginal 10-14k/45-60k</t>
        </is>
      </c>
      <c r="N119" s="92" t="inlineStr">
        <is>
          <t>A</t>
        </is>
      </c>
      <c r="O119" s="92" t="inlineStr">
        <is>
          <t>Compact &gt;=.055</t>
        </is>
      </c>
      <c r="P119" s="92" t="inlineStr">
        <is>
          <t>Moderate</t>
        </is>
      </c>
      <c r="Q119" s="92" t="inlineStr">
        <is>
          <t>Local absentee</t>
        </is>
      </c>
      <c r="R119" s="92" t="inlineStr">
        <is>
          <t>Passive vehicle</t>
        </is>
      </c>
      <c r="S119" s="92" t="n">
        <v>1</v>
      </c>
      <c r="T119" s="96">
        <f>INDEX('Scoring Method'!$B$6:$B$9,MATCH(M119,'Scoring Method'!$A$6:$A$9,0))+INDEX('Scoring Method'!$B$12:$B$16,MATCH(N119,'Scoring Method'!$A$12:$A$16,0))+INDEX('Scoring Method'!$B$19:$B$22,MATCH(O119,'Scoring Method'!$A$19:$A$22,0))+INDEX('Scoring Method'!$B$25:$B$27,MATCH(P119,'Scoring Method'!$A$25:$A$27,0))</f>
        <v/>
      </c>
      <c r="U119" s="96">
        <f>(INDEX('Scoring Method'!$B$30:$B$33,MATCH(Q119,'Scoring Method'!$A$30:$A$33,0))+INDEX('Scoring Method'!$B$36:$B$42,MATCH(R119,'Scoring Method'!$A$36:$A$42,0))+INDEX('Scoring Method'!$B$45:$B$47,MATCH(IF(S119=1,"1",IF(S119=2,"2","3+")),'Scoring Method'!$A$45:$A$47,0)))/90*100</f>
        <v/>
      </c>
      <c r="V119" s="96">
        <f>T119*U119/100</f>
        <v/>
      </c>
      <c r="W119" s="93" t="n">
        <v>3396</v>
      </c>
      <c r="X119" s="92" t="inlineStr">
        <is>
          <t>X (levee-protected)</t>
        </is>
      </c>
      <c r="Y119" s="93" t="n">
        <v>7725</v>
      </c>
      <c r="Z119" s="97" t="n"/>
      <c r="AA119" s="98">
        <f>MAX(0,(Y119-5000)/300)</f>
        <v/>
      </c>
      <c r="AB119" s="92" t="n"/>
      <c r="AC119" s="92" t="n"/>
      <c r="AD119" s="92" t="n"/>
      <c r="AE119" s="92" t="inlineStr">
        <is>
          <t>Above 2.5-4k</t>
        </is>
      </c>
      <c r="AF119" s="96">
        <f>INDEX('Scoring Method'!$B$63:$B$71,MATCH(AE119,'Scoring Method'!$A$63:$A$71,0))+INDEX('Scoring Method'!$B$75:$B$79,MATCH("Adequate 5-8k",'Scoring Method'!$A$75:$A$79,0))+INDEX('Scoring Method'!$B$343:$B$347,MATCH(X119,'Scoring Method'!$A$343:$A$347,0))+INDEX('Scoring Method'!$B$25:$B$27,MATCH(P119,'Scoring Method'!$A$25:$A$27,0))</f>
        <v/>
      </c>
      <c r="AG119" s="96">
        <f>AF119*U119/100</f>
        <v/>
      </c>
      <c r="AH119" s="92" t="inlineStr">
        <is>
          <t>LINK-GIS only</t>
        </is>
      </c>
      <c r="AI119" s="99" t="n">
        <v>39.07199</v>
      </c>
      <c r="AJ119" s="99" t="n">
        <v>-84.49585</v>
      </c>
      <c r="AK119" s="94" t="n">
        <v>1.46</v>
      </c>
      <c r="AL119" s="94" t="n">
        <v>1.47</v>
      </c>
      <c r="AM119" s="94" t="n">
        <v>2.22</v>
      </c>
      <c r="AN119" s="94" t="n">
        <v>1.16</v>
      </c>
      <c r="AO119" s="92" t="inlineStr">
        <is>
          <t>Fringe 0.75-1.25mi</t>
        </is>
      </c>
      <c r="AP119" s="92" t="inlineStr">
        <is>
          <t>Open span</t>
        </is>
      </c>
      <c r="AQ119" s="92" t="inlineStr">
        <is>
          <t>Adequate 5-8k</t>
        </is>
      </c>
      <c r="AR119" s="100" t="n"/>
      <c r="AS119" s="96">
        <f>ROUND(INDEX('Scoring Method'!$B$63:$B$70,MATCH(AE119,'Scoring Method'!$A$63:$A$70,0))*0.625+INDEX('Scoring Method'!$B$105:$B$113,MATCH(AP119,'Scoring Method'!$A$105:$A$113,0))+INDEX('Scoring Method'!$B$74:$B$78,MATCH(AQ119,'Scoring Method'!$A$74:$A$78,0))*0.6667+INDEX('Scoring Method'!$B$96:$B$101,MATCH(AO119,'Scoring Method'!$A$96:$A$101,0))+INDEX('Scoring Method'!$B$343:$B$347,MATCH(X119,'Scoring Method'!$A$343:$A$347,0))*0.3333+INDEX('Scoring Method'!$B$25:$B$27,MATCH(P119,'Scoring Method'!$A$25:$A$27,0))*0.3333,1)</f>
        <v/>
      </c>
      <c r="AT119" s="96">
        <f>AS119*U119/100</f>
        <v/>
      </c>
      <c r="AU119" s="92" t="inlineStr">
        <is>
          <t>Austinburg</t>
        </is>
      </c>
      <c r="AV119" s="92" t="n">
        <v>32</v>
      </c>
      <c r="AW119" s="101" t="inlineStr">
        <is>
          <t>ESTIMATED</t>
        </is>
      </c>
      <c r="AX119" s="92" t="inlineStr">
        <is>
          <t>High &lt;35</t>
        </is>
      </c>
      <c r="AY119" s="96">
        <f>ROUND(INDEX('Scoring Method'!$B$132:$B$140,MATCH(AE119,'Scoring Method'!$A$132:$A$140,0))+INDEX('Scoring Method'!$B$144:$B$152,MATCH(AP119,'Scoring Method'!$A$144:$A$152,0))+INDEX('Scoring Method'!$B$156:$B$160,MATCH(AQ119,'Scoring Method'!$A$156:$A$160,0))+INDEX('Scoring Method'!$B$164:$B$169,MATCH(AO119,'Scoring Method'!$A$164:$A$169,0))+INDEX('Scoring Method'!$B$173:$B$178,MATCH(AX119,'Scoring Method'!$A$173:$A$178,0))+INDEX('Scoring Method'!$B$349:$B$353,MATCH(X119,'Scoring Method'!$A$349:$A$353,0))+INDEX('Scoring Method'!$B$188:$B$190,MATCH(P119,'Scoring Method'!$A$188:$A$190,0)),1)</f>
        <v/>
      </c>
      <c r="AZ119" s="96">
        <f>AY119*U119/100</f>
        <v/>
      </c>
      <c r="BA119" s="92" t="inlineStr">
        <is>
          <t>No chain signal</t>
        </is>
      </c>
      <c r="BB119" s="94" t="n">
        <v>1</v>
      </c>
      <c r="BC119" s="102" t="inlineStr">
        <is>
          <t>Small 0.25-0.35 AC</t>
        </is>
      </c>
      <c r="BD119" s="94" t="n">
        <v>0.9</v>
      </c>
      <c r="BE119" s="96">
        <f>ROUND(INDEX('Scoring Method'!$B$268:$B$276,MATCH(AE119,'Scoring Method'!$A$268:$A$276,0))+INDEX('Scoring Method'!$B$280:$B$288,MATCH(AP119,'Scoring Method'!$A$280:$A$288,0))+INDEX('Scoring Method'!$B$292:$B$296,MATCH(AQ119,'Scoring Method'!$A$292:$A$296,0))+INDEX('Scoring Method'!$B$300:$B$305,MATCH(AO119,'Scoring Method'!$A$300:$A$305,0))+INDEX('Scoring Method'!$B$309:$B$314,MATCH(AX119,'Scoring Method'!$A$309:$A$314,0))+INDEX('Scoring Method'!$B$337:$B$341,MATCH(X119,'Scoring Method'!$A$337:$A$341,0))+INDEX('Scoring Method'!$B$324:$B$326,MATCH(P119,'Scoring Method'!$A$324:$A$326,0)),1)</f>
        <v/>
      </c>
      <c r="BF119" s="96">
        <f>ROUND(INDEX('Scoring Method'!$B$268:$B$276,MATCH(AE119,'Scoring Method'!$A$268:$A$276,0))*BB119*BD119+INDEX('Scoring Method'!$B$280:$B$288,MATCH(AP119,'Scoring Method'!$A$280:$A$288,0))*BM119*BB119*BD119+INDEX('Scoring Method'!$B$292:$B$296,MATCH(AQ119,'Scoring Method'!$A$292:$A$296,0))*BD119+INDEX('Scoring Method'!$B$300:$B$305,MATCH(AO119,'Scoring Method'!$A$300:$A$305,0))*BM119*BB119+INDEX('Scoring Method'!$B$309:$B$314,MATCH(AX119,'Scoring Method'!$A$309:$A$314,0))+INDEX('Scoring Method'!$B$337:$B$341,MATCH(X119,'Scoring Method'!$A$337:$A$341,0))+INDEX('Scoring Method'!$B$324:$B$326,MATCH(P119,'Scoring Method'!$A$324:$A$326,0)),1)</f>
        <v/>
      </c>
      <c r="BG119" s="92" t="inlineStr">
        <is>
          <t>Fits (~$3,113/mo)</t>
        </is>
      </c>
      <c r="BH119" s="61" t="inlineStr">
        <is>
          <t>SU</t>
        </is>
      </c>
      <c r="BI119" s="61" t="inlineStr">
        <is>
          <t>Semi-Urban Residential</t>
        </is>
      </c>
      <c r="BJ119" s="61" t="inlineStr"/>
      <c r="BK119" s="61" t="inlineStr"/>
      <c r="BL119" s="61" t="inlineStr">
        <is>
          <t>SU corner unverified</t>
        </is>
      </c>
      <c r="BM119" s="61">
        <f>INDEX('Scoring Method'!$B$358:$B$363,MATCH(BL119,'Scoring Method'!$A$358:$A$363,0))</f>
        <v/>
      </c>
    </row>
    <row r="120" ht="15" customHeight="1" s="62">
      <c r="A120" s="92" t="n">
        <v>119</v>
      </c>
      <c r="B120" s="92" t="inlineStr">
        <is>
          <t>040-14-08-031.00</t>
        </is>
      </c>
      <c r="C120" s="92" t="inlineStr">
        <is>
          <t>1281 KELLY FURNISH ST</t>
        </is>
      </c>
      <c r="D120" s="92" t="inlineStr">
        <is>
          <t>LAY CHRISTOPHER SCOTT</t>
        </is>
      </c>
      <c r="E120" s="92" t="inlineStr">
        <is>
          <t>1281 KELLY FURNISH ST</t>
        </is>
      </c>
      <c r="F120" s="92" t="inlineStr">
        <is>
          <t>COVINGTON</t>
        </is>
      </c>
      <c r="G120" s="92" t="inlineStr">
        <is>
          <t>KY</t>
        </is>
      </c>
      <c r="H120" s="92" t="inlineStr">
        <is>
          <t>ORGANIZATIONAL MEETING HALL</t>
        </is>
      </c>
      <c r="I120" s="93" t="n">
        <v>27500</v>
      </c>
      <c r="J120" s="94">
        <f>I120/43560</f>
        <v/>
      </c>
      <c r="K120" s="93" t="n">
        <v>720</v>
      </c>
      <c r="L120" s="95">
        <f>I120/(K120^2)</f>
        <v/>
      </c>
      <c r="M120" s="92" t="inlineStr">
        <is>
          <t>Ideal 18-32k</t>
        </is>
      </c>
      <c r="N120" s="92" t="inlineStr">
        <is>
          <t>B</t>
        </is>
      </c>
      <c r="O120" s="92" t="inlineStr">
        <is>
          <t>Regular .045-.055</t>
        </is>
      </c>
      <c r="P120" s="92" t="inlineStr">
        <is>
          <t>Low</t>
        </is>
      </c>
      <c r="Q120" s="92" t="inlineStr">
        <is>
          <t>Owner-occupied</t>
        </is>
      </c>
      <c r="R120" s="92" t="inlineStr">
        <is>
          <t>Individual</t>
        </is>
      </c>
      <c r="S120" s="92" t="n">
        <v>1</v>
      </c>
      <c r="T120" s="96">
        <f>INDEX('Scoring Method'!$B$6:$B$9,MATCH(M120,'Scoring Method'!$A$6:$A$9,0))+INDEX('Scoring Method'!$B$12:$B$16,MATCH(N120,'Scoring Method'!$A$12:$A$16,0))+INDEX('Scoring Method'!$B$19:$B$22,MATCH(O120,'Scoring Method'!$A$19:$A$22,0))+INDEX('Scoring Method'!$B$25:$B$27,MATCH(P120,'Scoring Method'!$A$25:$A$27,0))</f>
        <v/>
      </c>
      <c r="U120" s="96">
        <f>(INDEX('Scoring Method'!$B$30:$B$33,MATCH(Q120,'Scoring Method'!$A$30:$A$33,0))+INDEX('Scoring Method'!$B$36:$B$42,MATCH(R120,'Scoring Method'!$A$36:$A$42,0))+INDEX('Scoring Method'!$B$45:$B$47,MATCH(IF(S120=1,"1",IF(S120=2,"2","3+")),'Scoring Method'!$A$45:$A$47,0)))/90*100</f>
        <v/>
      </c>
      <c r="V120" s="96">
        <f>T120*U120/100</f>
        <v/>
      </c>
      <c r="W120" s="93" t="n">
        <v>1862</v>
      </c>
      <c r="X120" s="92" t="inlineStr">
        <is>
          <t>X (minimal hazard)</t>
        </is>
      </c>
      <c r="Y120" s="93" t="n">
        <v>24250</v>
      </c>
      <c r="Z120" s="97" t="n"/>
      <c r="AA120" s="98">
        <f>MAX(0,(Y120-5000)/300)</f>
        <v/>
      </c>
      <c r="AB120" s="92" t="n"/>
      <c r="AC120" s="92" t="n"/>
      <c r="AD120" s="92" t="n"/>
      <c r="AE120" s="92" t="inlineStr">
        <is>
          <t>Target 1.5-2.5k</t>
        </is>
      </c>
      <c r="AF120" s="96">
        <f>INDEX('Scoring Method'!$B$63:$B$71,MATCH(AE120,'Scoring Method'!$A$63:$A$71,0))+INDEX('Scoring Method'!$B$75:$B$79,MATCH("Ample &gt;=15k",'Scoring Method'!$A$75:$A$79,0))+INDEX('Scoring Method'!$B$343:$B$347,MATCH(X120,'Scoring Method'!$A$343:$A$347,0))+INDEX('Scoring Method'!$B$25:$B$27,MATCH(P120,'Scoring Method'!$A$25:$A$27,0))</f>
        <v/>
      </c>
      <c r="AG120" s="96">
        <f>AF120*U120/100</f>
        <v/>
      </c>
      <c r="AH120" s="92" t="inlineStr">
        <is>
          <t>LINK-GIS + LoopNet (2026-08-02)</t>
        </is>
      </c>
      <c r="AI120" s="99" t="n">
        <v>39.08933</v>
      </c>
      <c r="AJ120" s="99" t="n">
        <v>-84.53693</v>
      </c>
      <c r="AK120" s="94" t="n">
        <v>1.08</v>
      </c>
      <c r="AL120" s="94" t="n">
        <v>1.54</v>
      </c>
      <c r="AM120" s="94" t="n">
        <v>1.56</v>
      </c>
      <c r="AN120" s="94" t="n">
        <v>1.08</v>
      </c>
      <c r="AO120" s="92" t="inlineStr">
        <is>
          <t>Fringe 0.75-1.25mi</t>
        </is>
      </c>
      <c r="AP120" s="92" t="inlineStr">
        <is>
          <t>Assembly hall</t>
        </is>
      </c>
      <c r="AQ120" s="92" t="inlineStr">
        <is>
          <t>Ample &gt;=15k</t>
        </is>
      </c>
      <c r="AR120" s="100" t="n"/>
      <c r="AS120" s="96">
        <f>ROUND(INDEX('Scoring Method'!$B$63:$B$70,MATCH(AE120,'Scoring Method'!$A$63:$A$70,0))*0.625+INDEX('Scoring Method'!$B$105:$B$113,MATCH(AP120,'Scoring Method'!$A$105:$A$113,0))+INDEX('Scoring Method'!$B$74:$B$78,MATCH(AQ120,'Scoring Method'!$A$74:$A$78,0))*0.6667+INDEX('Scoring Method'!$B$96:$B$101,MATCH(AO120,'Scoring Method'!$A$96:$A$101,0))+INDEX('Scoring Method'!$B$343:$B$347,MATCH(X120,'Scoring Method'!$A$343:$A$347,0))*0.3333+INDEX('Scoring Method'!$B$25:$B$27,MATCH(P120,'Scoring Method'!$A$25:$A$27,0))*0.3333,1)</f>
        <v/>
      </c>
      <c r="AT120" s="96">
        <f>AS120*U120/100</f>
        <v/>
      </c>
      <c r="AU120" s="92" t="inlineStr">
        <is>
          <t>Botany Hills / Riverfront West</t>
        </is>
      </c>
      <c r="AV120" s="92" t="n">
        <v>45</v>
      </c>
      <c r="AW120" s="101" t="inlineStr">
        <is>
          <t>ESTIMATED</t>
        </is>
      </c>
      <c r="AX120" s="92" t="inlineStr">
        <is>
          <t>Mixed 45-59</t>
        </is>
      </c>
      <c r="AY120" s="96">
        <f>ROUND(INDEX('Scoring Method'!$B$132:$B$140,MATCH(AE120,'Scoring Method'!$A$132:$A$140,0))+INDEX('Scoring Method'!$B$144:$B$152,MATCH(AP120,'Scoring Method'!$A$144:$A$152,0))+INDEX('Scoring Method'!$B$156:$B$160,MATCH(AQ120,'Scoring Method'!$A$156:$A$160,0))+INDEX('Scoring Method'!$B$164:$B$169,MATCH(AO120,'Scoring Method'!$A$164:$A$169,0))+INDEX('Scoring Method'!$B$173:$B$178,MATCH(AX120,'Scoring Method'!$A$173:$A$178,0))+INDEX('Scoring Method'!$B$349:$B$353,MATCH(X120,'Scoring Method'!$A$349:$A$353,0))+INDEX('Scoring Method'!$B$188:$B$190,MATCH(P120,'Scoring Method'!$A$188:$A$190,0)),1)</f>
        <v/>
      </c>
      <c r="AZ120" s="96">
        <f>AY120*U120/100</f>
        <v/>
      </c>
      <c r="BA120" s="92" t="inlineStr">
        <is>
          <t>Owner-occupied operator</t>
        </is>
      </c>
      <c r="BB120" s="94" t="n">
        <v>0.8</v>
      </c>
      <c r="BC120" s="92" t="inlineStr">
        <is>
          <t>Right-sized 0.35-0.75 AC</t>
        </is>
      </c>
      <c r="BD120" s="94" t="n">
        <v>1</v>
      </c>
      <c r="BE120" s="96">
        <f>ROUND(INDEX('Scoring Method'!$B$268:$B$276,MATCH(AE120,'Scoring Method'!$A$268:$A$276,0))+INDEX('Scoring Method'!$B$280:$B$288,MATCH(AP120,'Scoring Method'!$A$280:$A$288,0))+INDEX('Scoring Method'!$B$292:$B$296,MATCH(AQ120,'Scoring Method'!$A$292:$A$296,0))+INDEX('Scoring Method'!$B$300:$B$305,MATCH(AO120,'Scoring Method'!$A$300:$A$305,0))+INDEX('Scoring Method'!$B$309:$B$314,MATCH(AX120,'Scoring Method'!$A$309:$A$314,0))+INDEX('Scoring Method'!$B$337:$B$341,MATCH(X120,'Scoring Method'!$A$337:$A$341,0))+INDEX('Scoring Method'!$B$324:$B$326,MATCH(P120,'Scoring Method'!$A$324:$A$326,0)),1)</f>
        <v/>
      </c>
      <c r="BF120" s="96">
        <f>ROUND(INDEX('Scoring Method'!$B$268:$B$276,MATCH(AE120,'Scoring Method'!$A$268:$A$276,0))*BB120*BD120+INDEX('Scoring Method'!$B$280:$B$288,MATCH(AP120,'Scoring Method'!$A$280:$A$288,0))*BM120*BB120*BD120+INDEX('Scoring Method'!$B$292:$B$296,MATCH(AQ120,'Scoring Method'!$A$292:$A$296,0))*BD120+INDEX('Scoring Method'!$B$300:$B$305,MATCH(AO120,'Scoring Method'!$A$300:$A$305,0))*BM120*BB120+INDEX('Scoring Method'!$B$309:$B$314,MATCH(AX120,'Scoring Method'!$A$309:$A$314,0))+INDEX('Scoring Method'!$B$337:$B$341,MATCH(X120,'Scoring Method'!$A$337:$A$341,0))+INDEX('Scoring Method'!$B$324:$B$326,MATCH(P120,'Scoring Method'!$A$324:$A$326,0)),1)</f>
        <v/>
      </c>
      <c r="BG120" s="92" t="inlineStr">
        <is>
          <t>Fits (~$1,707/mo)</t>
        </is>
      </c>
      <c r="BH120" s="61" t="inlineStr">
        <is>
          <t>SU</t>
        </is>
      </c>
      <c r="BI120" s="61" t="inlineStr">
        <is>
          <t>Semi-Urban Residential</t>
        </is>
      </c>
      <c r="BJ120" s="61" t="inlineStr"/>
      <c r="BK120" s="61" t="inlineStr"/>
      <c r="BL120" s="61" t="inlineStr">
        <is>
          <t>SU corner unverified</t>
        </is>
      </c>
      <c r="BM120" s="61">
        <f>INDEX('Scoring Method'!$B$358:$B$363,MATCH(BL120,'Scoring Method'!$A$358:$A$363,0))</f>
        <v/>
      </c>
    </row>
    <row r="121" ht="15" customHeight="1" s="62">
      <c r="A121" s="92" t="n">
        <v>120</v>
      </c>
      <c r="B121" s="92" t="inlineStr">
        <is>
          <t>040-44-02-003.00</t>
        </is>
      </c>
      <c r="C121" s="92" t="inlineStr">
        <is>
          <t>907 LEWIS ST</t>
        </is>
      </c>
      <c r="D121" s="92" t="inlineStr">
        <is>
          <t>IONNA PROPERTIES LLC</t>
        </is>
      </c>
      <c r="E121" s="92" t="inlineStr">
        <is>
          <t>PO BOX 188008</t>
        </is>
      </c>
      <c r="F121" s="92" t="inlineStr">
        <is>
          <t>ERLANGER</t>
        </is>
      </c>
      <c r="G121" s="92" t="inlineStr">
        <is>
          <t>KY</t>
        </is>
      </c>
      <c r="H121" s="92" t="inlineStr">
        <is>
          <t>AUTO SERVICE/REPAIR</t>
        </is>
      </c>
      <c r="I121" s="93" t="n">
        <v>9814</v>
      </c>
      <c r="J121" s="94">
        <f>I121/43560</f>
        <v/>
      </c>
      <c r="K121" s="93" t="n">
        <v>426.5</v>
      </c>
      <c r="L121" s="95">
        <f>I121/(K121^2)</f>
        <v/>
      </c>
      <c r="M121" s="92" t="inlineStr">
        <is>
          <t>Poor &lt;10k/&gt;60k</t>
        </is>
      </c>
      <c r="N121" s="92" t="inlineStr">
        <is>
          <t>A</t>
        </is>
      </c>
      <c r="O121" s="92" t="inlineStr">
        <is>
          <t>Regular .045-.055</t>
        </is>
      </c>
      <c r="P121" s="92" t="inlineStr">
        <is>
          <t>Moderate</t>
        </is>
      </c>
      <c r="Q121" s="92" t="inlineStr">
        <is>
          <t>Out-of-city KY</t>
        </is>
      </c>
      <c r="R121" s="92" t="inlineStr">
        <is>
          <t>Passive vehicle</t>
        </is>
      </c>
      <c r="S121" s="92" t="n">
        <v>1</v>
      </c>
      <c r="T121" s="96">
        <f>INDEX('Scoring Method'!$B$6:$B$9,MATCH(M121,'Scoring Method'!$A$6:$A$9,0))+INDEX('Scoring Method'!$B$12:$B$16,MATCH(N121,'Scoring Method'!$A$12:$A$16,0))+INDEX('Scoring Method'!$B$19:$B$22,MATCH(O121,'Scoring Method'!$A$19:$A$22,0))+INDEX('Scoring Method'!$B$25:$B$27,MATCH(P121,'Scoring Method'!$A$25:$A$27,0))</f>
        <v/>
      </c>
      <c r="U121" s="96">
        <f>(INDEX('Scoring Method'!$B$30:$B$33,MATCH(Q121,'Scoring Method'!$A$30:$A$33,0))+INDEX('Scoring Method'!$B$36:$B$42,MATCH(R121,'Scoring Method'!$A$36:$A$42,0))+INDEX('Scoring Method'!$B$45:$B$47,MATCH(IF(S121=1,"1",IF(S121=2,"2","3+")),'Scoring Method'!$A$45:$A$47,0)))/90*100</f>
        <v/>
      </c>
      <c r="V121" s="96">
        <f>T121*U121/100</f>
        <v/>
      </c>
      <c r="W121" s="93" t="n"/>
      <c r="X121" s="92" t="inlineStr">
        <is>
          <t>X (minimal hazard)</t>
        </is>
      </c>
      <c r="Y121" s="93" t="n">
        <v>4025</v>
      </c>
      <c r="Z121" s="97" t="n"/>
      <c r="AA121" s="98" t="n"/>
      <c r="AB121" s="92" t="n"/>
      <c r="AC121" s="92" t="n">
        <v>0.25</v>
      </c>
      <c r="AD121" s="92" t="inlineStr">
        <is>
          <t>ok</t>
        </is>
      </c>
      <c r="AE121" s="92" t="inlineStr">
        <is>
          <t>No building</t>
        </is>
      </c>
      <c r="AF121" s="96">
        <f>INDEX('Scoring Method'!$B$63:$B$71,MATCH(AE121,'Scoring Method'!$A$63:$A$71,0))+INDEX('Scoring Method'!$B$75:$B$79,MATCH("Tight 2-5k",'Scoring Method'!$A$75:$A$79,0))+INDEX('Scoring Method'!$B$343:$B$347,MATCH(X121,'Scoring Method'!$A$343:$A$347,0))+INDEX('Scoring Method'!$B$25:$B$27,MATCH(P121,'Scoring Method'!$A$25:$A$27,0))</f>
        <v/>
      </c>
      <c r="AG121" s="96">
        <f>AF121*U121/100</f>
        <v/>
      </c>
      <c r="AH121" s="92" t="inlineStr">
        <is>
          <t>LINK-GIS + LoopNet</t>
        </is>
      </c>
      <c r="AI121" s="99" t="n">
        <v>39.07634</v>
      </c>
      <c r="AJ121" s="99" t="n">
        <v>-84.52502</v>
      </c>
      <c r="AK121" s="94" t="n">
        <v>0.68</v>
      </c>
      <c r="AL121" s="94" t="n">
        <v>1.34</v>
      </c>
      <c r="AM121" s="94" t="n">
        <v>1.87</v>
      </c>
      <c r="AN121" s="94" t="n">
        <v>0.68</v>
      </c>
      <c r="AO121" s="92" t="inlineStr">
        <is>
          <t>Near 0.35-0.75mi</t>
        </is>
      </c>
      <c r="AP121" s="92" t="inlineStr">
        <is>
          <t>Open span</t>
        </is>
      </c>
      <c r="AQ121" s="92" t="inlineStr">
        <is>
          <t>Tight 2-5k</t>
        </is>
      </c>
      <c r="AR121" s="100" t="n"/>
      <c r="AS121" s="96">
        <f>ROUND(INDEX('Scoring Method'!$B$63:$B$70,MATCH(AE121,'Scoring Method'!$A$63:$A$70,0))*0.625+INDEX('Scoring Method'!$B$105:$B$113,MATCH(AP121,'Scoring Method'!$A$105:$A$113,0))+INDEX('Scoring Method'!$B$74:$B$78,MATCH(AQ121,'Scoring Method'!$A$74:$A$78,0))*0.6667+INDEX('Scoring Method'!$B$96:$B$101,MATCH(AO121,'Scoring Method'!$A$96:$A$101,0))+INDEX('Scoring Method'!$B$343:$B$347,MATCH(X121,'Scoring Method'!$A$343:$A$347,0))*0.3333+INDEX('Scoring Method'!$B$25:$B$27,MATCH(P121,'Scoring Method'!$A$25:$A$27,0))*0.3333,1)</f>
        <v/>
      </c>
      <c r="AT121" s="96">
        <f>AS121*U121/100</f>
        <v/>
      </c>
      <c r="AU121" s="92" t="inlineStr">
        <is>
          <t>Lewisburg</t>
        </is>
      </c>
      <c r="AV121" s="92" t="n">
        <v>65</v>
      </c>
      <c r="AW121" s="92" t="inlineStr">
        <is>
          <t>Sourced</t>
        </is>
      </c>
      <c r="AX121" s="92" t="inlineStr">
        <is>
          <t>Moderate 60-69</t>
        </is>
      </c>
      <c r="AY121" s="96">
        <f>ROUND(INDEX('Scoring Method'!$B$132:$B$140,MATCH(AE121,'Scoring Method'!$A$132:$A$140,0))+INDEX('Scoring Method'!$B$144:$B$152,MATCH(AP121,'Scoring Method'!$A$144:$A$152,0))+INDEX('Scoring Method'!$B$156:$B$160,MATCH(AQ121,'Scoring Method'!$A$156:$A$160,0))+INDEX('Scoring Method'!$B$164:$B$169,MATCH(AO121,'Scoring Method'!$A$164:$A$169,0))+INDEX('Scoring Method'!$B$173:$B$178,MATCH(AX121,'Scoring Method'!$A$173:$A$178,0))+INDEX('Scoring Method'!$B$349:$B$353,MATCH(X121,'Scoring Method'!$A$349:$A$353,0))+INDEX('Scoring Method'!$B$188:$B$190,MATCH(P121,'Scoring Method'!$A$188:$A$190,0)),1)</f>
        <v/>
      </c>
      <c r="AZ121" s="96">
        <f>AY121*U121/100</f>
        <v/>
      </c>
      <c r="BA121" s="92" t="inlineStr">
        <is>
          <t>No chain signal</t>
        </is>
      </c>
      <c r="BB121" s="94" t="n">
        <v>1</v>
      </c>
      <c r="BC121" s="103" t="inlineStr">
        <is>
          <t>Extra small 0.15-0.25 AC</t>
        </is>
      </c>
      <c r="BD121" s="94" t="n">
        <v>0.8</v>
      </c>
      <c r="BE121" s="96">
        <f>ROUND(INDEX('Scoring Method'!$B$268:$B$276,MATCH(AE121,'Scoring Method'!$A$268:$A$276,0))+INDEX('Scoring Method'!$B$280:$B$288,MATCH(AP121,'Scoring Method'!$A$280:$A$288,0))+INDEX('Scoring Method'!$B$292:$B$296,MATCH(AQ121,'Scoring Method'!$A$292:$A$296,0))+INDEX('Scoring Method'!$B$300:$B$305,MATCH(AO121,'Scoring Method'!$A$300:$A$305,0))+INDEX('Scoring Method'!$B$309:$B$314,MATCH(AX121,'Scoring Method'!$A$309:$A$314,0))+INDEX('Scoring Method'!$B$337:$B$341,MATCH(X121,'Scoring Method'!$A$337:$A$341,0))+INDEX('Scoring Method'!$B$324:$B$326,MATCH(P121,'Scoring Method'!$A$324:$A$326,0)),1)</f>
        <v/>
      </c>
      <c r="BF121" s="96">
        <f>ROUND(INDEX('Scoring Method'!$B$268:$B$276,MATCH(AE121,'Scoring Method'!$A$268:$A$276,0))*BB121*BD121+INDEX('Scoring Method'!$B$280:$B$288,MATCH(AP121,'Scoring Method'!$A$280:$A$288,0))*BM121*BB121*BD121+INDEX('Scoring Method'!$B$292:$B$296,MATCH(AQ121,'Scoring Method'!$A$292:$A$296,0))*BD121+INDEX('Scoring Method'!$B$300:$B$305,MATCH(AO121,'Scoring Method'!$A$300:$A$305,0))*BM121*BB121+INDEX('Scoring Method'!$B$309:$B$314,MATCH(AX121,'Scoring Method'!$A$309:$A$314,0))+INDEX('Scoring Method'!$B$337:$B$341,MATCH(X121,'Scoring Method'!$A$337:$A$341,0))+INDEX('Scoring Method'!$B$324:$B$326,MATCH(P121,'Scoring Method'!$A$324:$A$326,0)),1)</f>
        <v/>
      </c>
      <c r="BG121" s="92" t="n"/>
      <c r="BH121" s="61" t="inlineStr">
        <is>
          <t>SU</t>
        </is>
      </c>
      <c r="BI121" s="61" t="inlineStr">
        <is>
          <t>Semi-Urban Residential</t>
        </is>
      </c>
      <c r="BJ121" s="61" t="inlineStr"/>
      <c r="BK121" s="61" t="inlineStr"/>
      <c r="BL121" s="61" t="inlineStr">
        <is>
          <t>SU corner unverified</t>
        </is>
      </c>
      <c r="BM121" s="61">
        <f>INDEX('Scoring Method'!$B$358:$B$363,MATCH(BL121,'Scoring Method'!$A$358:$A$363,0))</f>
        <v/>
      </c>
    </row>
    <row r="122" ht="15" customHeight="1" s="62">
      <c r="A122" s="92" t="n">
        <v>121</v>
      </c>
      <c r="B122" s="92" t="inlineStr">
        <is>
          <t>055-14-09-001.03</t>
        </is>
      </c>
      <c r="C122" s="92" t="inlineStr">
        <is>
          <t>1721 MADISON AVE</t>
        </is>
      </c>
      <c r="D122" s="92" t="inlineStr">
        <is>
          <t>AUTOZONE INC</t>
        </is>
      </c>
      <c r="E122" s="92" t="inlineStr">
        <is>
          <t>PO BOX 182463</t>
        </is>
      </c>
      <c r="F122" s="92" t="inlineStr">
        <is>
          <t>COLUMBUS</t>
        </is>
      </c>
      <c r="G122" s="92" t="inlineStr">
        <is>
          <t>OH</t>
        </is>
      </c>
      <c r="H122" s="92" t="inlineStr">
        <is>
          <t>OTHER RETAIL</t>
        </is>
      </c>
      <c r="I122" s="93" t="n">
        <v>26384</v>
      </c>
      <c r="J122" s="94">
        <f>I122/43560</f>
        <v/>
      </c>
      <c r="K122" s="93" t="n">
        <v>718</v>
      </c>
      <c r="L122" s="95">
        <f>I122/(K122^2)</f>
        <v/>
      </c>
      <c r="M122" s="92" t="inlineStr">
        <is>
          <t>Ideal 18-32k</t>
        </is>
      </c>
      <c r="N122" s="92" t="inlineStr">
        <is>
          <t>C</t>
        </is>
      </c>
      <c r="O122" s="92" t="inlineStr">
        <is>
          <t>Regular .045-.055</t>
        </is>
      </c>
      <c r="P122" s="92" t="inlineStr">
        <is>
          <t>Low</t>
        </is>
      </c>
      <c r="Q122" s="92" t="inlineStr">
        <is>
          <t>Out-of-state</t>
        </is>
      </c>
      <c r="R122" s="92" t="inlineStr">
        <is>
          <t>National corporate</t>
        </is>
      </c>
      <c r="S122" s="92" t="n">
        <v>1</v>
      </c>
      <c r="T122" s="96">
        <f>INDEX('Scoring Method'!$B$6:$B$9,MATCH(M122,'Scoring Method'!$A$6:$A$9,0))+INDEX('Scoring Method'!$B$12:$B$16,MATCH(N122,'Scoring Method'!$A$12:$A$16,0))+INDEX('Scoring Method'!$B$19:$B$22,MATCH(O122,'Scoring Method'!$A$19:$A$22,0))+INDEX('Scoring Method'!$B$25:$B$27,MATCH(P122,'Scoring Method'!$A$25:$A$27,0))</f>
        <v/>
      </c>
      <c r="U122" s="96">
        <f>(INDEX('Scoring Method'!$B$30:$B$33,MATCH(Q122,'Scoring Method'!$A$30:$A$33,0))+INDEX('Scoring Method'!$B$36:$B$42,MATCH(R122,'Scoring Method'!$A$36:$A$42,0))+INDEX('Scoring Method'!$B$45:$B$47,MATCH(IF(S122=1,"1",IF(S122=2,"2","3+")),'Scoring Method'!$A$45:$A$47,0)))/90*100</f>
        <v/>
      </c>
      <c r="V122" s="96">
        <f>T122*U122/100</f>
        <v/>
      </c>
      <c r="W122" s="93" t="n">
        <v>6600</v>
      </c>
      <c r="X122" s="92" t="inlineStr">
        <is>
          <t>X (minimal hazard)</t>
        </is>
      </c>
      <c r="Y122" s="93" t="n">
        <v>17225</v>
      </c>
      <c r="Z122" s="97" t="n"/>
      <c r="AA122" s="98">
        <f>MAX(0,(Y122-5000)/300)</f>
        <v/>
      </c>
      <c r="AB122" s="92" t="n"/>
      <c r="AC122" s="92" t="n"/>
      <c r="AD122" s="92" t="n"/>
      <c r="AE122" s="92" t="inlineStr">
        <is>
          <t>Oversize 6-12k</t>
        </is>
      </c>
      <c r="AF122" s="96">
        <f>INDEX('Scoring Method'!$B$63:$B$71,MATCH(AE122,'Scoring Method'!$A$63:$A$71,0))+INDEX('Scoring Method'!$B$75:$B$79,MATCH("Ample &gt;=15k",'Scoring Method'!$A$75:$A$79,0))+INDEX('Scoring Method'!$B$343:$B$347,MATCH(X122,'Scoring Method'!$A$343:$A$347,0))+INDEX('Scoring Method'!$B$25:$B$27,MATCH(P122,'Scoring Method'!$A$25:$A$27,0))</f>
        <v/>
      </c>
      <c r="AG122" s="96">
        <f>AF122*U122/100</f>
        <v/>
      </c>
      <c r="AH122" s="92" t="inlineStr">
        <is>
          <t>LINK-GIS + LoopNet (2026-08-03)</t>
        </is>
      </c>
      <c r="AI122" s="99" t="n">
        <v>39.06957</v>
      </c>
      <c r="AJ122" s="99" t="n">
        <v>-84.50691</v>
      </c>
      <c r="AK122" s="94" t="n">
        <v>1.18</v>
      </c>
      <c r="AL122" s="94" t="n">
        <v>1.47</v>
      </c>
      <c r="AM122" s="94" t="n">
        <v>2.23</v>
      </c>
      <c r="AN122" s="94" t="n">
        <v>1.02</v>
      </c>
      <c r="AO122" s="92" t="inlineStr">
        <is>
          <t>Fringe 0.75-1.25mi</t>
        </is>
      </c>
      <c r="AP122" s="92" t="inlineStr">
        <is>
          <t>Retail shell</t>
        </is>
      </c>
      <c r="AQ122" s="92" t="inlineStr">
        <is>
          <t>Ample &gt;=15k</t>
        </is>
      </c>
      <c r="AR122" s="100" t="n"/>
      <c r="AS122" s="96">
        <f>ROUND(INDEX('Scoring Method'!$B$63:$B$70,MATCH(AE122,'Scoring Method'!$A$63:$A$70,0))*0.625+INDEX('Scoring Method'!$B$105:$B$113,MATCH(AP122,'Scoring Method'!$A$105:$A$113,0))+INDEX('Scoring Method'!$B$74:$B$78,MATCH(AQ122,'Scoring Method'!$A$74:$A$78,0))*0.6667+INDEX('Scoring Method'!$B$96:$B$101,MATCH(AO122,'Scoring Method'!$A$96:$A$101,0))+INDEX('Scoring Method'!$B$343:$B$347,MATCH(X122,'Scoring Method'!$A$343:$A$347,0))*0.3333+INDEX('Scoring Method'!$B$25:$B$27,MATCH(P122,'Scoring Method'!$A$25:$A$27,0))*0.3333,1)</f>
        <v/>
      </c>
      <c r="AT122" s="96">
        <f>AS122*U122/100</f>
        <v/>
      </c>
      <c r="AU122" s="92" t="inlineStr">
        <is>
          <t>Levassor Park</t>
        </is>
      </c>
      <c r="AV122" s="92" t="n">
        <v>42</v>
      </c>
      <c r="AW122" s="101" t="inlineStr">
        <is>
          <t>ESTIMATED</t>
        </is>
      </c>
      <c r="AX122" s="92" t="inlineStr">
        <is>
          <t>Elevated 35-44</t>
        </is>
      </c>
      <c r="AY122" s="96">
        <f>ROUND(INDEX('Scoring Method'!$B$132:$B$140,MATCH(AE122,'Scoring Method'!$A$132:$A$140,0))+INDEX('Scoring Method'!$B$144:$B$152,MATCH(AP122,'Scoring Method'!$A$144:$A$152,0))+INDEX('Scoring Method'!$B$156:$B$160,MATCH(AQ122,'Scoring Method'!$A$156:$A$160,0))+INDEX('Scoring Method'!$B$164:$B$169,MATCH(AO122,'Scoring Method'!$A$164:$A$169,0))+INDEX('Scoring Method'!$B$173:$B$178,MATCH(AX122,'Scoring Method'!$A$173:$A$178,0))+INDEX('Scoring Method'!$B$349:$B$353,MATCH(X122,'Scoring Method'!$A$349:$A$353,0))+INDEX('Scoring Method'!$B$188:$B$190,MATCH(P122,'Scoring Method'!$A$188:$A$190,0)),1)</f>
        <v/>
      </c>
      <c r="AZ122" s="96">
        <f>AY122*U122/100</f>
        <v/>
      </c>
      <c r="BA122" s="103" t="inlineStr">
        <is>
          <t>Brand-owned / net lease</t>
        </is>
      </c>
      <c r="BB122" s="94" t="n">
        <v>0.3</v>
      </c>
      <c r="BC122" s="92" t="inlineStr">
        <is>
          <t>Right-sized 0.35-0.75 AC</t>
        </is>
      </c>
      <c r="BD122" s="94" t="n">
        <v>1</v>
      </c>
      <c r="BE122" s="96">
        <f>ROUND(INDEX('Scoring Method'!$B$268:$B$276,MATCH(AE122,'Scoring Method'!$A$268:$A$276,0))+INDEX('Scoring Method'!$B$280:$B$288,MATCH(AP122,'Scoring Method'!$A$280:$A$288,0))+INDEX('Scoring Method'!$B$292:$B$296,MATCH(AQ122,'Scoring Method'!$A$292:$A$296,0))+INDEX('Scoring Method'!$B$300:$B$305,MATCH(AO122,'Scoring Method'!$A$300:$A$305,0))+INDEX('Scoring Method'!$B$309:$B$314,MATCH(AX122,'Scoring Method'!$A$309:$A$314,0))+INDEX('Scoring Method'!$B$337:$B$341,MATCH(X122,'Scoring Method'!$A$337:$A$341,0))+INDEX('Scoring Method'!$B$324:$B$326,MATCH(P122,'Scoring Method'!$A$324:$A$326,0)),1)</f>
        <v/>
      </c>
      <c r="BF122" s="96">
        <f>ROUND(INDEX('Scoring Method'!$B$268:$B$276,MATCH(AE122,'Scoring Method'!$A$268:$A$276,0))*BB122*BD122+INDEX('Scoring Method'!$B$280:$B$288,MATCH(AP122,'Scoring Method'!$A$280:$A$288,0))*BM122*BB122*BD122+INDEX('Scoring Method'!$B$292:$B$296,MATCH(AQ122,'Scoring Method'!$A$292:$A$296,0))*BD122+INDEX('Scoring Method'!$B$300:$B$305,MATCH(AO122,'Scoring Method'!$A$300:$A$305,0))*BM122*BB122+INDEX('Scoring Method'!$B$309:$B$314,MATCH(AX122,'Scoring Method'!$A$309:$A$314,0))+INDEX('Scoring Method'!$B$337:$B$341,MATCH(X122,'Scoring Method'!$A$337:$A$341,0))+INDEX('Scoring Method'!$B$324:$B$326,MATCH(P122,'Scoring Method'!$A$324:$A$326,0)),1)</f>
        <v/>
      </c>
      <c r="BG122" s="92" t="inlineStr">
        <is>
          <t>Fits (~$6,050/mo)</t>
        </is>
      </c>
      <c r="BH122" s="61" t="inlineStr">
        <is>
          <t>AUC</t>
        </is>
      </c>
      <c r="BI122" s="61" t="inlineStr">
        <is>
          <t>Auto-Urban Commercial</t>
        </is>
      </c>
      <c r="BJ122" s="61" t="inlineStr"/>
      <c r="BK122" s="61" t="inlineStr"/>
      <c r="BL122" s="61" t="inlineStr">
        <is>
          <t>Bar permitted</t>
        </is>
      </c>
      <c r="BM122" s="61">
        <f>INDEX('Scoring Method'!$B$358:$B$363,MATCH(BL122,'Scoring Method'!$A$358:$A$363,0))</f>
        <v/>
      </c>
    </row>
    <row r="123" ht="15" customHeight="1" s="62">
      <c r="A123" s="92" t="n">
        <v>122</v>
      </c>
      <c r="B123" s="92" t="inlineStr">
        <is>
          <t>056-14-13-022.00</t>
        </is>
      </c>
      <c r="C123" s="92" t="inlineStr">
        <is>
          <t>3916 WINSTON AVE</t>
        </is>
      </c>
      <c r="D123" s="92" t="inlineStr">
        <is>
          <t>BATSON JULIE M &amp; DANIEL</t>
        </is>
      </c>
      <c r="E123" s="92" t="inlineStr">
        <is>
          <t>4370 WHITES RD</t>
        </is>
      </c>
      <c r="F123" s="92" t="inlineStr">
        <is>
          <t>RYLAND HEIGHTS</t>
        </is>
      </c>
      <c r="G123" s="92" t="inlineStr">
        <is>
          <t>KY</t>
        </is>
      </c>
      <c r="H123" s="92" t="inlineStr">
        <is>
          <t>OTHER RETAIL</t>
        </is>
      </c>
      <c r="I123" s="93" t="n">
        <v>11548</v>
      </c>
      <c r="J123" s="94">
        <f>I123/43560</f>
        <v/>
      </c>
      <c r="K123" s="93" t="n">
        <v>606.2</v>
      </c>
      <c r="L123" s="95">
        <f>I123/(K123^2)</f>
        <v/>
      </c>
      <c r="M123" s="92" t="inlineStr">
        <is>
          <t>Marginal 10-14k/45-60k</t>
        </is>
      </c>
      <c r="N123" s="92" t="inlineStr">
        <is>
          <t>C</t>
        </is>
      </c>
      <c r="O123" s="92" t="inlineStr">
        <is>
          <t>Irregular &lt;.035</t>
        </is>
      </c>
      <c r="P123" s="92" t="inlineStr">
        <is>
          <t>Low</t>
        </is>
      </c>
      <c r="Q123" s="92" t="inlineStr">
        <is>
          <t>Out-of-city KY</t>
        </is>
      </c>
      <c r="R123" s="92" t="inlineStr">
        <is>
          <t>Individual</t>
        </is>
      </c>
      <c r="S123" s="92" t="n">
        <v>2</v>
      </c>
      <c r="T123" s="96">
        <f>INDEX('Scoring Method'!$B$6:$B$9,MATCH(M123,'Scoring Method'!$A$6:$A$9,0))+INDEX('Scoring Method'!$B$12:$B$16,MATCH(N123,'Scoring Method'!$A$12:$A$16,0))+INDEX('Scoring Method'!$B$19:$B$22,MATCH(O123,'Scoring Method'!$A$19:$A$22,0))+INDEX('Scoring Method'!$B$25:$B$27,MATCH(P123,'Scoring Method'!$A$25:$A$27,0))</f>
        <v/>
      </c>
      <c r="U123" s="96">
        <f>(INDEX('Scoring Method'!$B$30:$B$33,MATCH(Q123,'Scoring Method'!$A$30:$A$33,0))+INDEX('Scoring Method'!$B$36:$B$42,MATCH(R123,'Scoring Method'!$A$36:$A$42,0))+INDEX('Scoring Method'!$B$45:$B$47,MATCH(IF(S123=1,"1",IF(S123=2,"2","3+")),'Scoring Method'!$A$45:$A$47,0)))/90*100</f>
        <v/>
      </c>
      <c r="V123" s="96">
        <f>T123*U123/100</f>
        <v/>
      </c>
      <c r="W123" s="93" t="n">
        <v>4620</v>
      </c>
      <c r="X123" s="92" t="inlineStr">
        <is>
          <t>X (minimal hazard)</t>
        </is>
      </c>
      <c r="Y123" s="93" t="n">
        <v>5650</v>
      </c>
      <c r="Z123" s="97" t="n"/>
      <c r="AA123" s="98">
        <f>MAX(0,(Y123-5000)/300)</f>
        <v/>
      </c>
      <c r="AB123" s="92" t="n"/>
      <c r="AC123" s="92" t="n"/>
      <c r="AD123" s="92" t="n"/>
      <c r="AE123" s="92" t="inlineStr">
        <is>
          <t>Large 4-6k</t>
        </is>
      </c>
      <c r="AF123" s="96">
        <f>INDEX('Scoring Method'!$B$63:$B$71,MATCH(AE123,'Scoring Method'!$A$63:$A$71,0))+INDEX('Scoring Method'!$B$75:$B$79,MATCH("Adequate 5-8k",'Scoring Method'!$A$75:$A$79,0))+INDEX('Scoring Method'!$B$343:$B$347,MATCH(X123,'Scoring Method'!$A$343:$A$347,0))+INDEX('Scoring Method'!$B$25:$B$27,MATCH(P123,'Scoring Method'!$A$25:$A$27,0))</f>
        <v/>
      </c>
      <c r="AG123" s="96">
        <f>AF123*U123/100</f>
        <v/>
      </c>
      <c r="AH123" s="92" t="inlineStr">
        <is>
          <t>LINK-GIS + LoopNet (2026-08-03)</t>
        </is>
      </c>
      <c r="AI123" s="99" t="n">
        <v>39.04431</v>
      </c>
      <c r="AJ123" s="99" t="n">
        <v>-84.50411</v>
      </c>
      <c r="AK123" s="94" t="n">
        <v>2.87</v>
      </c>
      <c r="AL123" s="94" t="n">
        <v>3.22</v>
      </c>
      <c r="AM123" s="94" t="n">
        <v>3.98</v>
      </c>
      <c r="AN123" s="94" t="n">
        <v>2.77</v>
      </c>
      <c r="AO123" s="92" t="inlineStr">
        <is>
          <t>Distant 2-3mi</t>
        </is>
      </c>
      <c r="AP123" s="92" t="inlineStr">
        <is>
          <t>Retail shell</t>
        </is>
      </c>
      <c r="AQ123" s="92" t="inlineStr">
        <is>
          <t>Adequate 5-8k</t>
        </is>
      </c>
      <c r="AR123" s="100" t="n"/>
      <c r="AS123" s="96">
        <f>ROUND(INDEX('Scoring Method'!$B$63:$B$70,MATCH(AE123,'Scoring Method'!$A$63:$A$70,0))*0.625+INDEX('Scoring Method'!$B$105:$B$113,MATCH(AP123,'Scoring Method'!$A$105:$A$113,0))+INDEX('Scoring Method'!$B$74:$B$78,MATCH(AQ123,'Scoring Method'!$A$74:$A$78,0))*0.6667+INDEX('Scoring Method'!$B$96:$B$101,MATCH(AO123,'Scoring Method'!$A$96:$A$101,0))+INDEX('Scoring Method'!$B$343:$B$347,MATCH(X123,'Scoring Method'!$A$343:$A$347,0))*0.3333+INDEX('Scoring Method'!$B$25:$B$27,MATCH(P123,'Scoring Method'!$A$25:$A$27,0))*0.3333,1)</f>
        <v/>
      </c>
      <c r="AT123" s="96">
        <f>AS123*U123/100</f>
        <v/>
      </c>
      <c r="AU123" s="92" t="inlineStr">
        <is>
          <t>Rittes East / Winston Park</t>
        </is>
      </c>
      <c r="AV123" s="92" t="n">
        <v>82</v>
      </c>
      <c r="AW123" s="92" t="inlineStr">
        <is>
          <t>Sourced</t>
        </is>
      </c>
      <c r="AX123" s="92" t="inlineStr">
        <is>
          <t>Very safe 80+</t>
        </is>
      </c>
      <c r="AY123" s="96">
        <f>ROUND(INDEX('Scoring Method'!$B$132:$B$140,MATCH(AE123,'Scoring Method'!$A$132:$A$140,0))+INDEX('Scoring Method'!$B$144:$B$152,MATCH(AP123,'Scoring Method'!$A$144:$A$152,0))+INDEX('Scoring Method'!$B$156:$B$160,MATCH(AQ123,'Scoring Method'!$A$156:$A$160,0))+INDEX('Scoring Method'!$B$164:$B$169,MATCH(AO123,'Scoring Method'!$A$164:$A$169,0))+INDEX('Scoring Method'!$B$173:$B$178,MATCH(AX123,'Scoring Method'!$A$173:$A$178,0))+INDEX('Scoring Method'!$B$349:$B$353,MATCH(X123,'Scoring Method'!$A$349:$A$353,0))+INDEX('Scoring Method'!$B$188:$B$190,MATCH(P123,'Scoring Method'!$A$188:$A$190,0)),1)</f>
        <v/>
      </c>
      <c r="AZ123" s="96">
        <f>AY123*U123/100</f>
        <v/>
      </c>
      <c r="BA123" s="92" t="inlineStr">
        <is>
          <t>No chain signal</t>
        </is>
      </c>
      <c r="BB123" s="94" t="n">
        <v>1</v>
      </c>
      <c r="BC123" s="102" t="inlineStr">
        <is>
          <t>Small 0.25-0.35 AC</t>
        </is>
      </c>
      <c r="BD123" s="94" t="n">
        <v>0.9</v>
      </c>
      <c r="BE123" s="96">
        <f>ROUND(INDEX('Scoring Method'!$B$268:$B$276,MATCH(AE123,'Scoring Method'!$A$268:$A$276,0))+INDEX('Scoring Method'!$B$280:$B$288,MATCH(AP123,'Scoring Method'!$A$280:$A$288,0))+INDEX('Scoring Method'!$B$292:$B$296,MATCH(AQ123,'Scoring Method'!$A$292:$A$296,0))+INDEX('Scoring Method'!$B$300:$B$305,MATCH(AO123,'Scoring Method'!$A$300:$A$305,0))+INDEX('Scoring Method'!$B$309:$B$314,MATCH(AX123,'Scoring Method'!$A$309:$A$314,0))+INDEX('Scoring Method'!$B$337:$B$341,MATCH(X123,'Scoring Method'!$A$337:$A$341,0))+INDEX('Scoring Method'!$B$324:$B$326,MATCH(P123,'Scoring Method'!$A$324:$A$326,0)),1)</f>
        <v/>
      </c>
      <c r="BF123" s="96">
        <f>ROUND(INDEX('Scoring Method'!$B$268:$B$276,MATCH(AE123,'Scoring Method'!$A$268:$A$276,0))*BB123*BD123+INDEX('Scoring Method'!$B$280:$B$288,MATCH(AP123,'Scoring Method'!$A$280:$A$288,0))*BM123*BB123*BD123+INDEX('Scoring Method'!$B$292:$B$296,MATCH(AQ123,'Scoring Method'!$A$292:$A$296,0))*BD123+INDEX('Scoring Method'!$B$300:$B$305,MATCH(AO123,'Scoring Method'!$A$300:$A$305,0))*BM123*BB123+INDEX('Scoring Method'!$B$309:$B$314,MATCH(AX123,'Scoring Method'!$A$309:$A$314,0))+INDEX('Scoring Method'!$B$337:$B$341,MATCH(X123,'Scoring Method'!$A$337:$A$341,0))+INDEX('Scoring Method'!$B$324:$B$326,MATCH(P123,'Scoring Method'!$A$324:$A$326,0)),1)</f>
        <v/>
      </c>
      <c r="BG123" s="92" t="inlineStr">
        <is>
          <t>Fits (~$4,235/mo)</t>
        </is>
      </c>
      <c r="BH123" s="61" t="inlineStr">
        <is>
          <t>TUMU</t>
        </is>
      </c>
      <c r="BI123" s="61" t="inlineStr">
        <is>
          <t>Traditional Urban Mixed Use</t>
        </is>
      </c>
      <c r="BJ123" s="61" t="inlineStr"/>
      <c r="BK123" s="61" t="inlineStr"/>
      <c r="BL123" s="61" t="inlineStr">
        <is>
          <t>Bar permitted</t>
        </is>
      </c>
      <c r="BM123" s="61">
        <f>INDEX('Scoring Method'!$B$358:$B$363,MATCH(BL123,'Scoring Method'!$A$358:$A$363,0))</f>
        <v/>
      </c>
    </row>
    <row r="124" ht="15" customHeight="1" s="62">
      <c r="A124" s="92" t="n">
        <v>123</v>
      </c>
      <c r="B124" s="92" t="inlineStr">
        <is>
          <t>095-00-00-001.11</t>
        </is>
      </c>
      <c r="C124" s="92" t="inlineStr">
        <is>
          <t>RUSSELL ST</t>
        </is>
      </c>
      <c r="D124" s="92" t="inlineStr">
        <is>
          <t>TMV HOLDINGS LLC</t>
        </is>
      </c>
      <c r="E124" s="92" t="inlineStr">
        <is>
          <t>1800 RUSSELL ST</t>
        </is>
      </c>
      <c r="F124" s="92" t="inlineStr">
        <is>
          <t>COVINGTON</t>
        </is>
      </c>
      <c r="G124" s="92" t="inlineStr">
        <is>
          <t>KY</t>
        </is>
      </c>
      <c r="H124" s="92" t="inlineStr">
        <is>
          <t>MFG/ASSEMBLY 20001-100000 SF</t>
        </is>
      </c>
      <c r="I124" s="93" t="n">
        <v>31743</v>
      </c>
      <c r="J124" s="94">
        <f>I124/43560</f>
        <v/>
      </c>
      <c r="K124" s="93" t="n">
        <v>885</v>
      </c>
      <c r="L124" s="95">
        <f>I124/(K124^2)</f>
        <v/>
      </c>
      <c r="M124" s="92" t="inlineStr">
        <is>
          <t>Ideal 18-32k</t>
        </is>
      </c>
      <c r="N124" s="92" t="inlineStr">
        <is>
          <t>E</t>
        </is>
      </c>
      <c r="O124" s="92" t="inlineStr">
        <is>
          <t>Elongated .035-.045</t>
        </is>
      </c>
      <c r="P124" s="92" t="inlineStr">
        <is>
          <t>Moderate</t>
        </is>
      </c>
      <c r="Q124" s="92" t="inlineStr">
        <is>
          <t>Local absentee</t>
        </is>
      </c>
      <c r="R124" s="92" t="inlineStr">
        <is>
          <t>Passive vehicle</t>
        </is>
      </c>
      <c r="S124" s="92" t="n">
        <v>3</v>
      </c>
      <c r="T124" s="96">
        <f>INDEX('Scoring Method'!$B$6:$B$9,MATCH(M124,'Scoring Method'!$A$6:$A$9,0))+INDEX('Scoring Method'!$B$12:$B$16,MATCH(N124,'Scoring Method'!$A$12:$A$16,0))+INDEX('Scoring Method'!$B$19:$B$22,MATCH(O124,'Scoring Method'!$A$19:$A$22,0))+INDEX('Scoring Method'!$B$25:$B$27,MATCH(P124,'Scoring Method'!$A$25:$A$27,0))</f>
        <v/>
      </c>
      <c r="U124" s="96">
        <f>(INDEX('Scoring Method'!$B$30:$B$33,MATCH(Q124,'Scoring Method'!$A$30:$A$33,0))+INDEX('Scoring Method'!$B$36:$B$42,MATCH(R124,'Scoring Method'!$A$36:$A$42,0))+INDEX('Scoring Method'!$B$45:$B$47,MATCH(IF(S124=1,"1",IF(S124=2,"2","3+")),'Scoring Method'!$A$45:$A$47,0)))/90*100</f>
        <v/>
      </c>
      <c r="V124" s="96">
        <f>T124*U124/100</f>
        <v/>
      </c>
      <c r="W124" s="93" t="n"/>
      <c r="X124" s="92" t="inlineStr">
        <is>
          <t>X (minimal hazard)</t>
        </is>
      </c>
      <c r="Y124" s="93" t="n">
        <v>29675</v>
      </c>
      <c r="Z124" s="97" t="n"/>
      <c r="AA124" s="98" t="n"/>
      <c r="AB124" s="92" t="n"/>
      <c r="AC124" s="92" t="n">
        <v>0.73</v>
      </c>
      <c r="AD124" s="92" t="inlineStr">
        <is>
          <t>ok</t>
        </is>
      </c>
      <c r="AE124" s="92" t="inlineStr">
        <is>
          <t>No building</t>
        </is>
      </c>
      <c r="AF124" s="96">
        <f>INDEX('Scoring Method'!$B$63:$B$71,MATCH(AE124,'Scoring Method'!$A$63:$A$71,0))+INDEX('Scoring Method'!$B$75:$B$79,MATCH("Ample &gt;=15k",'Scoring Method'!$A$75:$A$79,0))+INDEX('Scoring Method'!$B$343:$B$347,MATCH(X124,'Scoring Method'!$A$343:$A$347,0))+INDEX('Scoring Method'!$B$25:$B$27,MATCH(P124,'Scoring Method'!$A$25:$A$27,0))</f>
        <v/>
      </c>
      <c r="AG124" s="96">
        <f>AF124*U124/100</f>
        <v/>
      </c>
      <c r="AH124" s="92" t="inlineStr">
        <is>
          <t>LINK-GIS + LoopNet</t>
        </is>
      </c>
      <c r="AI124" s="99" t="n">
        <v>39.06868</v>
      </c>
      <c r="AJ124" s="99" t="n">
        <v>-84.50830999999999</v>
      </c>
      <c r="AK124" s="94" t="n">
        <v>1.2</v>
      </c>
      <c r="AL124" s="94" t="n">
        <v>1.53</v>
      </c>
      <c r="AM124" s="94" t="n">
        <v>2.28</v>
      </c>
      <c r="AN124" s="94" t="n">
        <v>1.07</v>
      </c>
      <c r="AO124" s="92" t="inlineStr">
        <is>
          <t>Fringe 0.75-1.25mi</t>
        </is>
      </c>
      <c r="AP124" s="92" t="inlineStr">
        <is>
          <t>Open span</t>
        </is>
      </c>
      <c r="AQ124" s="92" t="inlineStr">
        <is>
          <t>Ample &gt;=15k</t>
        </is>
      </c>
      <c r="AR124" s="100" t="n"/>
      <c r="AS124" s="96">
        <f>ROUND(INDEX('Scoring Method'!$B$63:$B$70,MATCH(AE124,'Scoring Method'!$A$63:$A$70,0))*0.625+INDEX('Scoring Method'!$B$105:$B$113,MATCH(AP124,'Scoring Method'!$A$105:$A$113,0))+INDEX('Scoring Method'!$B$74:$B$78,MATCH(AQ124,'Scoring Method'!$A$74:$A$78,0))*0.6667+INDEX('Scoring Method'!$B$96:$B$101,MATCH(AO124,'Scoring Method'!$A$96:$A$101,0))+INDEX('Scoring Method'!$B$343:$B$347,MATCH(X124,'Scoring Method'!$A$343:$A$347,0))*0.3333+INDEX('Scoring Method'!$B$25:$B$27,MATCH(P124,'Scoring Method'!$A$25:$A$27,0))*0.3333,1)</f>
        <v/>
      </c>
      <c r="AT124" s="96">
        <f>AS124*U124/100</f>
        <v/>
      </c>
      <c r="AU124" s="92" t="inlineStr">
        <is>
          <t>Levassor Park</t>
        </is>
      </c>
      <c r="AV124" s="92" t="n">
        <v>42</v>
      </c>
      <c r="AW124" s="101" t="inlineStr">
        <is>
          <t>ESTIMATED</t>
        </is>
      </c>
      <c r="AX124" s="92" t="inlineStr">
        <is>
          <t>Elevated 35-44</t>
        </is>
      </c>
      <c r="AY124" s="96">
        <f>ROUND(INDEX('Scoring Method'!$B$132:$B$140,MATCH(AE124,'Scoring Method'!$A$132:$A$140,0))+INDEX('Scoring Method'!$B$144:$B$152,MATCH(AP124,'Scoring Method'!$A$144:$A$152,0))+INDEX('Scoring Method'!$B$156:$B$160,MATCH(AQ124,'Scoring Method'!$A$156:$A$160,0))+INDEX('Scoring Method'!$B$164:$B$169,MATCH(AO124,'Scoring Method'!$A$164:$A$169,0))+INDEX('Scoring Method'!$B$173:$B$178,MATCH(AX124,'Scoring Method'!$A$173:$A$178,0))+INDEX('Scoring Method'!$B$349:$B$353,MATCH(X124,'Scoring Method'!$A$349:$A$353,0))+INDEX('Scoring Method'!$B$188:$B$190,MATCH(P124,'Scoring Method'!$A$188:$A$190,0)),1)</f>
        <v/>
      </c>
      <c r="AZ124" s="96">
        <f>AY124*U124/100</f>
        <v/>
      </c>
      <c r="BA124" s="92" t="inlineStr">
        <is>
          <t>No chain signal</t>
        </is>
      </c>
      <c r="BB124" s="94" t="n">
        <v>1</v>
      </c>
      <c r="BC124" s="92" t="inlineStr">
        <is>
          <t>Right-sized 0.35-0.75 AC</t>
        </is>
      </c>
      <c r="BD124" s="94" t="n">
        <v>1</v>
      </c>
      <c r="BE124" s="96">
        <f>ROUND(INDEX('Scoring Method'!$B$268:$B$276,MATCH(AE124,'Scoring Method'!$A$268:$A$276,0))+INDEX('Scoring Method'!$B$280:$B$288,MATCH(AP124,'Scoring Method'!$A$280:$A$288,0))+INDEX('Scoring Method'!$B$292:$B$296,MATCH(AQ124,'Scoring Method'!$A$292:$A$296,0))+INDEX('Scoring Method'!$B$300:$B$305,MATCH(AO124,'Scoring Method'!$A$300:$A$305,0))+INDEX('Scoring Method'!$B$309:$B$314,MATCH(AX124,'Scoring Method'!$A$309:$A$314,0))+INDEX('Scoring Method'!$B$337:$B$341,MATCH(X124,'Scoring Method'!$A$337:$A$341,0))+INDEX('Scoring Method'!$B$324:$B$326,MATCH(P124,'Scoring Method'!$A$324:$A$326,0)),1)</f>
        <v/>
      </c>
      <c r="BF124" s="96">
        <f>ROUND(INDEX('Scoring Method'!$B$268:$B$276,MATCH(AE124,'Scoring Method'!$A$268:$A$276,0))*BB124*BD124+INDEX('Scoring Method'!$B$280:$B$288,MATCH(AP124,'Scoring Method'!$A$280:$A$288,0))*BM124*BB124*BD124+INDEX('Scoring Method'!$B$292:$B$296,MATCH(AQ124,'Scoring Method'!$A$292:$A$296,0))*BD124+INDEX('Scoring Method'!$B$300:$B$305,MATCH(AO124,'Scoring Method'!$A$300:$A$305,0))*BM124*BB124+INDEX('Scoring Method'!$B$309:$B$314,MATCH(AX124,'Scoring Method'!$A$309:$A$314,0))+INDEX('Scoring Method'!$B$337:$B$341,MATCH(X124,'Scoring Method'!$A$337:$A$341,0))+INDEX('Scoring Method'!$B$324:$B$326,MATCH(P124,'Scoring Method'!$A$324:$A$326,0)),1)</f>
        <v/>
      </c>
      <c r="BG124" s="92" t="n"/>
      <c r="BH124" s="61" t="inlineStr">
        <is>
          <t>LI</t>
        </is>
      </c>
      <c r="BI124" s="61" t="inlineStr">
        <is>
          <t>Limited Industrial</t>
        </is>
      </c>
      <c r="BJ124" s="61" t="inlineStr"/>
      <c r="BK124" s="61" t="inlineStr"/>
      <c r="BL124" s="61" t="inlineStr">
        <is>
          <t>Bar prohibited, alt-path</t>
        </is>
      </c>
      <c r="BM124" s="61">
        <f>INDEX('Scoring Method'!$B$358:$B$363,MATCH(BL124,'Scoring Method'!$A$358:$A$363,0))</f>
        <v/>
      </c>
    </row>
    <row r="125" ht="15" customHeight="1" s="62">
      <c r="A125" s="92" t="n">
        <v>124</v>
      </c>
      <c r="B125" s="92" t="inlineStr">
        <is>
          <t>040-43-11-007.00</t>
        </is>
      </c>
      <c r="C125" s="92" t="inlineStr">
        <is>
          <t>409 MAIN ST</t>
        </is>
      </c>
      <c r="D125" s="92" t="inlineStr">
        <is>
          <t>SMITH HOLDING CO INC</t>
        </is>
      </c>
      <c r="E125" s="92" t="inlineStr">
        <is>
          <t>435 MAIN ST</t>
        </is>
      </c>
      <c r="F125" s="92" t="inlineStr">
        <is>
          <t>COVINGTON</t>
        </is>
      </c>
      <c r="G125" s="92" t="inlineStr">
        <is>
          <t>KY</t>
        </is>
      </c>
      <c r="H125" s="92" t="inlineStr">
        <is>
          <t>AUTO SERVICE/REPAIR</t>
        </is>
      </c>
      <c r="I125" s="93" t="n">
        <v>44070</v>
      </c>
      <c r="J125" s="94">
        <f>I125/43560</f>
        <v/>
      </c>
      <c r="K125" s="93" t="n">
        <v>945.4</v>
      </c>
      <c r="L125" s="95">
        <f>I125/(K125^2)</f>
        <v/>
      </c>
      <c r="M125" s="92" t="inlineStr">
        <is>
          <t>Near 14-18k/32-45k</t>
        </is>
      </c>
      <c r="N125" s="92" t="inlineStr">
        <is>
          <t>A</t>
        </is>
      </c>
      <c r="O125" s="92" t="inlineStr">
        <is>
          <t>Regular .045-.055</t>
        </is>
      </c>
      <c r="P125" s="92" t="inlineStr">
        <is>
          <t>Moderate</t>
        </is>
      </c>
      <c r="Q125" s="92" t="inlineStr">
        <is>
          <t>Local absentee</t>
        </is>
      </c>
      <c r="R125" s="92" t="inlineStr">
        <is>
          <t>Operating entity</t>
        </is>
      </c>
      <c r="S125" s="92" t="n">
        <v>2</v>
      </c>
      <c r="T125" s="96">
        <f>INDEX('Scoring Method'!$B$6:$B$9,MATCH(M125,'Scoring Method'!$A$6:$A$9,0))+INDEX('Scoring Method'!$B$12:$B$16,MATCH(N125,'Scoring Method'!$A$12:$A$16,0))+INDEX('Scoring Method'!$B$19:$B$22,MATCH(O125,'Scoring Method'!$A$19:$A$22,0))+INDEX('Scoring Method'!$B$25:$B$27,MATCH(P125,'Scoring Method'!$A$25:$A$27,0))</f>
        <v/>
      </c>
      <c r="U125" s="96">
        <f>(INDEX('Scoring Method'!$B$30:$B$33,MATCH(Q125,'Scoring Method'!$A$30:$A$33,0))+INDEX('Scoring Method'!$B$36:$B$42,MATCH(R125,'Scoring Method'!$A$36:$A$42,0))+INDEX('Scoring Method'!$B$45:$B$47,MATCH(IF(S125=1,"1",IF(S125=2,"2","3+")),'Scoring Method'!$A$45:$A$47,0)))/90*100</f>
        <v/>
      </c>
      <c r="V125" s="96">
        <f>T125*U125/100</f>
        <v/>
      </c>
      <c r="W125" s="93" t="n">
        <v>14720</v>
      </c>
      <c r="X125" s="92" t="inlineStr">
        <is>
          <t>X (minimal hazard)</t>
        </is>
      </c>
      <c r="Y125" s="93" t="n">
        <v>27500</v>
      </c>
      <c r="Z125" s="97">
        <f>W125/I125</f>
        <v/>
      </c>
      <c r="AA125" s="98">
        <f>MAX(0,(Y125-5000)/300)</f>
        <v/>
      </c>
      <c r="AB125" s="92" t="n"/>
      <c r="AC125" s="92" t="n">
        <v>1.01</v>
      </c>
      <c r="AD125" s="92" t="inlineStr">
        <is>
          <t>ok</t>
        </is>
      </c>
      <c r="AE125" s="92" t="inlineStr">
        <is>
          <t>Far oversize &gt;12k</t>
        </is>
      </c>
      <c r="AF125" s="96">
        <f>INDEX('Scoring Method'!$B$63:$B$71,MATCH(AE125,'Scoring Method'!$A$63:$A$71,0))+INDEX('Scoring Method'!$B$75:$B$79,MATCH("Ample &gt;=15k",'Scoring Method'!$A$75:$A$79,0))+INDEX('Scoring Method'!$B$343:$B$347,MATCH(X125,'Scoring Method'!$A$343:$A$347,0))+INDEX('Scoring Method'!$B$25:$B$27,MATCH(P125,'Scoring Method'!$A$25:$A$27,0))</f>
        <v/>
      </c>
      <c r="AG125" s="96">
        <f>AF125*U125/100</f>
        <v/>
      </c>
      <c r="AH125" s="92" t="inlineStr">
        <is>
          <t>LINK-GIS + LoopNet</t>
        </is>
      </c>
      <c r="AI125" s="99" t="n">
        <v>39.08584</v>
      </c>
      <c r="AJ125" s="99" t="n">
        <v>-84.51795</v>
      </c>
      <c r="AK125" s="94" t="n">
        <v>0.1</v>
      </c>
      <c r="AL125" s="94" t="n">
        <v>0.62</v>
      </c>
      <c r="AM125" s="94" t="n">
        <v>1.12</v>
      </c>
      <c r="AN125" s="94" t="n">
        <v>0.1</v>
      </c>
      <c r="AO125" s="92" t="inlineStr">
        <is>
          <t>Core &lt;=0.35mi</t>
        </is>
      </c>
      <c r="AP125" s="92" t="inlineStr">
        <is>
          <t>Open span</t>
        </is>
      </c>
      <c r="AQ125" s="92" t="inlineStr">
        <is>
          <t>Ample &gt;=15k</t>
        </is>
      </c>
      <c r="AR125" s="100" t="n"/>
      <c r="AS125" s="96">
        <f>ROUND(INDEX('Scoring Method'!$B$63:$B$70,MATCH(AE125,'Scoring Method'!$A$63:$A$70,0))*0.625+INDEX('Scoring Method'!$B$105:$B$113,MATCH(AP125,'Scoring Method'!$A$105:$A$113,0))+INDEX('Scoring Method'!$B$74:$B$78,MATCH(AQ125,'Scoring Method'!$A$74:$A$78,0))*0.6667+INDEX('Scoring Method'!$B$96:$B$101,MATCH(AO125,'Scoring Method'!$A$96:$A$101,0))+INDEX('Scoring Method'!$B$343:$B$347,MATCH(X125,'Scoring Method'!$A$343:$A$347,0))*0.3333+INDEX('Scoring Method'!$B$25:$B$27,MATCH(P125,'Scoring Method'!$A$25:$A$27,0))*0.3333,1)</f>
        <v/>
      </c>
      <c r="AT125" s="96">
        <f>AS125*U125/100</f>
        <v/>
      </c>
      <c r="AU125" s="92" t="inlineStr">
        <is>
          <t>MainStrasse</t>
        </is>
      </c>
      <c r="AV125" s="92" t="n">
        <v>75</v>
      </c>
      <c r="AW125" s="92" t="inlineStr">
        <is>
          <t>Sourced</t>
        </is>
      </c>
      <c r="AX125" s="92" t="inlineStr">
        <is>
          <t>Safe 70-79</t>
        </is>
      </c>
      <c r="AY125" s="96">
        <f>ROUND(INDEX('Scoring Method'!$B$132:$B$140,MATCH(AE125,'Scoring Method'!$A$132:$A$140,0))+INDEX('Scoring Method'!$B$144:$B$152,MATCH(AP125,'Scoring Method'!$A$144:$A$152,0))+INDEX('Scoring Method'!$B$156:$B$160,MATCH(AQ125,'Scoring Method'!$A$156:$A$160,0))+INDEX('Scoring Method'!$B$164:$B$169,MATCH(AO125,'Scoring Method'!$A$164:$A$169,0))+INDEX('Scoring Method'!$B$173:$B$178,MATCH(AX125,'Scoring Method'!$A$173:$A$178,0))+INDEX('Scoring Method'!$B$349:$B$353,MATCH(X125,'Scoring Method'!$A$349:$A$353,0))+INDEX('Scoring Method'!$B$188:$B$190,MATCH(P125,'Scoring Method'!$A$188:$A$190,0)),1)</f>
        <v/>
      </c>
      <c r="AZ125" s="96">
        <f>AY125*U125/100</f>
        <v/>
      </c>
      <c r="BA125" s="92" t="inlineStr">
        <is>
          <t>No chain signal</t>
        </is>
      </c>
      <c r="BB125" s="94" t="n">
        <v>1</v>
      </c>
      <c r="BC125" s="102" t="inlineStr">
        <is>
          <t>Large 0.75-1.25 AC</t>
        </is>
      </c>
      <c r="BD125" s="94" t="n">
        <v>0.9</v>
      </c>
      <c r="BE125" s="96">
        <f>ROUND(INDEX('Scoring Method'!$B$268:$B$276,MATCH(AE125,'Scoring Method'!$A$268:$A$276,0))+INDEX('Scoring Method'!$B$280:$B$288,MATCH(AP125,'Scoring Method'!$A$280:$A$288,0))+INDEX('Scoring Method'!$B$292:$B$296,MATCH(AQ125,'Scoring Method'!$A$292:$A$296,0))+INDEX('Scoring Method'!$B$300:$B$305,MATCH(AO125,'Scoring Method'!$A$300:$A$305,0))+INDEX('Scoring Method'!$B$309:$B$314,MATCH(AX125,'Scoring Method'!$A$309:$A$314,0))+INDEX('Scoring Method'!$B$337:$B$341,MATCH(X125,'Scoring Method'!$A$337:$A$341,0))+INDEX('Scoring Method'!$B$324:$B$326,MATCH(P125,'Scoring Method'!$A$324:$A$326,0)),1)</f>
        <v/>
      </c>
      <c r="BF125" s="96">
        <f>ROUND(INDEX('Scoring Method'!$B$268:$B$276,MATCH(AE125,'Scoring Method'!$A$268:$A$276,0))*BB125*BD125+INDEX('Scoring Method'!$B$280:$B$288,MATCH(AP125,'Scoring Method'!$A$280:$A$288,0))*BM125*BB125*BD125+INDEX('Scoring Method'!$B$292:$B$296,MATCH(AQ125,'Scoring Method'!$A$292:$A$296,0))*BD125+INDEX('Scoring Method'!$B$300:$B$305,MATCH(AO125,'Scoring Method'!$A$300:$A$305,0))*BM125*BB125+INDEX('Scoring Method'!$B$309:$B$314,MATCH(AX125,'Scoring Method'!$A$309:$A$314,0))+INDEX('Scoring Method'!$B$337:$B$341,MATCH(X125,'Scoring Method'!$A$337:$A$341,0))+INDEX('Scoring Method'!$B$324:$B$326,MATCH(P125,'Scoring Method'!$A$324:$A$326,0)),1)</f>
        <v/>
      </c>
      <c r="BG125" s="102" t="inlineStr">
        <is>
          <t>Over (~$13,493/mo)</t>
        </is>
      </c>
      <c r="BH125" s="61" t="inlineStr">
        <is>
          <t>AUC</t>
        </is>
      </c>
      <c r="BI125" s="61" t="inlineStr">
        <is>
          <t>Auto-Urban Commercial</t>
        </is>
      </c>
      <c r="BJ125" s="61" t="inlineStr"/>
      <c r="BK125" s="61" t="inlineStr"/>
      <c r="BL125" s="61" t="inlineStr">
        <is>
          <t>Bar permitted</t>
        </is>
      </c>
      <c r="BM125" s="61">
        <f>INDEX('Scoring Method'!$B$358:$B$363,MATCH(BL125,'Scoring Method'!$A$358:$A$363,0))</f>
        <v/>
      </c>
    </row>
    <row r="126" ht="15" customHeight="1" s="62">
      <c r="A126" s="92" t="n">
        <v>125</v>
      </c>
      <c r="B126" s="92" t="inlineStr">
        <is>
          <t>054-21-17-023.00</t>
        </is>
      </c>
      <c r="C126" s="92" t="inlineStr">
        <is>
          <t>118 W 5TH ST</t>
        </is>
      </c>
      <c r="D126" s="92" t="inlineStr">
        <is>
          <t>COPPERWOOD INVESTMENTS I LLC</t>
        </is>
      </c>
      <c r="E126" s="92" t="inlineStr">
        <is>
          <t>2734 CHANCELLOR DR STE 208</t>
        </is>
      </c>
      <c r="F126" s="92" t="inlineStr">
        <is>
          <t>CRESTVIEW HILLS</t>
        </is>
      </c>
      <c r="G126" s="92" t="inlineStr">
        <is>
          <t>KY</t>
        </is>
      </c>
      <c r="H126" s="92" t="inlineStr">
        <is>
          <t>OFFICE BLDG 1 OR 2 STORY</t>
        </is>
      </c>
      <c r="I126" s="93" t="n">
        <v>17263</v>
      </c>
      <c r="J126" s="94">
        <f>I126/43560</f>
        <v/>
      </c>
      <c r="K126" s="93" t="n">
        <v>579</v>
      </c>
      <c r="L126" s="95">
        <f>I126/(K126^2)</f>
        <v/>
      </c>
      <c r="M126" s="92" t="inlineStr">
        <is>
          <t>Near 14-18k/32-45k</t>
        </is>
      </c>
      <c r="N126" s="92" t="inlineStr">
        <is>
          <t>E</t>
        </is>
      </c>
      <c r="O126" s="92" t="inlineStr">
        <is>
          <t>Regular .045-.055</t>
        </is>
      </c>
      <c r="P126" s="92" t="inlineStr">
        <is>
          <t>Low</t>
        </is>
      </c>
      <c r="Q126" s="92" t="inlineStr">
        <is>
          <t>Out-of-city KY</t>
        </is>
      </c>
      <c r="R126" s="92" t="inlineStr">
        <is>
          <t>Passive vehicle</t>
        </is>
      </c>
      <c r="S126" s="92" t="n">
        <v>1</v>
      </c>
      <c r="T126" s="96">
        <f>INDEX('Scoring Method'!$B$6:$B$9,MATCH(M126,'Scoring Method'!$A$6:$A$9,0))+INDEX('Scoring Method'!$B$12:$B$16,MATCH(N126,'Scoring Method'!$A$12:$A$16,0))+INDEX('Scoring Method'!$B$19:$B$22,MATCH(O126,'Scoring Method'!$A$19:$A$22,0))+INDEX('Scoring Method'!$B$25:$B$27,MATCH(P126,'Scoring Method'!$A$25:$A$27,0))</f>
        <v/>
      </c>
      <c r="U126" s="96">
        <f>(INDEX('Scoring Method'!$B$30:$B$33,MATCH(Q126,'Scoring Method'!$A$30:$A$33,0))+INDEX('Scoring Method'!$B$36:$B$42,MATCH(R126,'Scoring Method'!$A$36:$A$42,0))+INDEX('Scoring Method'!$B$45:$B$47,MATCH(IF(S126=1,"1",IF(S126=2,"2","3+")),'Scoring Method'!$A$45:$A$47,0)))/90*100</f>
        <v/>
      </c>
      <c r="V126" s="96">
        <f>T126*U126/100</f>
        <v/>
      </c>
      <c r="W126" s="93" t="n">
        <v>11900</v>
      </c>
      <c r="X126" s="92" t="inlineStr">
        <is>
          <t>X (minimal hazard)</t>
        </is>
      </c>
      <c r="Y126" s="93" t="n">
        <v>12225</v>
      </c>
      <c r="Z126" s="97">
        <f>W126/I126</f>
        <v/>
      </c>
      <c r="AA126" s="98">
        <f>MAX(0,(Y126-5000)/300)</f>
        <v/>
      </c>
      <c r="AB126" s="92" t="n"/>
      <c r="AC126" s="92" t="n">
        <v>0.43</v>
      </c>
      <c r="AD126" s="92" t="inlineStr">
        <is>
          <t>ok</t>
        </is>
      </c>
      <c r="AE126" s="92" t="inlineStr">
        <is>
          <t>Oversize 6-12k</t>
        </is>
      </c>
      <c r="AF126" s="96">
        <f>INDEX('Scoring Method'!$B$63:$B$71,MATCH(AE126,'Scoring Method'!$A$63:$A$71,0))+INDEX('Scoring Method'!$B$75:$B$79,MATCH("Good 8-15k",'Scoring Method'!$A$75:$A$79,0))+INDEX('Scoring Method'!$B$343:$B$347,MATCH(X126,'Scoring Method'!$A$343:$A$347,0))+INDEX('Scoring Method'!$B$25:$B$27,MATCH(P126,'Scoring Method'!$A$25:$A$27,0))</f>
        <v/>
      </c>
      <c r="AG126" s="96">
        <f>AF126*U126/100</f>
        <v/>
      </c>
      <c r="AH126" s="92" t="inlineStr">
        <is>
          <t>LINK-GIS + LoopNet</t>
        </is>
      </c>
      <c r="AI126" s="99" t="n">
        <v>39.08581</v>
      </c>
      <c r="AJ126" s="99" t="n">
        <v>-84.5134</v>
      </c>
      <c r="AK126" s="94" t="n">
        <v>0.26</v>
      </c>
      <c r="AL126" s="94" t="n">
        <v>0.44</v>
      </c>
      <c r="AM126" s="94" t="n">
        <v>1.09</v>
      </c>
      <c r="AN126" s="94" t="n">
        <v>0.18</v>
      </c>
      <c r="AO126" s="92" t="inlineStr">
        <is>
          <t>Core &lt;=0.35mi</t>
        </is>
      </c>
      <c r="AP126" s="92" t="inlineStr">
        <is>
          <t>Office/institutional</t>
        </is>
      </c>
      <c r="AQ126" s="92" t="inlineStr">
        <is>
          <t>Good 8-15k</t>
        </is>
      </c>
      <c r="AR126" s="100" t="n"/>
      <c r="AS126" s="96">
        <f>ROUND(INDEX('Scoring Method'!$B$63:$B$70,MATCH(AE126,'Scoring Method'!$A$63:$A$70,0))*0.625+INDEX('Scoring Method'!$B$105:$B$113,MATCH(AP126,'Scoring Method'!$A$105:$A$113,0))+INDEX('Scoring Method'!$B$74:$B$78,MATCH(AQ126,'Scoring Method'!$A$74:$A$78,0))*0.6667+INDEX('Scoring Method'!$B$96:$B$101,MATCH(AO126,'Scoring Method'!$A$96:$A$101,0))+INDEX('Scoring Method'!$B$343:$B$347,MATCH(X126,'Scoring Method'!$A$343:$A$347,0))*0.3333+INDEX('Scoring Method'!$B$25:$B$27,MATCH(P126,'Scoring Method'!$A$25:$A$27,0))*0.3333,1)</f>
        <v/>
      </c>
      <c r="AT126" s="96">
        <f>AS126*U126/100</f>
        <v/>
      </c>
      <c r="AU126" s="92" t="inlineStr">
        <is>
          <t>MainStrasse</t>
        </is>
      </c>
      <c r="AV126" s="92" t="n">
        <v>75</v>
      </c>
      <c r="AW126" s="92" t="inlineStr">
        <is>
          <t>Sourced</t>
        </is>
      </c>
      <c r="AX126" s="92" t="inlineStr">
        <is>
          <t>Safe 70-79</t>
        </is>
      </c>
      <c r="AY126" s="96">
        <f>ROUND(INDEX('Scoring Method'!$B$132:$B$140,MATCH(AE126,'Scoring Method'!$A$132:$A$140,0))+INDEX('Scoring Method'!$B$144:$B$152,MATCH(AP126,'Scoring Method'!$A$144:$A$152,0))+INDEX('Scoring Method'!$B$156:$B$160,MATCH(AQ126,'Scoring Method'!$A$156:$A$160,0))+INDEX('Scoring Method'!$B$164:$B$169,MATCH(AO126,'Scoring Method'!$A$164:$A$169,0))+INDEX('Scoring Method'!$B$173:$B$178,MATCH(AX126,'Scoring Method'!$A$173:$A$178,0))+INDEX('Scoring Method'!$B$349:$B$353,MATCH(X126,'Scoring Method'!$A$349:$A$353,0))+INDEX('Scoring Method'!$B$188:$B$190,MATCH(P126,'Scoring Method'!$A$188:$A$190,0)),1)</f>
        <v/>
      </c>
      <c r="AZ126" s="96">
        <f>AY126*U126/100</f>
        <v/>
      </c>
      <c r="BA126" s="92" t="inlineStr">
        <is>
          <t>No chain signal</t>
        </is>
      </c>
      <c r="BB126" s="94" t="n">
        <v>1</v>
      </c>
      <c r="BC126" s="92" t="inlineStr">
        <is>
          <t>Right-sized 0.35-0.75 AC</t>
        </is>
      </c>
      <c r="BD126" s="94" t="n">
        <v>1</v>
      </c>
      <c r="BE126" s="96">
        <f>ROUND(INDEX('Scoring Method'!$B$268:$B$276,MATCH(AE126,'Scoring Method'!$A$268:$A$276,0))+INDEX('Scoring Method'!$B$280:$B$288,MATCH(AP126,'Scoring Method'!$A$280:$A$288,0))+INDEX('Scoring Method'!$B$292:$B$296,MATCH(AQ126,'Scoring Method'!$A$292:$A$296,0))+INDEX('Scoring Method'!$B$300:$B$305,MATCH(AO126,'Scoring Method'!$A$300:$A$305,0))+INDEX('Scoring Method'!$B$309:$B$314,MATCH(AX126,'Scoring Method'!$A$309:$A$314,0))+INDEX('Scoring Method'!$B$337:$B$341,MATCH(X126,'Scoring Method'!$A$337:$A$341,0))+INDEX('Scoring Method'!$B$324:$B$326,MATCH(P126,'Scoring Method'!$A$324:$A$326,0)),1)</f>
        <v/>
      </c>
      <c r="BF126" s="96">
        <f>ROUND(INDEX('Scoring Method'!$B$268:$B$276,MATCH(AE126,'Scoring Method'!$A$268:$A$276,0))*BB126*BD126+INDEX('Scoring Method'!$B$280:$B$288,MATCH(AP126,'Scoring Method'!$A$280:$A$288,0))*BM126*BB126*BD126+INDEX('Scoring Method'!$B$292:$B$296,MATCH(AQ126,'Scoring Method'!$A$292:$A$296,0))*BD126+INDEX('Scoring Method'!$B$300:$B$305,MATCH(AO126,'Scoring Method'!$A$300:$A$305,0))*BM126*BB126+INDEX('Scoring Method'!$B$309:$B$314,MATCH(AX126,'Scoring Method'!$A$309:$A$314,0))+INDEX('Scoring Method'!$B$337:$B$341,MATCH(X126,'Scoring Method'!$A$337:$A$341,0))+INDEX('Scoring Method'!$B$324:$B$326,MATCH(P126,'Scoring Method'!$A$324:$A$326,0)),1)</f>
        <v/>
      </c>
      <c r="BG126" s="92" t="inlineStr">
        <is>
          <t>Fits (~$10,908/mo)</t>
        </is>
      </c>
      <c r="BH126" s="61" t="inlineStr">
        <is>
          <t>TUR (HP)</t>
        </is>
      </c>
      <c r="BI126" s="61" t="inlineStr">
        <is>
          <t>Traditional Urban Residential</t>
        </is>
      </c>
      <c r="BJ126" s="61" t="inlineStr">
        <is>
          <t>HP</t>
        </is>
      </c>
      <c r="BK126" s="61" t="inlineStr"/>
      <c r="BL126" s="61" t="inlineStr">
        <is>
          <t>Bar prohibited, alt-path</t>
        </is>
      </c>
      <c r="BM126" s="61">
        <f>INDEX('Scoring Method'!$B$358:$B$363,MATCH(BL126,'Scoring Method'!$A$358:$A$363,0))</f>
        <v/>
      </c>
    </row>
    <row r="127" ht="15" customHeight="1" s="62">
      <c r="A127" s="92" t="n">
        <v>126</v>
      </c>
      <c r="B127" s="92" t="inlineStr">
        <is>
          <t>055-31-11-009.00</t>
        </is>
      </c>
      <c r="C127" s="92" t="inlineStr">
        <is>
          <t>410 E 15TH ST</t>
        </is>
      </c>
      <c r="D127" s="92" t="inlineStr">
        <is>
          <t>HEDGER BERNARD A</t>
        </is>
      </c>
      <c r="E127" s="92" t="inlineStr">
        <is>
          <t>2247 DIANA PL</t>
        </is>
      </c>
      <c r="F127" s="92" t="inlineStr">
        <is>
          <t>COVINGTON</t>
        </is>
      </c>
      <c r="G127" s="92" t="inlineStr">
        <is>
          <t>KY</t>
        </is>
      </c>
      <c r="H127" s="92" t="inlineStr">
        <is>
          <t>AUTO SERVICE/REPAIR</t>
        </is>
      </c>
      <c r="I127" s="93" t="n">
        <v>9801</v>
      </c>
      <c r="J127" s="94">
        <f>I127/43560</f>
        <v/>
      </c>
      <c r="K127" s="93" t="n">
        <v>396</v>
      </c>
      <c r="L127" s="95">
        <f>I127/(K127^2)</f>
        <v/>
      </c>
      <c r="M127" s="92" t="inlineStr">
        <is>
          <t>Poor &lt;10k/&gt;60k</t>
        </is>
      </c>
      <c r="N127" s="92" t="inlineStr">
        <is>
          <t>A</t>
        </is>
      </c>
      <c r="O127" s="92" t="inlineStr">
        <is>
          <t>Compact &gt;=.055</t>
        </is>
      </c>
      <c r="P127" s="92" t="inlineStr">
        <is>
          <t>Moderate</t>
        </is>
      </c>
      <c r="Q127" s="92" t="inlineStr">
        <is>
          <t>Local absentee</t>
        </is>
      </c>
      <c r="R127" s="92" t="inlineStr">
        <is>
          <t>Individual</t>
        </is>
      </c>
      <c r="S127" s="92" t="n">
        <v>1</v>
      </c>
      <c r="T127" s="96">
        <f>INDEX('Scoring Method'!$B$6:$B$9,MATCH(M127,'Scoring Method'!$A$6:$A$9,0))+INDEX('Scoring Method'!$B$12:$B$16,MATCH(N127,'Scoring Method'!$A$12:$A$16,0))+INDEX('Scoring Method'!$B$19:$B$22,MATCH(O127,'Scoring Method'!$A$19:$A$22,0))+INDEX('Scoring Method'!$B$25:$B$27,MATCH(P127,'Scoring Method'!$A$25:$A$27,0))</f>
        <v/>
      </c>
      <c r="U127" s="96">
        <f>(INDEX('Scoring Method'!$B$30:$B$33,MATCH(Q127,'Scoring Method'!$A$30:$A$33,0))+INDEX('Scoring Method'!$B$36:$B$42,MATCH(R127,'Scoring Method'!$A$36:$A$42,0))+INDEX('Scoring Method'!$B$45:$B$47,MATCH(IF(S127=1,"1",IF(S127=2,"2","3+")),'Scoring Method'!$A$45:$A$47,0)))/90*100</f>
        <v/>
      </c>
      <c r="V127" s="96">
        <f>T127*U127/100</f>
        <v/>
      </c>
      <c r="W127" s="93" t="n">
        <v>1400</v>
      </c>
      <c r="X127" s="92" t="inlineStr">
        <is>
          <t>X (levee-protected)</t>
        </is>
      </c>
      <c r="Y127" s="93" t="n">
        <v>6750</v>
      </c>
      <c r="Z127" s="97" t="n"/>
      <c r="AA127" s="98">
        <f>MAX(0,(Y127-5000)/300)</f>
        <v/>
      </c>
      <c r="AB127" s="92" t="n"/>
      <c r="AC127" s="92" t="n"/>
      <c r="AD127" s="92" t="n"/>
      <c r="AE127" s="92" t="inlineStr">
        <is>
          <t>Below 1.2-1.5k</t>
        </is>
      </c>
      <c r="AF127" s="96">
        <f>INDEX('Scoring Method'!$B$63:$B$71,MATCH(AE127,'Scoring Method'!$A$63:$A$71,0))+INDEX('Scoring Method'!$B$75:$B$79,MATCH("Adequate 5-8k",'Scoring Method'!$A$75:$A$79,0))+INDEX('Scoring Method'!$B$343:$B$347,MATCH(X127,'Scoring Method'!$A$343:$A$347,0))+INDEX('Scoring Method'!$B$25:$B$27,MATCH(P127,'Scoring Method'!$A$25:$A$27,0))</f>
        <v/>
      </c>
      <c r="AG127" s="96">
        <f>AF127*U127/100</f>
        <v/>
      </c>
      <c r="AH127" s="92" t="inlineStr">
        <is>
          <t>LINK-GIS + LoopNet (2026-08-02)</t>
        </is>
      </c>
      <c r="AI127" s="99" t="n">
        <v>39.07525</v>
      </c>
      <c r="AJ127" s="99" t="n">
        <v>-84.49919</v>
      </c>
      <c r="AK127" s="94" t="n">
        <v>1.18</v>
      </c>
      <c r="AL127" s="94" t="n">
        <v>1.18</v>
      </c>
      <c r="AM127" s="94" t="n">
        <v>1.95</v>
      </c>
      <c r="AN127" s="94" t="n">
        <v>0.88</v>
      </c>
      <c r="AO127" s="92" t="inlineStr">
        <is>
          <t>Fringe 0.75-1.25mi</t>
        </is>
      </c>
      <c r="AP127" s="92" t="inlineStr">
        <is>
          <t>Open span</t>
        </is>
      </c>
      <c r="AQ127" s="92" t="inlineStr">
        <is>
          <t>Adequate 5-8k</t>
        </is>
      </c>
      <c r="AR127" s="100" t="n"/>
      <c r="AS127" s="96">
        <f>ROUND(INDEX('Scoring Method'!$B$63:$B$70,MATCH(AE127,'Scoring Method'!$A$63:$A$70,0))*0.625+INDEX('Scoring Method'!$B$105:$B$113,MATCH(AP127,'Scoring Method'!$A$105:$A$113,0))+INDEX('Scoring Method'!$B$74:$B$78,MATCH(AQ127,'Scoring Method'!$A$74:$A$78,0))*0.6667+INDEX('Scoring Method'!$B$96:$B$101,MATCH(AO127,'Scoring Method'!$A$96:$A$101,0))+INDEX('Scoring Method'!$B$343:$B$347,MATCH(X127,'Scoring Method'!$A$343:$A$347,0))*0.3333+INDEX('Scoring Method'!$B$25:$B$27,MATCH(P127,'Scoring Method'!$A$25:$A$27,0))*0.3333,1)</f>
        <v/>
      </c>
      <c r="AT127" s="96">
        <f>AS127*U127/100</f>
        <v/>
      </c>
      <c r="AU127" s="92" t="inlineStr">
        <is>
          <t>Austinburg</t>
        </is>
      </c>
      <c r="AV127" s="92" t="n">
        <v>32</v>
      </c>
      <c r="AW127" s="101" t="inlineStr">
        <is>
          <t>ESTIMATED</t>
        </is>
      </c>
      <c r="AX127" s="92" t="inlineStr">
        <is>
          <t>High &lt;35</t>
        </is>
      </c>
      <c r="AY127" s="96">
        <f>ROUND(INDEX('Scoring Method'!$B$132:$B$140,MATCH(AE127,'Scoring Method'!$A$132:$A$140,0))+INDEX('Scoring Method'!$B$144:$B$152,MATCH(AP127,'Scoring Method'!$A$144:$A$152,0))+INDEX('Scoring Method'!$B$156:$B$160,MATCH(AQ127,'Scoring Method'!$A$156:$A$160,0))+INDEX('Scoring Method'!$B$164:$B$169,MATCH(AO127,'Scoring Method'!$A$164:$A$169,0))+INDEX('Scoring Method'!$B$173:$B$178,MATCH(AX127,'Scoring Method'!$A$173:$A$178,0))+INDEX('Scoring Method'!$B$349:$B$353,MATCH(X127,'Scoring Method'!$A$349:$A$353,0))+INDEX('Scoring Method'!$B$188:$B$190,MATCH(P127,'Scoring Method'!$A$188:$A$190,0)),1)</f>
        <v/>
      </c>
      <c r="AZ127" s="96">
        <f>AY127*U127/100</f>
        <v/>
      </c>
      <c r="BA127" s="92" t="inlineStr">
        <is>
          <t>No chain signal</t>
        </is>
      </c>
      <c r="BB127" s="94" t="n">
        <v>1</v>
      </c>
      <c r="BC127" s="103" t="inlineStr">
        <is>
          <t>Extra small 0.15-0.25 AC</t>
        </is>
      </c>
      <c r="BD127" s="94" t="n">
        <v>0.8</v>
      </c>
      <c r="BE127" s="96">
        <f>ROUND(INDEX('Scoring Method'!$B$268:$B$276,MATCH(AE127,'Scoring Method'!$A$268:$A$276,0))+INDEX('Scoring Method'!$B$280:$B$288,MATCH(AP127,'Scoring Method'!$A$280:$A$288,0))+INDEX('Scoring Method'!$B$292:$B$296,MATCH(AQ127,'Scoring Method'!$A$292:$A$296,0))+INDEX('Scoring Method'!$B$300:$B$305,MATCH(AO127,'Scoring Method'!$A$300:$A$305,0))+INDEX('Scoring Method'!$B$309:$B$314,MATCH(AX127,'Scoring Method'!$A$309:$A$314,0))+INDEX('Scoring Method'!$B$337:$B$341,MATCH(X127,'Scoring Method'!$A$337:$A$341,0))+INDEX('Scoring Method'!$B$324:$B$326,MATCH(P127,'Scoring Method'!$A$324:$A$326,0)),1)</f>
        <v/>
      </c>
      <c r="BF127" s="96">
        <f>ROUND(INDEX('Scoring Method'!$B$268:$B$276,MATCH(AE127,'Scoring Method'!$A$268:$A$276,0))*BB127*BD127+INDEX('Scoring Method'!$B$280:$B$288,MATCH(AP127,'Scoring Method'!$A$280:$A$288,0))*BM127*BB127*BD127+INDEX('Scoring Method'!$B$292:$B$296,MATCH(AQ127,'Scoring Method'!$A$292:$A$296,0))*BD127+INDEX('Scoring Method'!$B$300:$B$305,MATCH(AO127,'Scoring Method'!$A$300:$A$305,0))*BM127*BB127+INDEX('Scoring Method'!$B$309:$B$314,MATCH(AX127,'Scoring Method'!$A$309:$A$314,0))+INDEX('Scoring Method'!$B$337:$B$341,MATCH(X127,'Scoring Method'!$A$337:$A$341,0))+INDEX('Scoring Method'!$B$324:$B$326,MATCH(P127,'Scoring Method'!$A$324:$A$326,0)),1)</f>
        <v/>
      </c>
      <c r="BG127" s="92" t="inlineStr">
        <is>
          <t>Fits (~$1,283/mo)</t>
        </is>
      </c>
      <c r="BH127" s="61" t="inlineStr">
        <is>
          <t>SU</t>
        </is>
      </c>
      <c r="BI127" s="61" t="inlineStr">
        <is>
          <t>Semi-Urban Residential</t>
        </is>
      </c>
      <c r="BJ127" s="61" t="inlineStr"/>
      <c r="BK127" s="61" t="inlineStr"/>
      <c r="BL127" s="61" t="inlineStr">
        <is>
          <t>SU corner unverified</t>
        </is>
      </c>
      <c r="BM127" s="61">
        <f>INDEX('Scoring Method'!$B$358:$B$363,MATCH(BL127,'Scoring Method'!$A$358:$A$363,0))</f>
        <v/>
      </c>
    </row>
    <row r="128" ht="15" customHeight="1" s="62">
      <c r="A128" s="92" t="n">
        <v>127</v>
      </c>
      <c r="B128" s="92" t="inlineStr">
        <is>
          <t>054-42-13-001.00</t>
        </is>
      </c>
      <c r="C128" s="92" t="inlineStr">
        <is>
          <t>430 BYRD ST</t>
        </is>
      </c>
      <c r="D128" s="92" t="inlineStr">
        <is>
          <t>OYO PADDLE RENTALS LLC</t>
        </is>
      </c>
      <c r="E128" s="92" t="inlineStr">
        <is>
          <t>11755 LEBANON RD</t>
        </is>
      </c>
      <c r="F128" s="92" t="inlineStr">
        <is>
          <t>CINCINNATI</t>
        </is>
      </c>
      <c r="G128" s="92" t="inlineStr">
        <is>
          <t>OH</t>
        </is>
      </c>
      <c r="H128" s="92" t="inlineStr">
        <is>
          <t>LAND/W MISCELLANEOUS IMPROVEMENT</t>
        </is>
      </c>
      <c r="I128" s="93" t="n">
        <v>36300</v>
      </c>
      <c r="J128" s="94">
        <f>I128/43560</f>
        <v/>
      </c>
      <c r="K128" s="93" t="n">
        <v>1310.6</v>
      </c>
      <c r="L128" s="95">
        <f>I128/(K128^2)</f>
        <v/>
      </c>
      <c r="M128" s="92" t="inlineStr">
        <is>
          <t>Near 14-18k/32-45k</t>
        </is>
      </c>
      <c r="N128" s="92" t="inlineStr">
        <is>
          <t>D</t>
        </is>
      </c>
      <c r="O128" s="92" t="inlineStr">
        <is>
          <t>Irregular &lt;.035</t>
        </is>
      </c>
      <c r="P128" s="92" t="inlineStr">
        <is>
          <t>Low</t>
        </is>
      </c>
      <c r="Q128" s="92" t="inlineStr">
        <is>
          <t>Out-of-state</t>
        </is>
      </c>
      <c r="R128" s="92" t="inlineStr">
        <is>
          <t>Passive vehicle</t>
        </is>
      </c>
      <c r="S128" s="92" t="n">
        <v>1</v>
      </c>
      <c r="T128" s="96">
        <f>INDEX('Scoring Method'!$B$6:$B$9,MATCH(M128,'Scoring Method'!$A$6:$A$9,0))+INDEX('Scoring Method'!$B$12:$B$16,MATCH(N128,'Scoring Method'!$A$12:$A$16,0))+INDEX('Scoring Method'!$B$19:$B$22,MATCH(O128,'Scoring Method'!$A$19:$A$22,0))+INDEX('Scoring Method'!$B$25:$B$27,MATCH(P128,'Scoring Method'!$A$25:$A$27,0))</f>
        <v/>
      </c>
      <c r="U128" s="96">
        <f>(INDEX('Scoring Method'!$B$30:$B$33,MATCH(Q128,'Scoring Method'!$A$30:$A$33,0))+INDEX('Scoring Method'!$B$36:$B$42,MATCH(R128,'Scoring Method'!$A$36:$A$42,0))+INDEX('Scoring Method'!$B$45:$B$47,MATCH(IF(S128=1,"1",IF(S128=2,"2","3+")),'Scoring Method'!$A$45:$A$47,0)))/90*100</f>
        <v/>
      </c>
      <c r="V128" s="96">
        <f>T128*U128/100</f>
        <v/>
      </c>
      <c r="W128" s="93" t="n">
        <v>325</v>
      </c>
      <c r="X128" s="92" t="inlineStr">
        <is>
          <t>X (levee-protected)</t>
        </is>
      </c>
      <c r="Y128" s="93" t="n">
        <v>35200</v>
      </c>
      <c r="Z128" s="97" t="n"/>
      <c r="AA128" s="98">
        <f>MAX(0,(Y128-5000)/300)</f>
        <v/>
      </c>
      <c r="AB128" s="92" t="n"/>
      <c r="AC128" s="92" t="n"/>
      <c r="AD128" s="92" t="n"/>
      <c r="AE128" s="92" t="inlineStr">
        <is>
          <t>Too small &lt;1.2k</t>
        </is>
      </c>
      <c r="AF128" s="96">
        <f>INDEX('Scoring Method'!$B$63:$B$71,MATCH(AE128,'Scoring Method'!$A$63:$A$71,0))+INDEX('Scoring Method'!$B$75:$B$79,MATCH("Ample &gt;=15k",'Scoring Method'!$A$75:$A$79,0))+INDEX('Scoring Method'!$B$343:$B$347,MATCH(X128,'Scoring Method'!$A$343:$A$347,0))+INDEX('Scoring Method'!$B$25:$B$27,MATCH(P128,'Scoring Method'!$A$25:$A$27,0))</f>
        <v/>
      </c>
      <c r="AG128" s="96">
        <f>AF128*U128/100</f>
        <v/>
      </c>
      <c r="AH128" s="92" t="inlineStr">
        <is>
          <t>LINK-GIS only</t>
        </is>
      </c>
      <c r="AI128" s="99" t="n">
        <v>39.07687</v>
      </c>
      <c r="AJ128" s="99" t="n">
        <v>-84.49957000000001</v>
      </c>
      <c r="AK128" s="94" t="n">
        <v>1.11</v>
      </c>
      <c r="AL128" s="94" t="n">
        <v>1.08</v>
      </c>
      <c r="AM128" s="94" t="n">
        <v>1.84</v>
      </c>
      <c r="AN128" s="94" t="n">
        <v>0.79</v>
      </c>
      <c r="AO128" s="92" t="inlineStr">
        <is>
          <t>Fringe 0.75-1.25mi</t>
        </is>
      </c>
      <c r="AP128" s="92" t="inlineStr">
        <is>
          <t>Lot / minimal bldg</t>
        </is>
      </c>
      <c r="AQ128" s="92" t="inlineStr">
        <is>
          <t>Ample &gt;=15k</t>
        </is>
      </c>
      <c r="AR128" s="100" t="n"/>
      <c r="AS128" s="96">
        <f>ROUND(INDEX('Scoring Method'!$B$63:$B$70,MATCH(AE128,'Scoring Method'!$A$63:$A$70,0))*0.625+INDEX('Scoring Method'!$B$105:$B$113,MATCH(AP128,'Scoring Method'!$A$105:$A$113,0))+INDEX('Scoring Method'!$B$74:$B$78,MATCH(AQ128,'Scoring Method'!$A$74:$A$78,0))*0.6667+INDEX('Scoring Method'!$B$96:$B$101,MATCH(AO128,'Scoring Method'!$A$96:$A$101,0))+INDEX('Scoring Method'!$B$343:$B$347,MATCH(X128,'Scoring Method'!$A$343:$A$347,0))*0.3333+INDEX('Scoring Method'!$B$25:$B$27,MATCH(P128,'Scoring Method'!$A$25:$A$27,0))*0.3333,1)</f>
        <v/>
      </c>
      <c r="AT128" s="96">
        <f>AS128*U128/100</f>
        <v/>
      </c>
      <c r="AU128" s="92" t="inlineStr">
        <is>
          <t>Austinburg</t>
        </is>
      </c>
      <c r="AV128" s="92" t="n">
        <v>32</v>
      </c>
      <c r="AW128" s="101" t="inlineStr">
        <is>
          <t>ESTIMATED</t>
        </is>
      </c>
      <c r="AX128" s="92" t="inlineStr">
        <is>
          <t>High &lt;35</t>
        </is>
      </c>
      <c r="AY128" s="96">
        <f>ROUND(INDEX('Scoring Method'!$B$132:$B$140,MATCH(AE128,'Scoring Method'!$A$132:$A$140,0))+INDEX('Scoring Method'!$B$144:$B$152,MATCH(AP128,'Scoring Method'!$A$144:$A$152,0))+INDEX('Scoring Method'!$B$156:$B$160,MATCH(AQ128,'Scoring Method'!$A$156:$A$160,0))+INDEX('Scoring Method'!$B$164:$B$169,MATCH(AO128,'Scoring Method'!$A$164:$A$169,0))+INDEX('Scoring Method'!$B$173:$B$178,MATCH(AX128,'Scoring Method'!$A$173:$A$178,0))+INDEX('Scoring Method'!$B$349:$B$353,MATCH(X128,'Scoring Method'!$A$349:$A$353,0))+INDEX('Scoring Method'!$B$188:$B$190,MATCH(P128,'Scoring Method'!$A$188:$A$190,0)),1)</f>
        <v/>
      </c>
      <c r="AZ128" s="96">
        <f>AY128*U128/100</f>
        <v/>
      </c>
      <c r="BA128" s="92" t="inlineStr">
        <is>
          <t>No chain signal</t>
        </is>
      </c>
      <c r="BB128" s="94" t="n">
        <v>1</v>
      </c>
      <c r="BC128" s="102" t="inlineStr">
        <is>
          <t>Large 0.75-1.25 AC</t>
        </is>
      </c>
      <c r="BD128" s="94" t="n">
        <v>0.9</v>
      </c>
      <c r="BE128" s="96">
        <f>ROUND(INDEX('Scoring Method'!$B$268:$B$276,MATCH(AE128,'Scoring Method'!$A$268:$A$276,0))+INDEX('Scoring Method'!$B$280:$B$288,MATCH(AP128,'Scoring Method'!$A$280:$A$288,0))+INDEX('Scoring Method'!$B$292:$B$296,MATCH(AQ128,'Scoring Method'!$A$292:$A$296,0))+INDEX('Scoring Method'!$B$300:$B$305,MATCH(AO128,'Scoring Method'!$A$300:$A$305,0))+INDEX('Scoring Method'!$B$309:$B$314,MATCH(AX128,'Scoring Method'!$A$309:$A$314,0))+INDEX('Scoring Method'!$B$337:$B$341,MATCH(X128,'Scoring Method'!$A$337:$A$341,0))+INDEX('Scoring Method'!$B$324:$B$326,MATCH(P128,'Scoring Method'!$A$324:$A$326,0)),1)</f>
        <v/>
      </c>
      <c r="BF128" s="96">
        <f>ROUND(INDEX('Scoring Method'!$B$268:$B$276,MATCH(AE128,'Scoring Method'!$A$268:$A$276,0))*BB128*BD128+INDEX('Scoring Method'!$B$280:$B$288,MATCH(AP128,'Scoring Method'!$A$280:$A$288,0))*BM128*BB128*BD128+INDEX('Scoring Method'!$B$292:$B$296,MATCH(AQ128,'Scoring Method'!$A$292:$A$296,0))*BD128+INDEX('Scoring Method'!$B$300:$B$305,MATCH(AO128,'Scoring Method'!$A$300:$A$305,0))*BM128*BB128+INDEX('Scoring Method'!$B$309:$B$314,MATCH(AX128,'Scoring Method'!$A$309:$A$314,0))+INDEX('Scoring Method'!$B$337:$B$341,MATCH(X128,'Scoring Method'!$A$337:$A$341,0))+INDEX('Scoring Method'!$B$324:$B$326,MATCH(P128,'Scoring Method'!$A$324:$A$326,0)),1)</f>
        <v/>
      </c>
      <c r="BG128" s="92" t="inlineStr">
        <is>
          <t>Fits (~$298/mo)</t>
        </is>
      </c>
      <c r="BH128" s="61" t="inlineStr">
        <is>
          <t>REC</t>
        </is>
      </c>
      <c r="BI128" s="61" t="inlineStr">
        <is>
          <t>Recreation</t>
        </is>
      </c>
      <c r="BJ128" s="61" t="inlineStr"/>
      <c r="BK128" s="61" t="inlineStr"/>
      <c r="BL128" s="61" t="inlineStr">
        <is>
          <t>Undetermined (not in use table)</t>
        </is>
      </c>
      <c r="BM128" s="61">
        <f>INDEX('Scoring Method'!$B$358:$B$363,MATCH(BL128,'Scoring Method'!$A$358:$A$363,0))</f>
        <v/>
      </c>
    </row>
    <row r="129" ht="15" customHeight="1" s="62">
      <c r="A129" s="92" t="n">
        <v>128</v>
      </c>
      <c r="B129" s="92" t="inlineStr">
        <is>
          <t>040-34-01-001.00</t>
        </is>
      </c>
      <c r="C129" s="92" t="inlineStr">
        <is>
          <t>301 CRESCENT AVE</t>
        </is>
      </c>
      <c r="D129" s="92" t="inlineStr">
        <is>
          <t>401 CRESCENT AVENUE LLC</t>
        </is>
      </c>
      <c r="E129" s="92" t="inlineStr">
        <is>
          <t>100 E RIVERCENTER BLVD</t>
        </is>
      </c>
      <c r="F129" s="92" t="inlineStr">
        <is>
          <t>COVINGTON</t>
        </is>
      </c>
      <c r="G129" s="92" t="inlineStr">
        <is>
          <t>KY</t>
        </is>
      </c>
      <c r="H129" s="92" t="inlineStr">
        <is>
          <t>PAVED LOT</t>
        </is>
      </c>
      <c r="I129" s="93" t="n">
        <v>23793</v>
      </c>
      <c r="J129" s="94">
        <f>I129/43560</f>
        <v/>
      </c>
      <c r="K129" s="93" t="n">
        <v>624.4</v>
      </c>
      <c r="L129" s="95">
        <f>I129/(K129^2)</f>
        <v/>
      </c>
      <c r="M129" s="92" t="inlineStr">
        <is>
          <t>Ideal 18-32k</t>
        </is>
      </c>
      <c r="N129" s="92" t="inlineStr">
        <is>
          <t>D</t>
        </is>
      </c>
      <c r="O129" s="92" t="inlineStr">
        <is>
          <t>Compact &gt;=.055</t>
        </is>
      </c>
      <c r="P129" s="92" t="inlineStr">
        <is>
          <t>Low</t>
        </is>
      </c>
      <c r="Q129" s="92" t="inlineStr">
        <is>
          <t>Local absentee</t>
        </is>
      </c>
      <c r="R129" s="92" t="inlineStr">
        <is>
          <t>Operating entity</t>
        </is>
      </c>
      <c r="S129" s="92" t="n">
        <v>2</v>
      </c>
      <c r="T129" s="96">
        <f>INDEX('Scoring Method'!$B$6:$B$9,MATCH(M129,'Scoring Method'!$A$6:$A$9,0))+INDEX('Scoring Method'!$B$12:$B$16,MATCH(N129,'Scoring Method'!$A$12:$A$16,0))+INDEX('Scoring Method'!$B$19:$B$22,MATCH(O129,'Scoring Method'!$A$19:$A$22,0))+INDEX('Scoring Method'!$B$25:$B$27,MATCH(P129,'Scoring Method'!$A$25:$A$27,0))</f>
        <v/>
      </c>
      <c r="U129" s="96">
        <f>(INDEX('Scoring Method'!$B$30:$B$33,MATCH(Q129,'Scoring Method'!$A$30:$A$33,0))+INDEX('Scoring Method'!$B$36:$B$42,MATCH(R129,'Scoring Method'!$A$36:$A$42,0))+INDEX('Scoring Method'!$B$45:$B$47,MATCH(IF(S129=1,"1",IF(S129=2,"2","3+")),'Scoring Method'!$A$45:$A$47,0)))/90*100</f>
        <v/>
      </c>
      <c r="V129" s="96">
        <f>T129*U129/100</f>
        <v/>
      </c>
      <c r="W129" s="93" t="n"/>
      <c r="X129" s="92" t="inlineStr">
        <is>
          <t>X (minimal hazard)</t>
        </is>
      </c>
      <c r="Y129" s="93" t="n">
        <v>23500</v>
      </c>
      <c r="Z129" s="97" t="n"/>
      <c r="AA129" s="98" t="n"/>
      <c r="AB129" s="92" t="n"/>
      <c r="AC129" s="92" t="n">
        <v>0.55</v>
      </c>
      <c r="AD129" s="92" t="inlineStr">
        <is>
          <t>ok</t>
        </is>
      </c>
      <c r="AE129" s="92" t="inlineStr">
        <is>
          <t>No building</t>
        </is>
      </c>
      <c r="AF129" s="96">
        <f>INDEX('Scoring Method'!$B$63:$B$71,MATCH(AE129,'Scoring Method'!$A$63:$A$71,0))+INDEX('Scoring Method'!$B$75:$B$79,MATCH("Ample &gt;=15k",'Scoring Method'!$A$75:$A$79,0))+INDEX('Scoring Method'!$B$343:$B$347,MATCH(X129,'Scoring Method'!$A$343:$A$347,0))+INDEX('Scoring Method'!$B$25:$B$27,MATCH(P129,'Scoring Method'!$A$25:$A$27,0))</f>
        <v/>
      </c>
      <c r="AG129" s="96">
        <f>AF129*U129/100</f>
        <v/>
      </c>
      <c r="AH129" s="92" t="inlineStr">
        <is>
          <t>LINK-GIS + LoopNet</t>
        </is>
      </c>
      <c r="AI129" s="99" t="n">
        <v>39.08725</v>
      </c>
      <c r="AJ129" s="99" t="n">
        <v>-84.52498</v>
      </c>
      <c r="AK129" s="94" t="n">
        <v>0.43</v>
      </c>
      <c r="AL129" s="94" t="n">
        <v>0.92</v>
      </c>
      <c r="AM129" s="94" t="n">
        <v>1.19</v>
      </c>
      <c r="AN129" s="94" t="n">
        <v>0.43</v>
      </c>
      <c r="AO129" s="92" t="inlineStr">
        <is>
          <t>Near 0.35-0.75mi</t>
        </is>
      </c>
      <c r="AP129" s="92" t="inlineStr">
        <is>
          <t>Lot / minimal bldg</t>
        </is>
      </c>
      <c r="AQ129" s="92" t="inlineStr">
        <is>
          <t>Ample &gt;=15k</t>
        </is>
      </c>
      <c r="AR129" s="100" t="n"/>
      <c r="AS129" s="96">
        <f>ROUND(INDEX('Scoring Method'!$B$63:$B$70,MATCH(AE129,'Scoring Method'!$A$63:$A$70,0))*0.625+INDEX('Scoring Method'!$B$105:$B$113,MATCH(AP129,'Scoring Method'!$A$105:$A$113,0))+INDEX('Scoring Method'!$B$74:$B$78,MATCH(AQ129,'Scoring Method'!$A$74:$A$78,0))*0.6667+INDEX('Scoring Method'!$B$96:$B$101,MATCH(AO129,'Scoring Method'!$A$96:$A$101,0))+INDEX('Scoring Method'!$B$343:$B$347,MATCH(X129,'Scoring Method'!$A$343:$A$347,0))*0.3333+INDEX('Scoring Method'!$B$25:$B$27,MATCH(P129,'Scoring Method'!$A$25:$A$27,0))*0.3333,1)</f>
        <v/>
      </c>
      <c r="AT129" s="96">
        <f>AS129*U129/100</f>
        <v/>
      </c>
      <c r="AU129" s="92" t="inlineStr">
        <is>
          <t>Botany Hills / Riverfront West</t>
        </is>
      </c>
      <c r="AV129" s="92" t="n">
        <v>45</v>
      </c>
      <c r="AW129" s="101" t="inlineStr">
        <is>
          <t>ESTIMATED</t>
        </is>
      </c>
      <c r="AX129" s="92" t="inlineStr">
        <is>
          <t>Mixed 45-59</t>
        </is>
      </c>
      <c r="AY129" s="96">
        <f>ROUND(INDEX('Scoring Method'!$B$132:$B$140,MATCH(AE129,'Scoring Method'!$A$132:$A$140,0))+INDEX('Scoring Method'!$B$144:$B$152,MATCH(AP129,'Scoring Method'!$A$144:$A$152,0))+INDEX('Scoring Method'!$B$156:$B$160,MATCH(AQ129,'Scoring Method'!$A$156:$A$160,0))+INDEX('Scoring Method'!$B$164:$B$169,MATCH(AO129,'Scoring Method'!$A$164:$A$169,0))+INDEX('Scoring Method'!$B$173:$B$178,MATCH(AX129,'Scoring Method'!$A$173:$A$178,0))+INDEX('Scoring Method'!$B$349:$B$353,MATCH(X129,'Scoring Method'!$A$349:$A$353,0))+INDEX('Scoring Method'!$B$188:$B$190,MATCH(P129,'Scoring Method'!$A$188:$A$190,0)),1)</f>
        <v/>
      </c>
      <c r="AZ129" s="96">
        <f>AY129*U129/100</f>
        <v/>
      </c>
      <c r="BA129" s="92" t="inlineStr">
        <is>
          <t>No chain signal</t>
        </is>
      </c>
      <c r="BB129" s="94" t="n">
        <v>1</v>
      </c>
      <c r="BC129" s="92" t="inlineStr">
        <is>
          <t>Right-sized 0.35-0.75 AC</t>
        </is>
      </c>
      <c r="BD129" s="94" t="n">
        <v>1</v>
      </c>
      <c r="BE129" s="96">
        <f>ROUND(INDEX('Scoring Method'!$B$268:$B$276,MATCH(AE129,'Scoring Method'!$A$268:$A$276,0))+INDEX('Scoring Method'!$B$280:$B$288,MATCH(AP129,'Scoring Method'!$A$280:$A$288,0))+INDEX('Scoring Method'!$B$292:$B$296,MATCH(AQ129,'Scoring Method'!$A$292:$A$296,0))+INDEX('Scoring Method'!$B$300:$B$305,MATCH(AO129,'Scoring Method'!$A$300:$A$305,0))+INDEX('Scoring Method'!$B$309:$B$314,MATCH(AX129,'Scoring Method'!$A$309:$A$314,0))+INDEX('Scoring Method'!$B$337:$B$341,MATCH(X129,'Scoring Method'!$A$337:$A$341,0))+INDEX('Scoring Method'!$B$324:$B$326,MATCH(P129,'Scoring Method'!$A$324:$A$326,0)),1)</f>
        <v/>
      </c>
      <c r="BF129" s="96">
        <f>ROUND(INDEX('Scoring Method'!$B$268:$B$276,MATCH(AE129,'Scoring Method'!$A$268:$A$276,0))*BB129*BD129+INDEX('Scoring Method'!$B$280:$B$288,MATCH(AP129,'Scoring Method'!$A$280:$A$288,0))*BM129*BB129*BD129+INDEX('Scoring Method'!$B$292:$B$296,MATCH(AQ129,'Scoring Method'!$A$292:$A$296,0))*BD129+INDEX('Scoring Method'!$B$300:$B$305,MATCH(AO129,'Scoring Method'!$A$300:$A$305,0))*BM129*BB129+INDEX('Scoring Method'!$B$309:$B$314,MATCH(AX129,'Scoring Method'!$A$309:$A$314,0))+INDEX('Scoring Method'!$B$337:$B$341,MATCH(X129,'Scoring Method'!$A$337:$A$341,0))+INDEX('Scoring Method'!$B$324:$B$326,MATCH(P129,'Scoring Method'!$A$324:$A$326,0)),1)</f>
        <v/>
      </c>
      <c r="BG129" s="92" t="n"/>
      <c r="BH129" s="61" t="inlineStr">
        <is>
          <t>SU</t>
        </is>
      </c>
      <c r="BI129" s="61" t="inlineStr">
        <is>
          <t>Semi-Urban Residential</t>
        </is>
      </c>
      <c r="BJ129" s="61" t="inlineStr"/>
      <c r="BK129" s="61" t="inlineStr"/>
      <c r="BL129" s="61" t="inlineStr">
        <is>
          <t>SU corner unverified</t>
        </is>
      </c>
      <c r="BM129" s="61">
        <f>INDEX('Scoring Method'!$B$358:$B$363,MATCH(BL129,'Scoring Method'!$A$358:$A$363,0))</f>
        <v/>
      </c>
    </row>
    <row r="130" ht="15" customHeight="1" s="62">
      <c r="A130" s="92" t="n">
        <v>129</v>
      </c>
      <c r="B130" s="92" t="inlineStr">
        <is>
          <t>054-24-02-003.00</t>
        </is>
      </c>
      <c r="C130" s="92" t="inlineStr">
        <is>
          <t>1001 MADISON AVE</t>
        </is>
      </c>
      <c r="D130" s="92" t="inlineStr">
        <is>
          <t>GOOBER GARAGE LLC</t>
        </is>
      </c>
      <c r="E130" s="92" t="inlineStr">
        <is>
          <t>PO BOX 8671</t>
        </is>
      </c>
      <c r="F130" s="92" t="inlineStr">
        <is>
          <t>CINCINNATI</t>
        </is>
      </c>
      <c r="G130" s="92" t="inlineStr">
        <is>
          <t>OH</t>
        </is>
      </c>
      <c r="H130" s="92" t="inlineStr">
        <is>
          <t>AUTO SERVICE/REPAIR</t>
        </is>
      </c>
      <c r="I130" s="93" t="n">
        <v>11400</v>
      </c>
      <c r="J130" s="94">
        <f>I130/43560</f>
        <v/>
      </c>
      <c r="K130" s="93" t="n">
        <v>500</v>
      </c>
      <c r="L130" s="95">
        <f>I130/(K130^2)</f>
        <v/>
      </c>
      <c r="M130" s="92" t="inlineStr">
        <is>
          <t>Marginal 10-14k/45-60k</t>
        </is>
      </c>
      <c r="N130" s="92" t="inlineStr">
        <is>
          <t>A</t>
        </is>
      </c>
      <c r="O130" s="92" t="inlineStr">
        <is>
          <t>Regular .045-.055</t>
        </is>
      </c>
      <c r="P130" s="92" t="inlineStr">
        <is>
          <t>Moderate</t>
        </is>
      </c>
      <c r="Q130" s="92" t="inlineStr">
        <is>
          <t>Out-of-state</t>
        </is>
      </c>
      <c r="R130" s="92" t="inlineStr">
        <is>
          <t>Operating entity</t>
        </is>
      </c>
      <c r="S130" s="92" t="n">
        <v>1</v>
      </c>
      <c r="T130" s="96">
        <f>INDEX('Scoring Method'!$B$6:$B$9,MATCH(M130,'Scoring Method'!$A$6:$A$9,0))+INDEX('Scoring Method'!$B$12:$B$16,MATCH(N130,'Scoring Method'!$A$12:$A$16,0))+INDEX('Scoring Method'!$B$19:$B$22,MATCH(O130,'Scoring Method'!$A$19:$A$22,0))+INDEX('Scoring Method'!$B$25:$B$27,MATCH(P130,'Scoring Method'!$A$25:$A$27,0))</f>
        <v/>
      </c>
      <c r="U130" s="96">
        <f>(INDEX('Scoring Method'!$B$30:$B$33,MATCH(Q130,'Scoring Method'!$A$30:$A$33,0))+INDEX('Scoring Method'!$B$36:$B$42,MATCH(R130,'Scoring Method'!$A$36:$A$42,0))+INDEX('Scoring Method'!$B$45:$B$47,MATCH(IF(S130=1,"1",IF(S130=2,"2","3+")),'Scoring Method'!$A$45:$A$47,0)))/90*100</f>
        <v/>
      </c>
      <c r="V130" s="96">
        <f>T130*U130/100</f>
        <v/>
      </c>
      <c r="W130" s="93" t="n">
        <v>7350</v>
      </c>
      <c r="X130" s="92" t="inlineStr">
        <is>
          <t>X (minimal hazard)</t>
        </is>
      </c>
      <c r="Y130" s="93" t="n">
        <v>5550</v>
      </c>
      <c r="Z130" s="97">
        <f>W130/I130</f>
        <v/>
      </c>
      <c r="AA130" s="98">
        <f>MAX(0,(Y130-5000)/300)</f>
        <v/>
      </c>
      <c r="AB130" s="92" t="n"/>
      <c r="AC130" s="92" t="n">
        <v>0.26</v>
      </c>
      <c r="AD130" s="92" t="inlineStr">
        <is>
          <t>ok</t>
        </is>
      </c>
      <c r="AE130" s="92" t="inlineStr">
        <is>
          <t>Oversize 6-12k</t>
        </is>
      </c>
      <c r="AF130" s="96">
        <f>INDEX('Scoring Method'!$B$63:$B$71,MATCH(AE130,'Scoring Method'!$A$63:$A$71,0))+INDEX('Scoring Method'!$B$75:$B$79,MATCH("Adequate 5-8k",'Scoring Method'!$A$75:$A$79,0))+INDEX('Scoring Method'!$B$343:$B$347,MATCH(X130,'Scoring Method'!$A$343:$A$347,0))+INDEX('Scoring Method'!$B$25:$B$27,MATCH(P130,'Scoring Method'!$A$25:$A$27,0))</f>
        <v/>
      </c>
      <c r="AG130" s="96">
        <f>AF130*U130/100</f>
        <v/>
      </c>
      <c r="AH130" s="92" t="inlineStr">
        <is>
          <t>LINK-GIS + LoopNet</t>
        </is>
      </c>
      <c r="AI130" s="99" t="n">
        <v>39.08044</v>
      </c>
      <c r="AJ130" s="99" t="n">
        <v>-84.50985</v>
      </c>
      <c r="AK130" s="94" t="n">
        <v>0.51</v>
      </c>
      <c r="AL130" s="94" t="n">
        <v>0.72</v>
      </c>
      <c r="AM130" s="94" t="n">
        <v>1.46</v>
      </c>
      <c r="AN130" s="94" t="n">
        <v>0.25</v>
      </c>
      <c r="AO130" s="92" t="inlineStr">
        <is>
          <t>Core &lt;=0.35mi</t>
        </is>
      </c>
      <c r="AP130" s="92" t="inlineStr">
        <is>
          <t>Open span</t>
        </is>
      </c>
      <c r="AQ130" s="92" t="inlineStr">
        <is>
          <t>Adequate 5-8k</t>
        </is>
      </c>
      <c r="AR130" s="100" t="n"/>
      <c r="AS130" s="96">
        <f>ROUND(INDEX('Scoring Method'!$B$63:$B$70,MATCH(AE130,'Scoring Method'!$A$63:$A$70,0))*0.625+INDEX('Scoring Method'!$B$105:$B$113,MATCH(AP130,'Scoring Method'!$A$105:$A$113,0))+INDEX('Scoring Method'!$B$74:$B$78,MATCH(AQ130,'Scoring Method'!$A$74:$A$78,0))*0.6667+INDEX('Scoring Method'!$B$96:$B$101,MATCH(AO130,'Scoring Method'!$A$96:$A$101,0))+INDEX('Scoring Method'!$B$343:$B$347,MATCH(X130,'Scoring Method'!$A$343:$A$347,0))*0.3333+INDEX('Scoring Method'!$B$25:$B$27,MATCH(P130,'Scoring Method'!$A$25:$A$27,0))*0.3333,1)</f>
        <v/>
      </c>
      <c r="AT130" s="96">
        <f>AS130*U130/100</f>
        <v/>
      </c>
      <c r="AU130" s="92" t="inlineStr">
        <is>
          <t>Central Business District</t>
        </is>
      </c>
      <c r="AV130" s="92" t="n">
        <v>48</v>
      </c>
      <c r="AW130" s="101" t="inlineStr">
        <is>
          <t>ESTIMATED</t>
        </is>
      </c>
      <c r="AX130" s="92" t="inlineStr">
        <is>
          <t>Mixed 45-59</t>
        </is>
      </c>
      <c r="AY130" s="96">
        <f>ROUND(INDEX('Scoring Method'!$B$132:$B$140,MATCH(AE130,'Scoring Method'!$A$132:$A$140,0))+INDEX('Scoring Method'!$B$144:$B$152,MATCH(AP130,'Scoring Method'!$A$144:$A$152,0))+INDEX('Scoring Method'!$B$156:$B$160,MATCH(AQ130,'Scoring Method'!$A$156:$A$160,0))+INDEX('Scoring Method'!$B$164:$B$169,MATCH(AO130,'Scoring Method'!$A$164:$A$169,0))+INDEX('Scoring Method'!$B$173:$B$178,MATCH(AX130,'Scoring Method'!$A$173:$A$178,0))+INDEX('Scoring Method'!$B$349:$B$353,MATCH(X130,'Scoring Method'!$A$349:$A$353,0))+INDEX('Scoring Method'!$B$188:$B$190,MATCH(P130,'Scoring Method'!$A$188:$A$190,0)),1)</f>
        <v/>
      </c>
      <c r="AZ130" s="96">
        <f>AY130*U130/100</f>
        <v/>
      </c>
      <c r="BA130" s="92" t="inlineStr">
        <is>
          <t>No chain signal</t>
        </is>
      </c>
      <c r="BB130" s="94" t="n">
        <v>1</v>
      </c>
      <c r="BC130" s="102" t="inlineStr">
        <is>
          <t>Small 0.25-0.35 AC</t>
        </is>
      </c>
      <c r="BD130" s="94" t="n">
        <v>0.9</v>
      </c>
      <c r="BE130" s="96">
        <f>ROUND(INDEX('Scoring Method'!$B$268:$B$276,MATCH(AE130,'Scoring Method'!$A$268:$A$276,0))+INDEX('Scoring Method'!$B$280:$B$288,MATCH(AP130,'Scoring Method'!$A$280:$A$288,0))+INDEX('Scoring Method'!$B$292:$B$296,MATCH(AQ130,'Scoring Method'!$A$292:$A$296,0))+INDEX('Scoring Method'!$B$300:$B$305,MATCH(AO130,'Scoring Method'!$A$300:$A$305,0))+INDEX('Scoring Method'!$B$309:$B$314,MATCH(AX130,'Scoring Method'!$A$309:$A$314,0))+INDEX('Scoring Method'!$B$337:$B$341,MATCH(X130,'Scoring Method'!$A$337:$A$341,0))+INDEX('Scoring Method'!$B$324:$B$326,MATCH(P130,'Scoring Method'!$A$324:$A$326,0)),1)</f>
        <v/>
      </c>
      <c r="BF130" s="96">
        <f>ROUND(INDEX('Scoring Method'!$B$268:$B$276,MATCH(AE130,'Scoring Method'!$A$268:$A$276,0))*BB130*BD130+INDEX('Scoring Method'!$B$280:$B$288,MATCH(AP130,'Scoring Method'!$A$280:$A$288,0))*BM130*BB130*BD130+INDEX('Scoring Method'!$B$292:$B$296,MATCH(AQ130,'Scoring Method'!$A$292:$A$296,0))*BD130+INDEX('Scoring Method'!$B$300:$B$305,MATCH(AO130,'Scoring Method'!$A$300:$A$305,0))*BM130*BB130+INDEX('Scoring Method'!$B$309:$B$314,MATCH(AX130,'Scoring Method'!$A$309:$A$314,0))+INDEX('Scoring Method'!$B$337:$B$341,MATCH(X130,'Scoring Method'!$A$337:$A$341,0))+INDEX('Scoring Method'!$B$324:$B$326,MATCH(P130,'Scoring Method'!$A$324:$A$326,0)),1)</f>
        <v/>
      </c>
      <c r="BG130" s="92" t="inlineStr">
        <is>
          <t>Fits (~$6,738/mo)</t>
        </is>
      </c>
      <c r="BH130" s="61" t="inlineStr">
        <is>
          <t>DTC</t>
        </is>
      </c>
      <c r="BI130" s="61" t="inlineStr">
        <is>
          <t>Downtown Core</t>
        </is>
      </c>
      <c r="BJ130" s="61" t="inlineStr"/>
      <c r="BK130" s="61" t="inlineStr"/>
      <c r="BL130" s="61" t="inlineStr">
        <is>
          <t>Bar permitted</t>
        </is>
      </c>
      <c r="BM130" s="61">
        <f>INDEX('Scoring Method'!$B$358:$B$363,MATCH(BL130,'Scoring Method'!$A$358:$A$363,0))</f>
        <v/>
      </c>
    </row>
    <row r="131" ht="15" customHeight="1" s="62">
      <c r="A131" s="92" t="n">
        <v>130</v>
      </c>
      <c r="B131" s="92" t="inlineStr">
        <is>
          <t>054-24-15-002.00</t>
        </is>
      </c>
      <c r="C131" s="92" t="inlineStr">
        <is>
          <t>1046 SCOTT ST</t>
        </is>
      </c>
      <c r="D131" s="92" t="inlineStr">
        <is>
          <t>AMOS BREWER COMPANIES LLC</t>
        </is>
      </c>
      <c r="E131" s="92" t="inlineStr">
        <is>
          <t>4050 ROSE HILL AVE</t>
        </is>
      </c>
      <c r="F131" s="92" t="inlineStr">
        <is>
          <t>CINCINNATI</t>
        </is>
      </c>
      <c r="G131" s="92" t="inlineStr">
        <is>
          <t>OH</t>
        </is>
      </c>
      <c r="H131" s="92" t="inlineStr">
        <is>
          <t>OFFICE BLDG 1 OR 2 STORY</t>
        </is>
      </c>
      <c r="I131" s="93" t="n">
        <v>21116</v>
      </c>
      <c r="J131" s="94">
        <f>I131/43560</f>
        <v/>
      </c>
      <c r="K131" s="93" t="n">
        <v>641</v>
      </c>
      <c r="L131" s="95">
        <f>I131/(K131^2)</f>
        <v/>
      </c>
      <c r="M131" s="92" t="inlineStr">
        <is>
          <t>Ideal 18-32k</t>
        </is>
      </c>
      <c r="N131" s="92" t="inlineStr">
        <is>
          <t>E</t>
        </is>
      </c>
      <c r="O131" s="92" t="inlineStr">
        <is>
          <t>Regular .045-.055</t>
        </is>
      </c>
      <c r="P131" s="92" t="inlineStr">
        <is>
          <t>Low</t>
        </is>
      </c>
      <c r="Q131" s="92" t="inlineStr">
        <is>
          <t>Out-of-state</t>
        </is>
      </c>
      <c r="R131" s="92" t="inlineStr">
        <is>
          <t>Operating entity</t>
        </is>
      </c>
      <c r="S131" s="92" t="n">
        <v>1</v>
      </c>
      <c r="T131" s="96">
        <f>INDEX('Scoring Method'!$B$6:$B$9,MATCH(M131,'Scoring Method'!$A$6:$A$9,0))+INDEX('Scoring Method'!$B$12:$B$16,MATCH(N131,'Scoring Method'!$A$12:$A$16,0))+INDEX('Scoring Method'!$B$19:$B$22,MATCH(O131,'Scoring Method'!$A$19:$A$22,0))+INDEX('Scoring Method'!$B$25:$B$27,MATCH(P131,'Scoring Method'!$A$25:$A$27,0))</f>
        <v/>
      </c>
      <c r="U131" s="96">
        <f>(INDEX('Scoring Method'!$B$30:$B$33,MATCH(Q131,'Scoring Method'!$A$30:$A$33,0))+INDEX('Scoring Method'!$B$36:$B$42,MATCH(R131,'Scoring Method'!$A$36:$A$42,0))+INDEX('Scoring Method'!$B$45:$B$47,MATCH(IF(S131=1,"1",IF(S131=2,"2","3+")),'Scoring Method'!$A$45:$A$47,0)))/90*100</f>
        <v/>
      </c>
      <c r="V131" s="96">
        <f>T131*U131/100</f>
        <v/>
      </c>
      <c r="W131" s="93" t="n">
        <v>4966</v>
      </c>
      <c r="X131" s="92" t="inlineStr">
        <is>
          <t>X (minimal hazard)</t>
        </is>
      </c>
      <c r="Y131" s="93" t="n">
        <v>14175</v>
      </c>
      <c r="Z131" s="97" t="n"/>
      <c r="AA131" s="98">
        <f>MAX(0,(Y131-5000)/300)</f>
        <v/>
      </c>
      <c r="AB131" s="92" t="n"/>
      <c r="AC131" s="92" t="n"/>
      <c r="AD131" s="92" t="n"/>
      <c r="AE131" s="92" t="inlineStr">
        <is>
          <t>Large 4-6k</t>
        </is>
      </c>
      <c r="AF131" s="96">
        <f>INDEX('Scoring Method'!$B$63:$B$71,MATCH(AE131,'Scoring Method'!$A$63:$A$71,0))+INDEX('Scoring Method'!$B$75:$B$79,MATCH("Good 8-15k",'Scoring Method'!$A$75:$A$79,0))+INDEX('Scoring Method'!$B$343:$B$347,MATCH(X131,'Scoring Method'!$A$343:$A$347,0))+INDEX('Scoring Method'!$B$25:$B$27,MATCH(P131,'Scoring Method'!$A$25:$A$27,0))</f>
        <v/>
      </c>
      <c r="AG131" s="96">
        <f>AF131*U131/100</f>
        <v/>
      </c>
      <c r="AH131" s="92" t="inlineStr">
        <is>
          <t>LINK-GIS + LoopNet (2026-08-02)</t>
        </is>
      </c>
      <c r="AI131" s="99" t="n">
        <v>39.07945</v>
      </c>
      <c r="AJ131" s="99" t="n">
        <v>-84.50691999999999</v>
      </c>
      <c r="AK131" s="94" t="n">
        <v>0.68</v>
      </c>
      <c r="AL131" s="94" t="n">
        <v>0.79</v>
      </c>
      <c r="AM131" s="94" t="n">
        <v>1.55</v>
      </c>
      <c r="AN131" s="94" t="n">
        <v>0.38</v>
      </c>
      <c r="AO131" s="92" t="inlineStr">
        <is>
          <t>Near 0.35-0.75mi</t>
        </is>
      </c>
      <c r="AP131" s="92" t="inlineStr">
        <is>
          <t>Office/institutional</t>
        </is>
      </c>
      <c r="AQ131" s="92" t="inlineStr">
        <is>
          <t>Good 8-15k</t>
        </is>
      </c>
      <c r="AR131" s="100" t="n"/>
      <c r="AS131" s="96">
        <f>ROUND(INDEX('Scoring Method'!$B$63:$B$70,MATCH(AE131,'Scoring Method'!$A$63:$A$70,0))*0.625+INDEX('Scoring Method'!$B$105:$B$113,MATCH(AP131,'Scoring Method'!$A$105:$A$113,0))+INDEX('Scoring Method'!$B$74:$B$78,MATCH(AQ131,'Scoring Method'!$A$74:$A$78,0))*0.6667+INDEX('Scoring Method'!$B$96:$B$101,MATCH(AO131,'Scoring Method'!$A$96:$A$101,0))+INDEX('Scoring Method'!$B$343:$B$347,MATCH(X131,'Scoring Method'!$A$343:$A$347,0))*0.3333+INDEX('Scoring Method'!$B$25:$B$27,MATCH(P131,'Scoring Method'!$A$25:$A$27,0))*0.3333,1)</f>
        <v/>
      </c>
      <c r="AT131" s="96">
        <f>AS131*U131/100</f>
        <v/>
      </c>
      <c r="AU131" s="92" t="inlineStr">
        <is>
          <t>Central Business District</t>
        </is>
      </c>
      <c r="AV131" s="92" t="n">
        <v>48</v>
      </c>
      <c r="AW131" s="101" t="inlineStr">
        <is>
          <t>ESTIMATED</t>
        </is>
      </c>
      <c r="AX131" s="92" t="inlineStr">
        <is>
          <t>Mixed 45-59</t>
        </is>
      </c>
      <c r="AY131" s="96">
        <f>ROUND(INDEX('Scoring Method'!$B$132:$B$140,MATCH(AE131,'Scoring Method'!$A$132:$A$140,0))+INDEX('Scoring Method'!$B$144:$B$152,MATCH(AP131,'Scoring Method'!$A$144:$A$152,0))+INDEX('Scoring Method'!$B$156:$B$160,MATCH(AQ131,'Scoring Method'!$A$156:$A$160,0))+INDEX('Scoring Method'!$B$164:$B$169,MATCH(AO131,'Scoring Method'!$A$164:$A$169,0))+INDEX('Scoring Method'!$B$173:$B$178,MATCH(AX131,'Scoring Method'!$A$173:$A$178,0))+INDEX('Scoring Method'!$B$349:$B$353,MATCH(X131,'Scoring Method'!$A$349:$A$353,0))+INDEX('Scoring Method'!$B$188:$B$190,MATCH(P131,'Scoring Method'!$A$188:$A$190,0)),1)</f>
        <v/>
      </c>
      <c r="AZ131" s="96">
        <f>AY131*U131/100</f>
        <v/>
      </c>
      <c r="BA131" s="92" t="inlineStr">
        <is>
          <t>No chain signal</t>
        </is>
      </c>
      <c r="BB131" s="94" t="n">
        <v>1</v>
      </c>
      <c r="BC131" s="92" t="inlineStr">
        <is>
          <t>Right-sized 0.35-0.75 AC</t>
        </is>
      </c>
      <c r="BD131" s="94" t="n">
        <v>1</v>
      </c>
      <c r="BE131" s="96">
        <f>ROUND(INDEX('Scoring Method'!$B$268:$B$276,MATCH(AE131,'Scoring Method'!$A$268:$A$276,0))+INDEX('Scoring Method'!$B$280:$B$288,MATCH(AP131,'Scoring Method'!$A$280:$A$288,0))+INDEX('Scoring Method'!$B$292:$B$296,MATCH(AQ131,'Scoring Method'!$A$292:$A$296,0))+INDEX('Scoring Method'!$B$300:$B$305,MATCH(AO131,'Scoring Method'!$A$300:$A$305,0))+INDEX('Scoring Method'!$B$309:$B$314,MATCH(AX131,'Scoring Method'!$A$309:$A$314,0))+INDEX('Scoring Method'!$B$337:$B$341,MATCH(X131,'Scoring Method'!$A$337:$A$341,0))+INDEX('Scoring Method'!$B$324:$B$326,MATCH(P131,'Scoring Method'!$A$324:$A$326,0)),1)</f>
        <v/>
      </c>
      <c r="BF131" s="96">
        <f>ROUND(INDEX('Scoring Method'!$B$268:$B$276,MATCH(AE131,'Scoring Method'!$A$268:$A$276,0))*BB131*BD131+INDEX('Scoring Method'!$B$280:$B$288,MATCH(AP131,'Scoring Method'!$A$280:$A$288,0))*BM131*BB131*BD131+INDEX('Scoring Method'!$B$292:$B$296,MATCH(AQ131,'Scoring Method'!$A$292:$A$296,0))*BD131+INDEX('Scoring Method'!$B$300:$B$305,MATCH(AO131,'Scoring Method'!$A$300:$A$305,0))*BM131*BB131+INDEX('Scoring Method'!$B$309:$B$314,MATCH(AX131,'Scoring Method'!$A$309:$A$314,0))+INDEX('Scoring Method'!$B$337:$B$341,MATCH(X131,'Scoring Method'!$A$337:$A$341,0))+INDEX('Scoring Method'!$B$324:$B$326,MATCH(P131,'Scoring Method'!$A$324:$A$326,0)),1)</f>
        <v/>
      </c>
      <c r="BG131" s="92" t="inlineStr">
        <is>
          <t>Fits (~$4,552/mo)</t>
        </is>
      </c>
      <c r="BH131" s="61" t="inlineStr">
        <is>
          <t>DTC</t>
        </is>
      </c>
      <c r="BI131" s="61" t="inlineStr">
        <is>
          <t>Downtown Core</t>
        </is>
      </c>
      <c r="BJ131" s="61" t="inlineStr"/>
      <c r="BK131" s="61" t="inlineStr"/>
      <c r="BL131" s="61" t="inlineStr">
        <is>
          <t>Bar permitted</t>
        </is>
      </c>
      <c r="BM131" s="61">
        <f>INDEX('Scoring Method'!$B$358:$B$363,MATCH(BL131,'Scoring Method'!$A$358:$A$363,0))</f>
        <v/>
      </c>
    </row>
    <row r="132" ht="15" customHeight="1" s="62">
      <c r="A132" s="92" t="n">
        <v>131</v>
      </c>
      <c r="B132" s="92" t="inlineStr">
        <is>
          <t>044-00-00-047.00</t>
        </is>
      </c>
      <c r="C132" s="92" t="inlineStr">
        <is>
          <t>1008 MARY LAIDLEY DR</t>
        </is>
      </c>
      <c r="D132" s="92" t="inlineStr">
        <is>
          <t>CRONE PROPERTIES LLC</t>
        </is>
      </c>
      <c r="E132" s="92" t="inlineStr">
        <is>
          <t>1008 MARY LAIDLEY DR</t>
        </is>
      </c>
      <c r="F132" s="92" t="inlineStr">
        <is>
          <t>COVINGTON</t>
        </is>
      </c>
      <c r="G132" s="92" t="inlineStr">
        <is>
          <t>KY</t>
        </is>
      </c>
      <c r="H132" s="92" t="inlineStr">
        <is>
          <t>AUTO SERVICE/REPAIR</t>
        </is>
      </c>
      <c r="I132" s="93" t="n">
        <v>48230</v>
      </c>
      <c r="J132" s="94">
        <f>I132/43560</f>
        <v/>
      </c>
      <c r="K132" s="93" t="n">
        <v>901.2</v>
      </c>
      <c r="L132" s="95">
        <f>I132/(K132^2)</f>
        <v/>
      </c>
      <c r="M132" s="92" t="inlineStr">
        <is>
          <t>Marginal 10-14k/45-60k</t>
        </is>
      </c>
      <c r="N132" s="92" t="inlineStr">
        <is>
          <t>A</t>
        </is>
      </c>
      <c r="O132" s="92" t="inlineStr">
        <is>
          <t>Compact &gt;=.055</t>
        </is>
      </c>
      <c r="P132" s="92" t="inlineStr">
        <is>
          <t>Moderate</t>
        </is>
      </c>
      <c r="Q132" s="92" t="inlineStr">
        <is>
          <t>Owner-occupied</t>
        </is>
      </c>
      <c r="R132" s="92" t="inlineStr">
        <is>
          <t>Passive vehicle</t>
        </is>
      </c>
      <c r="S132" s="92" t="n">
        <v>2</v>
      </c>
      <c r="T132" s="96">
        <f>INDEX('Scoring Method'!$B$6:$B$9,MATCH(M132,'Scoring Method'!$A$6:$A$9,0))+INDEX('Scoring Method'!$B$12:$B$16,MATCH(N132,'Scoring Method'!$A$12:$A$16,0))+INDEX('Scoring Method'!$B$19:$B$22,MATCH(O132,'Scoring Method'!$A$19:$A$22,0))+INDEX('Scoring Method'!$B$25:$B$27,MATCH(P132,'Scoring Method'!$A$25:$A$27,0))</f>
        <v/>
      </c>
      <c r="U132" s="96">
        <f>(INDEX('Scoring Method'!$B$30:$B$33,MATCH(Q132,'Scoring Method'!$A$30:$A$33,0))+INDEX('Scoring Method'!$B$36:$B$42,MATCH(R132,'Scoring Method'!$A$36:$A$42,0))+INDEX('Scoring Method'!$B$45:$B$47,MATCH(IF(S132=1,"1",IF(S132=2,"2","3+")),'Scoring Method'!$A$45:$A$47,0)))/90*100</f>
        <v/>
      </c>
      <c r="V132" s="96">
        <f>T132*U132/100</f>
        <v/>
      </c>
      <c r="W132" s="93" t="n">
        <v>4800</v>
      </c>
      <c r="X132" s="92" t="inlineStr">
        <is>
          <t>X (minimal hazard)</t>
        </is>
      </c>
      <c r="Y132" s="93" t="n">
        <v>42600</v>
      </c>
      <c r="Z132" s="97" t="n"/>
      <c r="AA132" s="98">
        <f>MAX(0,(Y132-5000)/300)</f>
        <v/>
      </c>
      <c r="AB132" s="92" t="n"/>
      <c r="AC132" s="92" t="n"/>
      <c r="AD132" s="92" t="n"/>
      <c r="AE132" s="92" t="inlineStr">
        <is>
          <t>Large 4-6k</t>
        </is>
      </c>
      <c r="AF132" s="96">
        <f>INDEX('Scoring Method'!$B$63:$B$71,MATCH(AE132,'Scoring Method'!$A$63:$A$71,0))+INDEX('Scoring Method'!$B$75:$B$79,MATCH("Ample &gt;=15k",'Scoring Method'!$A$75:$A$79,0))+INDEX('Scoring Method'!$B$343:$B$347,MATCH(X132,'Scoring Method'!$A$343:$A$347,0))+INDEX('Scoring Method'!$B$25:$B$27,MATCH(P132,'Scoring Method'!$A$25:$A$27,0))</f>
        <v/>
      </c>
      <c r="AG132" s="96">
        <f>AF132*U132/100</f>
        <v/>
      </c>
      <c r="AH132" s="92" t="inlineStr">
        <is>
          <t>LINK-GIS + LoopNet (2026-08-02)</t>
        </is>
      </c>
      <c r="AI132" s="99" t="n">
        <v>39.00329</v>
      </c>
      <c r="AJ132" s="99" t="n">
        <v>-84.53538</v>
      </c>
      <c r="AK132" s="94" t="n">
        <v>5.68</v>
      </c>
      <c r="AL132" s="94" t="n">
        <v>6.22</v>
      </c>
      <c r="AM132" s="94" t="n">
        <v>6.9</v>
      </c>
      <c r="AN132" s="94" t="n">
        <v>5.68</v>
      </c>
      <c r="AO132" s="92" t="inlineStr">
        <is>
          <t>Remote &gt;3mi</t>
        </is>
      </c>
      <c r="AP132" s="92" t="inlineStr">
        <is>
          <t>Open span</t>
        </is>
      </c>
      <c r="AQ132" s="92" t="inlineStr">
        <is>
          <t>Ample &gt;=15k</t>
        </is>
      </c>
      <c r="AR132" s="100" t="n"/>
      <c r="AS132" s="96">
        <f>ROUND(INDEX('Scoring Method'!$B$63:$B$70,MATCH(AE132,'Scoring Method'!$A$63:$A$70,0))*0.625+INDEX('Scoring Method'!$B$105:$B$113,MATCH(AP132,'Scoring Method'!$A$105:$A$113,0))+INDEX('Scoring Method'!$B$74:$B$78,MATCH(AQ132,'Scoring Method'!$A$74:$A$78,0))*0.6667+INDEX('Scoring Method'!$B$96:$B$101,MATCH(AO132,'Scoring Method'!$A$96:$A$101,0))+INDEX('Scoring Method'!$B$343:$B$347,MATCH(X132,'Scoring Method'!$A$343:$A$347,0))*0.3333+INDEX('Scoring Method'!$B$25:$B$27,MATCH(P132,'Scoring Method'!$A$25:$A$27,0))*0.3333,1)</f>
        <v/>
      </c>
      <c r="AT132" s="96">
        <f>AS132*U132/100</f>
        <v/>
      </c>
      <c r="AU132" s="92" t="inlineStr">
        <is>
          <t>South Covington</t>
        </is>
      </c>
      <c r="AV132" s="92" t="n">
        <v>88</v>
      </c>
      <c r="AW132" s="92" t="inlineStr">
        <is>
          <t>Sourced</t>
        </is>
      </c>
      <c r="AX132" s="92" t="inlineStr">
        <is>
          <t>Very safe 80+</t>
        </is>
      </c>
      <c r="AY132" s="96">
        <f>ROUND(INDEX('Scoring Method'!$B$132:$B$140,MATCH(AE132,'Scoring Method'!$A$132:$A$140,0))+INDEX('Scoring Method'!$B$144:$B$152,MATCH(AP132,'Scoring Method'!$A$144:$A$152,0))+INDEX('Scoring Method'!$B$156:$B$160,MATCH(AQ132,'Scoring Method'!$A$156:$A$160,0))+INDEX('Scoring Method'!$B$164:$B$169,MATCH(AO132,'Scoring Method'!$A$164:$A$169,0))+INDEX('Scoring Method'!$B$173:$B$178,MATCH(AX132,'Scoring Method'!$A$173:$A$178,0))+INDEX('Scoring Method'!$B$349:$B$353,MATCH(X132,'Scoring Method'!$A$349:$A$353,0))+INDEX('Scoring Method'!$B$188:$B$190,MATCH(P132,'Scoring Method'!$A$188:$A$190,0)),1)</f>
        <v/>
      </c>
      <c r="AZ132" s="96">
        <f>AY132*U132/100</f>
        <v/>
      </c>
      <c r="BA132" s="92" t="inlineStr">
        <is>
          <t>Owner-occupied operator</t>
        </is>
      </c>
      <c r="BB132" s="94" t="n">
        <v>0.8</v>
      </c>
      <c r="BC132" s="102" t="inlineStr">
        <is>
          <t>Large 0.75-1.25 AC</t>
        </is>
      </c>
      <c r="BD132" s="94" t="n">
        <v>0.9</v>
      </c>
      <c r="BE132" s="96">
        <f>ROUND(INDEX('Scoring Method'!$B$268:$B$276,MATCH(AE132,'Scoring Method'!$A$268:$A$276,0))+INDEX('Scoring Method'!$B$280:$B$288,MATCH(AP132,'Scoring Method'!$A$280:$A$288,0))+INDEX('Scoring Method'!$B$292:$B$296,MATCH(AQ132,'Scoring Method'!$A$292:$A$296,0))+INDEX('Scoring Method'!$B$300:$B$305,MATCH(AO132,'Scoring Method'!$A$300:$A$305,0))+INDEX('Scoring Method'!$B$309:$B$314,MATCH(AX132,'Scoring Method'!$A$309:$A$314,0))+INDEX('Scoring Method'!$B$337:$B$341,MATCH(X132,'Scoring Method'!$A$337:$A$341,0))+INDEX('Scoring Method'!$B$324:$B$326,MATCH(P132,'Scoring Method'!$A$324:$A$326,0)),1)</f>
        <v/>
      </c>
      <c r="BF132" s="96">
        <f>ROUND(INDEX('Scoring Method'!$B$268:$B$276,MATCH(AE132,'Scoring Method'!$A$268:$A$276,0))*BB132*BD132+INDEX('Scoring Method'!$B$280:$B$288,MATCH(AP132,'Scoring Method'!$A$280:$A$288,0))*BM132*BB132*BD132+INDEX('Scoring Method'!$B$292:$B$296,MATCH(AQ132,'Scoring Method'!$A$292:$A$296,0))*BD132+INDEX('Scoring Method'!$B$300:$B$305,MATCH(AO132,'Scoring Method'!$A$300:$A$305,0))*BM132*BB132+INDEX('Scoring Method'!$B$309:$B$314,MATCH(AX132,'Scoring Method'!$A$309:$A$314,0))+INDEX('Scoring Method'!$B$337:$B$341,MATCH(X132,'Scoring Method'!$A$337:$A$341,0))+INDEX('Scoring Method'!$B$324:$B$326,MATCH(P132,'Scoring Method'!$A$324:$A$326,0)),1)</f>
        <v/>
      </c>
      <c r="BG132" s="92" t="inlineStr">
        <is>
          <t>Fits (~$4,400/mo)</t>
        </is>
      </c>
      <c r="BH132" s="61" t="inlineStr">
        <is>
          <t>SI</t>
        </is>
      </c>
      <c r="BI132" s="61" t="inlineStr">
        <is>
          <t>Suburban Industrial</t>
        </is>
      </c>
      <c r="BJ132" s="61" t="inlineStr"/>
      <c r="BK132" s="61" t="inlineStr"/>
      <c r="BL132" s="61" t="inlineStr">
        <is>
          <t>Bar permitted</t>
        </is>
      </c>
      <c r="BM132" s="61">
        <f>INDEX('Scoring Method'!$B$358:$B$363,MATCH(BL132,'Scoring Method'!$A$358:$A$363,0))</f>
        <v/>
      </c>
    </row>
    <row r="133" ht="15" customHeight="1" s="62">
      <c r="A133" s="92" t="n">
        <v>132</v>
      </c>
      <c r="B133" s="92" t="inlineStr">
        <is>
          <t>045-40-00-167.00</t>
        </is>
      </c>
      <c r="C133" s="92" t="inlineStr">
        <is>
          <t>MOLLY LN</t>
        </is>
      </c>
      <c r="D133" s="92" t="inlineStr">
        <is>
          <t>COLE EMILY J</t>
        </is>
      </c>
      <c r="E133" s="92" t="inlineStr">
        <is>
          <t>111 MOLLY LN</t>
        </is>
      </c>
      <c r="F133" s="92" t="inlineStr">
        <is>
          <t>COVINGTON</t>
        </is>
      </c>
      <c r="G133" s="92" t="inlineStr">
        <is>
          <t>KY</t>
        </is>
      </c>
      <c r="H133" s="92" t="inlineStr">
        <is>
          <t>GARAGE/PARKING SPACE</t>
        </is>
      </c>
      <c r="I133" s="93" t="n">
        <v>43346</v>
      </c>
      <c r="J133" s="94">
        <f>I133/43560</f>
        <v/>
      </c>
      <c r="K133" s="93" t="n">
        <v>888</v>
      </c>
      <c r="L133" s="95">
        <f>I133/(K133^2)</f>
        <v/>
      </c>
      <c r="M133" s="92" t="inlineStr">
        <is>
          <t>Near 14-18k/32-45k</t>
        </is>
      </c>
      <c r="N133" s="92" t="inlineStr">
        <is>
          <t>D</t>
        </is>
      </c>
      <c r="O133" s="92" t="inlineStr">
        <is>
          <t>Regular .045-.055</t>
        </is>
      </c>
      <c r="P133" s="92" t="inlineStr">
        <is>
          <t>Low</t>
        </is>
      </c>
      <c r="Q133" s="92" t="inlineStr">
        <is>
          <t>Local absentee</t>
        </is>
      </c>
      <c r="R133" s="92" t="inlineStr">
        <is>
          <t>Individual</t>
        </is>
      </c>
      <c r="S133" s="92" t="n">
        <v>1</v>
      </c>
      <c r="T133" s="96">
        <f>INDEX('Scoring Method'!$B$6:$B$9,MATCH(M133,'Scoring Method'!$A$6:$A$9,0))+INDEX('Scoring Method'!$B$12:$B$16,MATCH(N133,'Scoring Method'!$A$12:$A$16,0))+INDEX('Scoring Method'!$B$19:$B$22,MATCH(O133,'Scoring Method'!$A$19:$A$22,0))+INDEX('Scoring Method'!$B$25:$B$27,MATCH(P133,'Scoring Method'!$A$25:$A$27,0))</f>
        <v/>
      </c>
      <c r="U133" s="96">
        <f>(INDEX('Scoring Method'!$B$30:$B$33,MATCH(Q133,'Scoring Method'!$A$30:$A$33,0))+INDEX('Scoring Method'!$B$36:$B$42,MATCH(R133,'Scoring Method'!$A$36:$A$42,0))+INDEX('Scoring Method'!$B$45:$B$47,MATCH(IF(S133=1,"1",IF(S133=2,"2","3+")),'Scoring Method'!$A$45:$A$47,0)))/90*100</f>
        <v/>
      </c>
      <c r="V133" s="96">
        <f>T133*U133/100</f>
        <v/>
      </c>
      <c r="W133" s="93" t="n">
        <v>640</v>
      </c>
      <c r="X133" s="92" t="inlineStr">
        <is>
          <t>X (minimal hazard)</t>
        </is>
      </c>
      <c r="Y133" s="93" t="n">
        <v>42500</v>
      </c>
      <c r="Z133" s="97" t="n"/>
      <c r="AA133" s="98">
        <f>MAX(0,(Y133-5000)/300)</f>
        <v/>
      </c>
      <c r="AB133" s="92" t="n"/>
      <c r="AC133" s="92" t="n"/>
      <c r="AD133" s="92" t="n"/>
      <c r="AE133" s="92" t="inlineStr">
        <is>
          <t>Too small &lt;1.2k</t>
        </is>
      </c>
      <c r="AF133" s="96">
        <f>INDEX('Scoring Method'!$B$63:$B$71,MATCH(AE133,'Scoring Method'!$A$63:$A$71,0))+INDEX('Scoring Method'!$B$75:$B$79,MATCH("Ample &gt;=15k",'Scoring Method'!$A$75:$A$79,0))+INDEX('Scoring Method'!$B$343:$B$347,MATCH(X133,'Scoring Method'!$A$343:$A$347,0))+INDEX('Scoring Method'!$B$25:$B$27,MATCH(P133,'Scoring Method'!$A$25:$A$27,0))</f>
        <v/>
      </c>
      <c r="AG133" s="96">
        <f>AF133*U133/100</f>
        <v/>
      </c>
      <c r="AH133" s="92" t="inlineStr">
        <is>
          <t>LINK-GIS + LoopNet (2026-08-02)</t>
        </is>
      </c>
      <c r="AI133" s="99" t="n">
        <v>38.97314</v>
      </c>
      <c r="AJ133" s="99" t="n">
        <v>-84.51479999999999</v>
      </c>
      <c r="AK133" s="94" t="n">
        <v>7.69</v>
      </c>
      <c r="AL133" s="94" t="n">
        <v>8.140000000000001</v>
      </c>
      <c r="AM133" s="94" t="n">
        <v>8.869999999999999</v>
      </c>
      <c r="AN133" s="94" t="n">
        <v>7.66</v>
      </c>
      <c r="AO133" s="92" t="inlineStr">
        <is>
          <t>Remote &gt;3mi</t>
        </is>
      </c>
      <c r="AP133" s="92" t="inlineStr">
        <is>
          <t>Lot / minimal bldg</t>
        </is>
      </c>
      <c r="AQ133" s="92" t="inlineStr">
        <is>
          <t>Ample &gt;=15k</t>
        </is>
      </c>
      <c r="AR133" s="100" t="n"/>
      <c r="AS133" s="96">
        <f>ROUND(INDEX('Scoring Method'!$B$63:$B$70,MATCH(AE133,'Scoring Method'!$A$63:$A$70,0))*0.625+INDEX('Scoring Method'!$B$105:$B$113,MATCH(AP133,'Scoring Method'!$A$105:$A$113,0))+INDEX('Scoring Method'!$B$74:$B$78,MATCH(AQ133,'Scoring Method'!$A$74:$A$78,0))*0.6667+INDEX('Scoring Method'!$B$96:$B$101,MATCH(AO133,'Scoring Method'!$A$96:$A$101,0))+INDEX('Scoring Method'!$B$343:$B$347,MATCH(X133,'Scoring Method'!$A$343:$A$347,0))*0.3333+INDEX('Scoring Method'!$B$25:$B$27,MATCH(P133,'Scoring Method'!$A$25:$A$27,0))*0.3333,1)</f>
        <v/>
      </c>
      <c r="AT133" s="96">
        <f>AS133*U133/100</f>
        <v/>
      </c>
      <c r="AU133" s="92" t="inlineStr">
        <is>
          <t>South Covington</t>
        </is>
      </c>
      <c r="AV133" s="92" t="n">
        <v>88</v>
      </c>
      <c r="AW133" s="92" t="inlineStr">
        <is>
          <t>Sourced</t>
        </is>
      </c>
      <c r="AX133" s="92" t="inlineStr">
        <is>
          <t>Very safe 80+</t>
        </is>
      </c>
      <c r="AY133" s="96">
        <f>ROUND(INDEX('Scoring Method'!$B$132:$B$140,MATCH(AE133,'Scoring Method'!$A$132:$A$140,0))+INDEX('Scoring Method'!$B$144:$B$152,MATCH(AP133,'Scoring Method'!$A$144:$A$152,0))+INDEX('Scoring Method'!$B$156:$B$160,MATCH(AQ133,'Scoring Method'!$A$156:$A$160,0))+INDEX('Scoring Method'!$B$164:$B$169,MATCH(AO133,'Scoring Method'!$A$164:$A$169,0))+INDEX('Scoring Method'!$B$173:$B$178,MATCH(AX133,'Scoring Method'!$A$173:$A$178,0))+INDEX('Scoring Method'!$B$349:$B$353,MATCH(X133,'Scoring Method'!$A$349:$A$353,0))+INDEX('Scoring Method'!$B$188:$B$190,MATCH(P133,'Scoring Method'!$A$188:$A$190,0)),1)</f>
        <v/>
      </c>
      <c r="AZ133" s="96">
        <f>AY133*U133/100</f>
        <v/>
      </c>
      <c r="BA133" s="92" t="inlineStr">
        <is>
          <t>No chain signal</t>
        </is>
      </c>
      <c r="BB133" s="94" t="n">
        <v>1</v>
      </c>
      <c r="BC133" s="102" t="inlineStr">
        <is>
          <t>Large 0.75-1.25 AC</t>
        </is>
      </c>
      <c r="BD133" s="94" t="n">
        <v>0.9</v>
      </c>
      <c r="BE133" s="96">
        <f>ROUND(INDEX('Scoring Method'!$B$268:$B$276,MATCH(AE133,'Scoring Method'!$A$268:$A$276,0))+INDEX('Scoring Method'!$B$280:$B$288,MATCH(AP133,'Scoring Method'!$A$280:$A$288,0))+INDEX('Scoring Method'!$B$292:$B$296,MATCH(AQ133,'Scoring Method'!$A$292:$A$296,0))+INDEX('Scoring Method'!$B$300:$B$305,MATCH(AO133,'Scoring Method'!$A$300:$A$305,0))+INDEX('Scoring Method'!$B$309:$B$314,MATCH(AX133,'Scoring Method'!$A$309:$A$314,0))+INDEX('Scoring Method'!$B$337:$B$341,MATCH(X133,'Scoring Method'!$A$337:$A$341,0))+INDEX('Scoring Method'!$B$324:$B$326,MATCH(P133,'Scoring Method'!$A$324:$A$326,0)),1)</f>
        <v/>
      </c>
      <c r="BF133" s="96">
        <f>ROUND(INDEX('Scoring Method'!$B$268:$B$276,MATCH(AE133,'Scoring Method'!$A$268:$A$276,0))*BB133*BD133+INDEX('Scoring Method'!$B$280:$B$288,MATCH(AP133,'Scoring Method'!$A$280:$A$288,0))*BM133*BB133*BD133+INDEX('Scoring Method'!$B$292:$B$296,MATCH(AQ133,'Scoring Method'!$A$292:$A$296,0))*BD133+INDEX('Scoring Method'!$B$300:$B$305,MATCH(AO133,'Scoring Method'!$A$300:$A$305,0))*BM133*BB133+INDEX('Scoring Method'!$B$309:$B$314,MATCH(AX133,'Scoring Method'!$A$309:$A$314,0))+INDEX('Scoring Method'!$B$337:$B$341,MATCH(X133,'Scoring Method'!$A$337:$A$341,0))+INDEX('Scoring Method'!$B$324:$B$326,MATCH(P133,'Scoring Method'!$A$324:$A$326,0)),1)</f>
        <v/>
      </c>
      <c r="BG133" s="92" t="inlineStr">
        <is>
          <t>Fits (~$587/mo)</t>
        </is>
      </c>
      <c r="BH133" s="61" t="inlineStr">
        <is>
          <t>SR</t>
        </is>
      </c>
      <c r="BI133" s="61" t="inlineStr">
        <is>
          <t>Suburban Residential</t>
        </is>
      </c>
      <c r="BJ133" s="61" t="inlineStr"/>
      <c r="BK133" s="61" t="inlineStr"/>
      <c r="BL133" s="61" t="inlineStr">
        <is>
          <t>No path</t>
        </is>
      </c>
      <c r="BM133" s="61">
        <f>INDEX('Scoring Method'!$B$358:$B$363,MATCH(BL133,'Scoring Method'!$A$358:$A$363,0))</f>
        <v/>
      </c>
    </row>
    <row r="134" ht="15" customHeight="1" s="62">
      <c r="A134" s="92" t="n">
        <v>133</v>
      </c>
      <c r="B134" s="92" t="inlineStr">
        <is>
          <t>054-14-02-002.02</t>
        </is>
      </c>
      <c r="C134" s="92" t="inlineStr">
        <is>
          <t>230 MADISON AVE</t>
        </is>
      </c>
      <c r="D134" s="92" t="inlineStr">
        <is>
          <t>KENTON CO PUBLIC PROPERTY CORP</t>
        </is>
      </c>
      <c r="E134" s="92" t="inlineStr">
        <is>
          <t>1840 SIMON KENTON WAY STE 5200</t>
        </is>
      </c>
      <c r="F134" s="92" t="inlineStr">
        <is>
          <t>COVINGTON</t>
        </is>
      </c>
      <c r="G134" s="92" t="inlineStr">
        <is>
          <t>KY</t>
        </is>
      </c>
      <c r="H134" s="92" t="inlineStr">
        <is>
          <t>OFFICE TOWER - 3 STORY &amp; UP</t>
        </is>
      </c>
      <c r="I134" s="93" t="n">
        <v>25353</v>
      </c>
      <c r="J134" s="94">
        <f>I134/43560</f>
        <v/>
      </c>
      <c r="K134" s="93" t="n">
        <v>686</v>
      </c>
      <c r="L134" s="95">
        <f>I134/(K134^2)</f>
        <v/>
      </c>
      <c r="M134" s="92" t="inlineStr">
        <is>
          <t>Ideal 18-32k</t>
        </is>
      </c>
      <c r="N134" s="92" t="inlineStr">
        <is>
          <t>E</t>
        </is>
      </c>
      <c r="O134" s="92" t="inlineStr">
        <is>
          <t>Regular .045-.055</t>
        </is>
      </c>
      <c r="P134" s="92" t="inlineStr">
        <is>
          <t>Low</t>
        </is>
      </c>
      <c r="Q134" s="92" t="inlineStr">
        <is>
          <t>Local absentee</t>
        </is>
      </c>
      <c r="R134" s="92" t="inlineStr">
        <is>
          <t>Passive vehicle</t>
        </is>
      </c>
      <c r="S134" s="92" t="n">
        <v>1</v>
      </c>
      <c r="T134" s="96">
        <f>INDEX('Scoring Method'!$B$6:$B$9,MATCH(M134,'Scoring Method'!$A$6:$A$9,0))+INDEX('Scoring Method'!$B$12:$B$16,MATCH(N134,'Scoring Method'!$A$12:$A$16,0))+INDEX('Scoring Method'!$B$19:$B$22,MATCH(O134,'Scoring Method'!$A$19:$A$22,0))+INDEX('Scoring Method'!$B$25:$B$27,MATCH(P134,'Scoring Method'!$A$25:$A$27,0))</f>
        <v/>
      </c>
      <c r="U134" s="96">
        <f>(INDEX('Scoring Method'!$B$30:$B$33,MATCH(Q134,'Scoring Method'!$A$30:$A$33,0))+INDEX('Scoring Method'!$B$36:$B$42,MATCH(R134,'Scoring Method'!$A$36:$A$42,0))+INDEX('Scoring Method'!$B$45:$B$47,MATCH(IF(S134=1,"1",IF(S134=2,"2","3+")),'Scoring Method'!$A$45:$A$47,0)))/90*100</f>
        <v/>
      </c>
      <c r="V134" s="96">
        <f>T134*U134/100</f>
        <v/>
      </c>
      <c r="W134" s="93" t="n">
        <v>19103</v>
      </c>
      <c r="X134" s="92" t="inlineStr">
        <is>
          <t>X (minimal hazard)</t>
        </is>
      </c>
      <c r="Y134" s="93" t="n">
        <v>3650</v>
      </c>
      <c r="Z134" s="97" t="n"/>
      <c r="AA134" s="98">
        <f>MAX(0,(Y134-5000)/300)</f>
        <v/>
      </c>
      <c r="AB134" s="92" t="n"/>
      <c r="AC134" s="92" t="n"/>
      <c r="AD134" s="92" t="n"/>
      <c r="AE134" s="92" t="inlineStr">
        <is>
          <t>Office tower 3+ storey</t>
        </is>
      </c>
      <c r="AF134" s="96">
        <f>INDEX('Scoring Method'!$B$63:$B$71,MATCH(AE134,'Scoring Method'!$A$63:$A$71,0))+INDEX('Scoring Method'!$B$75:$B$79,MATCH("Tight 2-5k",'Scoring Method'!$A$75:$A$79,0))+INDEX('Scoring Method'!$B$343:$B$347,MATCH(X134,'Scoring Method'!$A$343:$A$347,0))+INDEX('Scoring Method'!$B$25:$B$27,MATCH(P134,'Scoring Method'!$A$25:$A$27,0))</f>
        <v/>
      </c>
      <c r="AG134" s="96">
        <f>AF134*U134/100</f>
        <v/>
      </c>
      <c r="AH134" s="92" t="inlineStr">
        <is>
          <t>LINK-GIS only</t>
        </is>
      </c>
      <c r="AI134" s="99" t="n">
        <v>39.08862</v>
      </c>
      <c r="AJ134" s="99" t="n">
        <v>-84.51073</v>
      </c>
      <c r="AK134" s="94" t="n">
        <v>0.48</v>
      </c>
      <c r="AL134" s="94" t="n">
        <v>0.2</v>
      </c>
      <c r="AM134" s="94" t="n">
        <v>0.89</v>
      </c>
      <c r="AN134" s="94" t="n">
        <v>0.19</v>
      </c>
      <c r="AO134" s="92" t="inlineStr">
        <is>
          <t>Core &lt;=0.35mi</t>
        </is>
      </c>
      <c r="AP134" s="92" t="inlineStr">
        <is>
          <t>Office tower 3+ storey</t>
        </is>
      </c>
      <c r="AQ134" s="92" t="inlineStr">
        <is>
          <t>Tight 2-5k</t>
        </is>
      </c>
      <c r="AR134" s="100" t="n"/>
      <c r="AS134" s="96">
        <f>ROUND(INDEX('Scoring Method'!$B$63:$B$70,MATCH(AE134,'Scoring Method'!$A$63:$A$70,0))*0.625+INDEX('Scoring Method'!$B$105:$B$113,MATCH(AP134,'Scoring Method'!$A$105:$A$113,0))+INDEX('Scoring Method'!$B$74:$B$78,MATCH(AQ134,'Scoring Method'!$A$74:$A$78,0))*0.6667+INDEX('Scoring Method'!$B$96:$B$101,MATCH(AO134,'Scoring Method'!$A$96:$A$101,0))+INDEX('Scoring Method'!$B$343:$B$347,MATCH(X134,'Scoring Method'!$A$343:$A$347,0))*0.3333+INDEX('Scoring Method'!$B$25:$B$27,MATCH(P134,'Scoring Method'!$A$25:$A$27,0))*0.3333,1)</f>
        <v/>
      </c>
      <c r="AT134" s="96">
        <f>AS134*U134/100</f>
        <v/>
      </c>
      <c r="AU134" s="92" t="inlineStr">
        <is>
          <t>Central Business District</t>
        </is>
      </c>
      <c r="AV134" s="92" t="n">
        <v>48</v>
      </c>
      <c r="AW134" s="101" t="inlineStr">
        <is>
          <t>ESTIMATED</t>
        </is>
      </c>
      <c r="AX134" s="92" t="inlineStr">
        <is>
          <t>Mixed 45-59</t>
        </is>
      </c>
      <c r="AY134" s="96">
        <f>ROUND(INDEX('Scoring Method'!$B$132:$B$140,MATCH(AE134,'Scoring Method'!$A$132:$A$140,0))+INDEX('Scoring Method'!$B$144:$B$152,MATCH(AP134,'Scoring Method'!$A$144:$A$152,0))+INDEX('Scoring Method'!$B$156:$B$160,MATCH(AQ134,'Scoring Method'!$A$156:$A$160,0))+INDEX('Scoring Method'!$B$164:$B$169,MATCH(AO134,'Scoring Method'!$A$164:$A$169,0))+INDEX('Scoring Method'!$B$173:$B$178,MATCH(AX134,'Scoring Method'!$A$173:$A$178,0))+INDEX('Scoring Method'!$B$349:$B$353,MATCH(X134,'Scoring Method'!$A$349:$A$353,0))+INDEX('Scoring Method'!$B$188:$B$190,MATCH(P134,'Scoring Method'!$A$188:$A$190,0)),1)</f>
        <v/>
      </c>
      <c r="AZ134" s="96">
        <f>AY134*U134/100</f>
        <v/>
      </c>
      <c r="BA134" s="92" t="inlineStr">
        <is>
          <t>No chain signal</t>
        </is>
      </c>
      <c r="BB134" s="94" t="n">
        <v>1</v>
      </c>
      <c r="BC134" s="92" t="inlineStr">
        <is>
          <t>Right-sized 0.35-0.75 AC</t>
        </is>
      </c>
      <c r="BD134" s="94" t="n">
        <v>1</v>
      </c>
      <c r="BE134" s="96">
        <f>ROUND(INDEX('Scoring Method'!$B$268:$B$276,MATCH(AE134,'Scoring Method'!$A$268:$A$276,0))+INDEX('Scoring Method'!$B$280:$B$288,MATCH(AP134,'Scoring Method'!$A$280:$A$288,0))+INDEX('Scoring Method'!$B$292:$B$296,MATCH(AQ134,'Scoring Method'!$A$292:$A$296,0))+INDEX('Scoring Method'!$B$300:$B$305,MATCH(AO134,'Scoring Method'!$A$300:$A$305,0))+INDEX('Scoring Method'!$B$309:$B$314,MATCH(AX134,'Scoring Method'!$A$309:$A$314,0))+INDEX('Scoring Method'!$B$337:$B$341,MATCH(X134,'Scoring Method'!$A$337:$A$341,0))+INDEX('Scoring Method'!$B$324:$B$326,MATCH(P134,'Scoring Method'!$A$324:$A$326,0)),1)</f>
        <v/>
      </c>
      <c r="BF134" s="96">
        <f>ROUND(INDEX('Scoring Method'!$B$268:$B$276,MATCH(AE134,'Scoring Method'!$A$268:$A$276,0))*BB134*BD134+INDEX('Scoring Method'!$B$280:$B$288,MATCH(AP134,'Scoring Method'!$A$280:$A$288,0))*BM134*BB134*BD134+INDEX('Scoring Method'!$B$292:$B$296,MATCH(AQ134,'Scoring Method'!$A$292:$A$296,0))*BD134+INDEX('Scoring Method'!$B$300:$B$305,MATCH(AO134,'Scoring Method'!$A$300:$A$305,0))*BM134*BB134+INDEX('Scoring Method'!$B$309:$B$314,MATCH(AX134,'Scoring Method'!$A$309:$A$314,0))+INDEX('Scoring Method'!$B$337:$B$341,MATCH(X134,'Scoring Method'!$A$337:$A$341,0))+INDEX('Scoring Method'!$B$324:$B$326,MATCH(P134,'Scoring Method'!$A$324:$A$326,0)),1)</f>
        <v/>
      </c>
      <c r="BG134" s="102" t="inlineStr">
        <is>
          <t>Over (~$17,511/mo)</t>
        </is>
      </c>
      <c r="BH134" s="61" t="inlineStr">
        <is>
          <t>DTR</t>
        </is>
      </c>
      <c r="BI134" s="61" t="inlineStr">
        <is>
          <t>Downtown Riverfront</t>
        </is>
      </c>
      <c r="BJ134" s="61" t="inlineStr"/>
      <c r="BK134" s="61" t="inlineStr"/>
      <c r="BL134" s="61" t="inlineStr">
        <is>
          <t>Bar permitted</t>
        </is>
      </c>
      <c r="BM134" s="61">
        <f>INDEX('Scoring Method'!$B$358:$B$363,MATCH(BL134,'Scoring Method'!$A$358:$A$363,0))</f>
        <v/>
      </c>
    </row>
    <row r="135" ht="15" customHeight="1" s="62">
      <c r="A135" s="92" t="n">
        <v>134</v>
      </c>
      <c r="B135" s="92" t="inlineStr">
        <is>
          <t>054-21-22-018.00</t>
        </is>
      </c>
      <c r="C135" s="92" t="inlineStr">
        <is>
          <t>18 W PIKE ST</t>
        </is>
      </c>
      <c r="D135" s="92" t="inlineStr">
        <is>
          <t>BOPPER PROPERTIES LLC</t>
        </is>
      </c>
      <c r="E135" s="92" t="inlineStr">
        <is>
          <t>700 MADISON AVE</t>
        </is>
      </c>
      <c r="F135" s="92" t="inlineStr">
        <is>
          <t>COVINGTON</t>
        </is>
      </c>
      <c r="G135" s="92" t="inlineStr">
        <is>
          <t>KY</t>
        </is>
      </c>
      <c r="H135" s="92" t="inlineStr">
        <is>
          <t>OFFICE BLDG 1 OR 2 STORY</t>
        </is>
      </c>
      <c r="I135" s="93" t="n">
        <v>10865</v>
      </c>
      <c r="J135" s="94">
        <f>I135/43560</f>
        <v/>
      </c>
      <c r="K135" s="93" t="n">
        <v>430</v>
      </c>
      <c r="L135" s="95">
        <f>I135/(K135^2)</f>
        <v/>
      </c>
      <c r="M135" s="92" t="inlineStr">
        <is>
          <t>Marginal 10-14k/45-60k</t>
        </is>
      </c>
      <c r="N135" s="92" t="inlineStr">
        <is>
          <t>E</t>
        </is>
      </c>
      <c r="O135" s="92" t="inlineStr">
        <is>
          <t>Compact &gt;=.055</t>
        </is>
      </c>
      <c r="P135" s="92" t="inlineStr">
        <is>
          <t>Low</t>
        </is>
      </c>
      <c r="Q135" s="92" t="inlineStr">
        <is>
          <t>Local absentee</t>
        </is>
      </c>
      <c r="R135" s="92" t="inlineStr">
        <is>
          <t>Passive vehicle</t>
        </is>
      </c>
      <c r="S135" s="92" t="n">
        <v>3</v>
      </c>
      <c r="T135" s="96">
        <f>INDEX('Scoring Method'!$B$6:$B$9,MATCH(M135,'Scoring Method'!$A$6:$A$9,0))+INDEX('Scoring Method'!$B$12:$B$16,MATCH(N135,'Scoring Method'!$A$12:$A$16,0))+INDEX('Scoring Method'!$B$19:$B$22,MATCH(O135,'Scoring Method'!$A$19:$A$22,0))+INDEX('Scoring Method'!$B$25:$B$27,MATCH(P135,'Scoring Method'!$A$25:$A$27,0))</f>
        <v/>
      </c>
      <c r="U135" s="96">
        <f>(INDEX('Scoring Method'!$B$30:$B$33,MATCH(Q135,'Scoring Method'!$A$30:$A$33,0))+INDEX('Scoring Method'!$B$36:$B$42,MATCH(R135,'Scoring Method'!$A$36:$A$42,0))+INDEX('Scoring Method'!$B$45:$B$47,MATCH(IF(S135=1,"1",IF(S135=2,"2","3+")),'Scoring Method'!$A$45:$A$47,0)))/90*100</f>
        <v/>
      </c>
      <c r="V135" s="96">
        <f>T135*U135/100</f>
        <v/>
      </c>
      <c r="W135" s="93" t="n">
        <v>20812</v>
      </c>
      <c r="X135" s="92" t="inlineStr">
        <is>
          <t>X (minimal hazard)</t>
        </is>
      </c>
      <c r="Y135" s="93" t="n">
        <v>0</v>
      </c>
      <c r="Z135" s="97" t="n"/>
      <c r="AA135" s="98">
        <f>MAX(0,(Y135-5000)/300)</f>
        <v/>
      </c>
      <c r="AB135" s="92" t="n"/>
      <c r="AC135" s="92" t="n"/>
      <c r="AD135" s="92" t="n"/>
      <c r="AE135" s="92" t="inlineStr">
        <is>
          <t>Far oversize &gt;12k</t>
        </is>
      </c>
      <c r="AF135" s="96">
        <f>INDEX('Scoring Method'!$B$63:$B$71,MATCH(AE135,'Scoring Method'!$A$63:$A$71,0))+INDEX('Scoring Method'!$B$75:$B$79,MATCH("Insufficient &lt;2k",'Scoring Method'!$A$75:$A$79,0))+INDEX('Scoring Method'!$B$343:$B$347,MATCH(X135,'Scoring Method'!$A$343:$A$347,0))+INDEX('Scoring Method'!$B$25:$B$27,MATCH(P135,'Scoring Method'!$A$25:$A$27,0))</f>
        <v/>
      </c>
      <c r="AG135" s="96">
        <f>AF135*U135/100</f>
        <v/>
      </c>
      <c r="AH135" s="92" t="inlineStr">
        <is>
          <t>LINK-GIS + LoopNet (2026-08-03)</t>
        </is>
      </c>
      <c r="AI135" s="99" t="n">
        <v>39.08404</v>
      </c>
      <c r="AJ135" s="99" t="n">
        <v>-84.51107</v>
      </c>
      <c r="AK135" s="94" t="n">
        <v>0.37</v>
      </c>
      <c r="AL135" s="94" t="n">
        <v>0.49</v>
      </c>
      <c r="AM135" s="94" t="n">
        <v>1.21</v>
      </c>
      <c r="AN135" s="94" t="n">
        <v>0</v>
      </c>
      <c r="AO135" s="92" t="inlineStr">
        <is>
          <t>Core &lt;=0.35mi</t>
        </is>
      </c>
      <c r="AP135" s="92" t="inlineStr">
        <is>
          <t>Office/institutional</t>
        </is>
      </c>
      <c r="AQ135" s="92" t="inlineStr">
        <is>
          <t>Insufficient &lt;2k</t>
        </is>
      </c>
      <c r="AR135" s="100" t="n"/>
      <c r="AS135" s="96">
        <f>ROUND(INDEX('Scoring Method'!$B$63:$B$70,MATCH(AE135,'Scoring Method'!$A$63:$A$70,0))*0.625+INDEX('Scoring Method'!$B$105:$B$113,MATCH(AP135,'Scoring Method'!$A$105:$A$113,0))+INDEX('Scoring Method'!$B$74:$B$78,MATCH(AQ135,'Scoring Method'!$A$74:$A$78,0))*0.6667+INDEX('Scoring Method'!$B$96:$B$101,MATCH(AO135,'Scoring Method'!$A$96:$A$101,0))+INDEX('Scoring Method'!$B$343:$B$347,MATCH(X135,'Scoring Method'!$A$343:$A$347,0))*0.3333+INDEX('Scoring Method'!$B$25:$B$27,MATCH(P135,'Scoring Method'!$A$25:$A$27,0))*0.3333,1)</f>
        <v/>
      </c>
      <c r="AT135" s="96">
        <f>AS135*U135/100</f>
        <v/>
      </c>
      <c r="AU135" s="92" t="inlineStr">
        <is>
          <t>Central Business District</t>
        </is>
      </c>
      <c r="AV135" s="92" t="n">
        <v>48</v>
      </c>
      <c r="AW135" s="101" t="inlineStr">
        <is>
          <t>ESTIMATED</t>
        </is>
      </c>
      <c r="AX135" s="92" t="inlineStr">
        <is>
          <t>Mixed 45-59</t>
        </is>
      </c>
      <c r="AY135" s="96">
        <f>ROUND(INDEX('Scoring Method'!$B$132:$B$140,MATCH(AE135,'Scoring Method'!$A$132:$A$140,0))+INDEX('Scoring Method'!$B$144:$B$152,MATCH(AP135,'Scoring Method'!$A$144:$A$152,0))+INDEX('Scoring Method'!$B$156:$B$160,MATCH(AQ135,'Scoring Method'!$A$156:$A$160,0))+INDEX('Scoring Method'!$B$164:$B$169,MATCH(AO135,'Scoring Method'!$A$164:$A$169,0))+INDEX('Scoring Method'!$B$173:$B$178,MATCH(AX135,'Scoring Method'!$A$173:$A$178,0))+INDEX('Scoring Method'!$B$349:$B$353,MATCH(X135,'Scoring Method'!$A$349:$A$353,0))+INDEX('Scoring Method'!$B$188:$B$190,MATCH(P135,'Scoring Method'!$A$188:$A$190,0)),1)</f>
        <v/>
      </c>
      <c r="AZ135" s="96">
        <f>AY135*U135/100</f>
        <v/>
      </c>
      <c r="BA135" s="92" t="inlineStr">
        <is>
          <t>No chain signal</t>
        </is>
      </c>
      <c r="BB135" s="94" t="n">
        <v>1</v>
      </c>
      <c r="BC135" s="103" t="inlineStr">
        <is>
          <t>Extra small 0.15-0.25 AC</t>
        </is>
      </c>
      <c r="BD135" s="94" t="n">
        <v>0.8</v>
      </c>
      <c r="BE135" s="96">
        <f>ROUND(INDEX('Scoring Method'!$B$268:$B$276,MATCH(AE135,'Scoring Method'!$A$268:$A$276,0))+INDEX('Scoring Method'!$B$280:$B$288,MATCH(AP135,'Scoring Method'!$A$280:$A$288,0))+INDEX('Scoring Method'!$B$292:$B$296,MATCH(AQ135,'Scoring Method'!$A$292:$A$296,0))+INDEX('Scoring Method'!$B$300:$B$305,MATCH(AO135,'Scoring Method'!$A$300:$A$305,0))+INDEX('Scoring Method'!$B$309:$B$314,MATCH(AX135,'Scoring Method'!$A$309:$A$314,0))+INDEX('Scoring Method'!$B$337:$B$341,MATCH(X135,'Scoring Method'!$A$337:$A$341,0))+INDEX('Scoring Method'!$B$324:$B$326,MATCH(P135,'Scoring Method'!$A$324:$A$326,0)),1)</f>
        <v/>
      </c>
      <c r="BF135" s="96">
        <f>ROUND(INDEX('Scoring Method'!$B$268:$B$276,MATCH(AE135,'Scoring Method'!$A$268:$A$276,0))*BB135*BD135+INDEX('Scoring Method'!$B$280:$B$288,MATCH(AP135,'Scoring Method'!$A$280:$A$288,0))*BM135*BB135*BD135+INDEX('Scoring Method'!$B$292:$B$296,MATCH(AQ135,'Scoring Method'!$A$292:$A$296,0))*BD135+INDEX('Scoring Method'!$B$300:$B$305,MATCH(AO135,'Scoring Method'!$A$300:$A$305,0))*BM135*BB135+INDEX('Scoring Method'!$B$309:$B$314,MATCH(AX135,'Scoring Method'!$A$309:$A$314,0))+INDEX('Scoring Method'!$B$337:$B$341,MATCH(X135,'Scoring Method'!$A$337:$A$341,0))+INDEX('Scoring Method'!$B$324:$B$326,MATCH(P135,'Scoring Method'!$A$324:$A$326,0)),1)</f>
        <v/>
      </c>
      <c r="BG135" s="92" t="inlineStr">
        <is>
          <t>Over (~$19,078/mo)</t>
        </is>
      </c>
      <c r="BH135" s="61" t="inlineStr">
        <is>
          <t>DTC (HP)</t>
        </is>
      </c>
      <c r="BI135" s="61" t="inlineStr">
        <is>
          <t>Downtown Core</t>
        </is>
      </c>
      <c r="BJ135" s="61" t="inlineStr">
        <is>
          <t>HP</t>
        </is>
      </c>
      <c r="BK135" s="61" t="inlineStr"/>
      <c r="BL135" s="61" t="inlineStr">
        <is>
          <t>Bar permitted</t>
        </is>
      </c>
      <c r="BM135" s="61">
        <f>INDEX('Scoring Method'!$B$358:$B$363,MATCH(BL135,'Scoring Method'!$A$358:$A$363,0))</f>
        <v/>
      </c>
    </row>
    <row r="136" ht="15" customHeight="1" s="62">
      <c r="A136" s="92" t="n">
        <v>135</v>
      </c>
      <c r="B136" s="92" t="inlineStr">
        <is>
          <t>040-44-18-018.00</t>
        </is>
      </c>
      <c r="C136" s="92" t="inlineStr">
        <is>
          <t>512 W PIKE ST</t>
        </is>
      </c>
      <c r="D136" s="92" t="inlineStr">
        <is>
          <t>ZENITH PETROLEUM LLC</t>
        </is>
      </c>
      <c r="E136" s="92" t="inlineStr">
        <is>
          <t>1330 FULTON RD</t>
        </is>
      </c>
      <c r="F136" s="92" t="inlineStr">
        <is>
          <t>WINCHESTER</t>
        </is>
      </c>
      <c r="G136" s="92" t="inlineStr">
        <is>
          <t>KY</t>
        </is>
      </c>
      <c r="H136" s="92" t="inlineStr">
        <is>
          <t>OTHER RETAIL</t>
        </is>
      </c>
      <c r="I136" s="93" t="n">
        <v>16617</v>
      </c>
      <c r="J136" s="94">
        <f>I136/43560</f>
        <v/>
      </c>
      <c r="K136" s="93" t="n">
        <v>513.8</v>
      </c>
      <c r="L136" s="95">
        <f>I136/(K136^2)</f>
        <v/>
      </c>
      <c r="M136" s="92" t="inlineStr">
        <is>
          <t>Near 14-18k/32-45k</t>
        </is>
      </c>
      <c r="N136" s="92" t="inlineStr">
        <is>
          <t>C</t>
        </is>
      </c>
      <c r="O136" s="92" t="inlineStr">
        <is>
          <t>Compact &gt;=.055</t>
        </is>
      </c>
      <c r="P136" s="92" t="inlineStr">
        <is>
          <t>Low</t>
        </is>
      </c>
      <c r="Q136" s="92" t="inlineStr">
        <is>
          <t>Out-of-city KY</t>
        </is>
      </c>
      <c r="R136" s="92" t="inlineStr">
        <is>
          <t>Operating entity</t>
        </is>
      </c>
      <c r="S136" s="92" t="n">
        <v>1</v>
      </c>
      <c r="T136" s="96">
        <f>INDEX('Scoring Method'!$B$6:$B$9,MATCH(M136,'Scoring Method'!$A$6:$A$9,0))+INDEX('Scoring Method'!$B$12:$B$16,MATCH(N136,'Scoring Method'!$A$12:$A$16,0))+INDEX('Scoring Method'!$B$19:$B$22,MATCH(O136,'Scoring Method'!$A$19:$A$22,0))+INDEX('Scoring Method'!$B$25:$B$27,MATCH(P136,'Scoring Method'!$A$25:$A$27,0))</f>
        <v/>
      </c>
      <c r="U136" s="96">
        <f>(INDEX('Scoring Method'!$B$30:$B$33,MATCH(Q136,'Scoring Method'!$A$30:$A$33,0))+INDEX('Scoring Method'!$B$36:$B$42,MATCH(R136,'Scoring Method'!$A$36:$A$42,0))+INDEX('Scoring Method'!$B$45:$B$47,MATCH(IF(S136=1,"1",IF(S136=2,"2","3+")),'Scoring Method'!$A$45:$A$47,0)))/90*100</f>
        <v/>
      </c>
      <c r="V136" s="96">
        <f>T136*U136/100</f>
        <v/>
      </c>
      <c r="W136" s="93" t="n">
        <v>5898</v>
      </c>
      <c r="X136" s="92" t="inlineStr">
        <is>
          <t>X (minimal hazard)</t>
        </is>
      </c>
      <c r="Y136" s="93" t="n">
        <v>8275</v>
      </c>
      <c r="Z136" s="97">
        <f>W136/I136</f>
        <v/>
      </c>
      <c r="AA136" s="98">
        <f>MAX(0,(Y136-5000)/300)</f>
        <v/>
      </c>
      <c r="AB136" s="92" t="n"/>
      <c r="AC136" s="92" t="n">
        <v>0.37</v>
      </c>
      <c r="AD136" s="92" t="inlineStr">
        <is>
          <t>ok</t>
        </is>
      </c>
      <c r="AE136" s="92" t="inlineStr">
        <is>
          <t>Large 4-6k</t>
        </is>
      </c>
      <c r="AF136" s="96">
        <f>INDEX('Scoring Method'!$B$63:$B$71,MATCH(AE136,'Scoring Method'!$A$63:$A$71,0))+INDEX('Scoring Method'!$B$75:$B$79,MATCH("Good 8-15k",'Scoring Method'!$A$75:$A$79,0))+INDEX('Scoring Method'!$B$343:$B$347,MATCH(X136,'Scoring Method'!$A$343:$A$347,0))+INDEX('Scoring Method'!$B$25:$B$27,MATCH(P136,'Scoring Method'!$A$25:$A$27,0))</f>
        <v/>
      </c>
      <c r="AG136" s="96">
        <f>AF136*U136/100</f>
        <v/>
      </c>
      <c r="AH136" s="92" t="inlineStr">
        <is>
          <t>LINK-GIS + LoopNet</t>
        </is>
      </c>
      <c r="AI136" s="99" t="n">
        <v>39.07789</v>
      </c>
      <c r="AJ136" s="99" t="n">
        <v>-84.51817</v>
      </c>
      <c r="AK136" s="94" t="n">
        <v>0.45</v>
      </c>
      <c r="AL136" s="94" t="n">
        <v>1.04</v>
      </c>
      <c r="AM136" s="94" t="n">
        <v>1.66</v>
      </c>
      <c r="AN136" s="94" t="n">
        <v>0.45</v>
      </c>
      <c r="AO136" s="92" t="inlineStr">
        <is>
          <t>Near 0.35-0.75mi</t>
        </is>
      </c>
      <c r="AP136" s="92" t="inlineStr">
        <is>
          <t>Retail shell</t>
        </is>
      </c>
      <c r="AQ136" s="92" t="inlineStr">
        <is>
          <t>Good 8-15k</t>
        </is>
      </c>
      <c r="AR136" s="100" t="n"/>
      <c r="AS136" s="96">
        <f>ROUND(INDEX('Scoring Method'!$B$63:$B$70,MATCH(AE136,'Scoring Method'!$A$63:$A$70,0))*0.625+INDEX('Scoring Method'!$B$105:$B$113,MATCH(AP136,'Scoring Method'!$A$105:$A$113,0))+INDEX('Scoring Method'!$B$74:$B$78,MATCH(AQ136,'Scoring Method'!$A$74:$A$78,0))*0.6667+INDEX('Scoring Method'!$B$96:$B$101,MATCH(AO136,'Scoring Method'!$A$96:$A$101,0))+INDEX('Scoring Method'!$B$343:$B$347,MATCH(X136,'Scoring Method'!$A$343:$A$347,0))*0.3333+INDEX('Scoring Method'!$B$25:$B$27,MATCH(P136,'Scoring Method'!$A$25:$A$27,0))*0.3333,1)</f>
        <v/>
      </c>
      <c r="AT136" s="96">
        <f>AS136*U136/100</f>
        <v/>
      </c>
      <c r="AU136" s="92" t="inlineStr">
        <is>
          <t>Old Seminary Square</t>
        </is>
      </c>
      <c r="AV136" s="92" t="n">
        <v>35</v>
      </c>
      <c r="AW136" s="101" t="inlineStr">
        <is>
          <t>ESTIMATED</t>
        </is>
      </c>
      <c r="AX136" s="92" t="inlineStr">
        <is>
          <t>Elevated 35-44</t>
        </is>
      </c>
      <c r="AY136" s="96">
        <f>ROUND(INDEX('Scoring Method'!$B$132:$B$140,MATCH(AE136,'Scoring Method'!$A$132:$A$140,0))+INDEX('Scoring Method'!$B$144:$B$152,MATCH(AP136,'Scoring Method'!$A$144:$A$152,0))+INDEX('Scoring Method'!$B$156:$B$160,MATCH(AQ136,'Scoring Method'!$A$156:$A$160,0))+INDEX('Scoring Method'!$B$164:$B$169,MATCH(AO136,'Scoring Method'!$A$164:$A$169,0))+INDEX('Scoring Method'!$B$173:$B$178,MATCH(AX136,'Scoring Method'!$A$173:$A$178,0))+INDEX('Scoring Method'!$B$349:$B$353,MATCH(X136,'Scoring Method'!$A$349:$A$353,0))+INDEX('Scoring Method'!$B$188:$B$190,MATCH(P136,'Scoring Method'!$A$188:$A$190,0)),1)</f>
        <v/>
      </c>
      <c r="AZ136" s="96">
        <f>AY136*U136/100</f>
        <v/>
      </c>
      <c r="BA136" s="92" t="inlineStr">
        <is>
          <t>No chain signal</t>
        </is>
      </c>
      <c r="BB136" s="94" t="n">
        <v>1</v>
      </c>
      <c r="BC136" s="92" t="inlineStr">
        <is>
          <t>Right-sized 0.35-0.75 AC</t>
        </is>
      </c>
      <c r="BD136" s="94" t="n">
        <v>1</v>
      </c>
      <c r="BE136" s="96">
        <f>ROUND(INDEX('Scoring Method'!$B$268:$B$276,MATCH(AE136,'Scoring Method'!$A$268:$A$276,0))+INDEX('Scoring Method'!$B$280:$B$288,MATCH(AP136,'Scoring Method'!$A$280:$A$288,0))+INDEX('Scoring Method'!$B$292:$B$296,MATCH(AQ136,'Scoring Method'!$A$292:$A$296,0))+INDEX('Scoring Method'!$B$300:$B$305,MATCH(AO136,'Scoring Method'!$A$300:$A$305,0))+INDEX('Scoring Method'!$B$309:$B$314,MATCH(AX136,'Scoring Method'!$A$309:$A$314,0))+INDEX('Scoring Method'!$B$337:$B$341,MATCH(X136,'Scoring Method'!$A$337:$A$341,0))+INDEX('Scoring Method'!$B$324:$B$326,MATCH(P136,'Scoring Method'!$A$324:$A$326,0)),1)</f>
        <v/>
      </c>
      <c r="BF136" s="96">
        <f>ROUND(INDEX('Scoring Method'!$B$268:$B$276,MATCH(AE136,'Scoring Method'!$A$268:$A$276,0))*BB136*BD136+INDEX('Scoring Method'!$B$280:$B$288,MATCH(AP136,'Scoring Method'!$A$280:$A$288,0))*BM136*BB136*BD136+INDEX('Scoring Method'!$B$292:$B$296,MATCH(AQ136,'Scoring Method'!$A$292:$A$296,0))*BD136+INDEX('Scoring Method'!$B$300:$B$305,MATCH(AO136,'Scoring Method'!$A$300:$A$305,0))*BM136*BB136+INDEX('Scoring Method'!$B$309:$B$314,MATCH(AX136,'Scoring Method'!$A$309:$A$314,0))+INDEX('Scoring Method'!$B$337:$B$341,MATCH(X136,'Scoring Method'!$A$337:$A$341,0))+INDEX('Scoring Method'!$B$324:$B$326,MATCH(P136,'Scoring Method'!$A$324:$A$326,0)),1)</f>
        <v/>
      </c>
      <c r="BG136" s="92" t="inlineStr">
        <is>
          <t>Fits (~$5,406/mo)</t>
        </is>
      </c>
      <c r="BH136" s="61" t="inlineStr">
        <is>
          <t>AUC</t>
        </is>
      </c>
      <c r="BI136" s="61" t="inlineStr">
        <is>
          <t>Auto-Urban Commercial</t>
        </is>
      </c>
      <c r="BJ136" s="61" t="inlineStr"/>
      <c r="BK136" s="61" t="inlineStr"/>
      <c r="BL136" s="61" t="inlineStr">
        <is>
          <t>Bar permitted</t>
        </is>
      </c>
      <c r="BM136" s="61">
        <f>INDEX('Scoring Method'!$B$358:$B$363,MATCH(BL136,'Scoring Method'!$A$358:$A$363,0))</f>
        <v/>
      </c>
    </row>
    <row r="137" ht="15" customHeight="1" s="62">
      <c r="A137" s="92" t="n">
        <v>136</v>
      </c>
      <c r="B137" s="92" t="inlineStr">
        <is>
          <t>055-22-10-001.02</t>
        </is>
      </c>
      <c r="C137" s="92" t="inlineStr">
        <is>
          <t>2299 BENTON RD</t>
        </is>
      </c>
      <c r="D137" s="92" t="inlineStr">
        <is>
          <t>ROMPER ROOM CHILD CARE LLC</t>
        </is>
      </c>
      <c r="E137" s="92" t="inlineStr">
        <is>
          <t>13369 WALTON VERONA RD</t>
        </is>
      </c>
      <c r="F137" s="92" t="inlineStr">
        <is>
          <t>WALTON</t>
        </is>
      </c>
      <c r="G137" s="92" t="inlineStr">
        <is>
          <t>KY</t>
        </is>
      </c>
      <c r="H137" s="92" t="inlineStr">
        <is>
          <t>DAY CARE CENTER</t>
        </is>
      </c>
      <c r="I137" s="93" t="n">
        <v>32767</v>
      </c>
      <c r="J137" s="94">
        <f>I137/43560</f>
        <v/>
      </c>
      <c r="K137" s="93" t="n">
        <v>740.5</v>
      </c>
      <c r="L137" s="95">
        <f>I137/(K137^2)</f>
        <v/>
      </c>
      <c r="M137" s="92" t="inlineStr">
        <is>
          <t>Near 14-18k/32-45k</t>
        </is>
      </c>
      <c r="N137" s="92" t="inlineStr">
        <is>
          <t>C</t>
        </is>
      </c>
      <c r="O137" s="92" t="inlineStr">
        <is>
          <t>Compact &gt;=.055</t>
        </is>
      </c>
      <c r="P137" s="92" t="inlineStr">
        <is>
          <t>Low</t>
        </is>
      </c>
      <c r="Q137" s="92" t="inlineStr">
        <is>
          <t>Out-of-city KY</t>
        </is>
      </c>
      <c r="R137" s="92" t="inlineStr">
        <is>
          <t>Operating entity</t>
        </is>
      </c>
      <c r="S137" s="92" t="n">
        <v>1</v>
      </c>
      <c r="T137" s="96">
        <f>INDEX('Scoring Method'!$B$6:$B$9,MATCH(M137,'Scoring Method'!$A$6:$A$9,0))+INDEX('Scoring Method'!$B$12:$B$16,MATCH(N137,'Scoring Method'!$A$12:$A$16,0))+INDEX('Scoring Method'!$B$19:$B$22,MATCH(O137,'Scoring Method'!$A$19:$A$22,0))+INDEX('Scoring Method'!$B$25:$B$27,MATCH(P137,'Scoring Method'!$A$25:$A$27,0))</f>
        <v/>
      </c>
      <c r="U137" s="96">
        <f>(INDEX('Scoring Method'!$B$30:$B$33,MATCH(Q137,'Scoring Method'!$A$30:$A$33,0))+INDEX('Scoring Method'!$B$36:$B$42,MATCH(R137,'Scoring Method'!$A$36:$A$42,0))+INDEX('Scoring Method'!$B$45:$B$47,MATCH(IF(S137=1,"1",IF(S137=2,"2","3+")),'Scoring Method'!$A$45:$A$47,0)))/90*100</f>
        <v/>
      </c>
      <c r="V137" s="96">
        <f>T137*U137/100</f>
        <v/>
      </c>
      <c r="W137" s="93" t="n">
        <v>2300</v>
      </c>
      <c r="X137" s="92" t="inlineStr">
        <is>
          <t>X (minimal hazard)</t>
        </is>
      </c>
      <c r="Y137" s="93" t="n">
        <v>29800</v>
      </c>
      <c r="Z137" s="97" t="n"/>
      <c r="AA137" s="98">
        <f>MAX(0,(Y137-5000)/300)</f>
        <v/>
      </c>
      <c r="AB137" s="92" t="n"/>
      <c r="AC137" s="92" t="n"/>
      <c r="AD137" s="92" t="n"/>
      <c r="AE137" s="92" t="inlineStr">
        <is>
          <t>Target 1.5-2.5k</t>
        </is>
      </c>
      <c r="AF137" s="96">
        <f>INDEX('Scoring Method'!$B$63:$B$71,MATCH(AE137,'Scoring Method'!$A$63:$A$71,0))+INDEX('Scoring Method'!$B$75:$B$79,MATCH("Ample &gt;=15k",'Scoring Method'!$A$75:$A$79,0))+INDEX('Scoring Method'!$B$343:$B$347,MATCH(X137,'Scoring Method'!$A$343:$A$347,0))+INDEX('Scoring Method'!$B$25:$B$27,MATCH(P137,'Scoring Method'!$A$25:$A$27,0))</f>
        <v/>
      </c>
      <c r="AG137" s="96">
        <f>AF137*U137/100</f>
        <v/>
      </c>
      <c r="AH137" s="92" t="inlineStr">
        <is>
          <t>LINK-GIS + LoopNet (2026-08-02)</t>
        </is>
      </c>
      <c r="AI137" s="99" t="n">
        <v>39.0583</v>
      </c>
      <c r="AJ137" s="99" t="n">
        <v>-84.51571</v>
      </c>
      <c r="AK137" s="94" t="n">
        <v>1.81</v>
      </c>
      <c r="AL137" s="94" t="n">
        <v>2.28</v>
      </c>
      <c r="AM137" s="94" t="n">
        <v>2.99</v>
      </c>
      <c r="AN137" s="94" t="n">
        <v>1.79</v>
      </c>
      <c r="AO137" s="92" t="inlineStr">
        <is>
          <t>Outer 1.25-2mi</t>
        </is>
      </c>
      <c r="AP137" s="92" t="inlineStr">
        <is>
          <t>Cellular</t>
        </is>
      </c>
      <c r="AQ137" s="92" t="inlineStr">
        <is>
          <t>Ample &gt;=15k</t>
        </is>
      </c>
      <c r="AR137" s="100" t="n"/>
      <c r="AS137" s="96">
        <f>ROUND(INDEX('Scoring Method'!$B$63:$B$70,MATCH(AE137,'Scoring Method'!$A$63:$A$70,0))*0.625+INDEX('Scoring Method'!$B$105:$B$113,MATCH(AP137,'Scoring Method'!$A$105:$A$113,0))+INDEX('Scoring Method'!$B$74:$B$78,MATCH(AQ137,'Scoring Method'!$A$74:$A$78,0))*0.6667+INDEX('Scoring Method'!$B$96:$B$101,MATCH(AO137,'Scoring Method'!$A$96:$A$101,0))+INDEX('Scoring Method'!$B$343:$B$347,MATCH(X137,'Scoring Method'!$A$343:$A$347,0))*0.3333+INDEX('Scoring Method'!$B$25:$B$27,MATCH(P137,'Scoring Method'!$A$25:$A$27,0))*0.3333,1)</f>
        <v/>
      </c>
      <c r="AT137" s="96">
        <f>AS137*U137/100</f>
        <v/>
      </c>
      <c r="AU137" s="92" t="inlineStr">
        <is>
          <t>Latonia</t>
        </is>
      </c>
      <c r="AV137" s="92" t="n">
        <v>78</v>
      </c>
      <c r="AW137" s="92" t="inlineStr">
        <is>
          <t>Sourced</t>
        </is>
      </c>
      <c r="AX137" s="92" t="inlineStr">
        <is>
          <t>Safe 70-79</t>
        </is>
      </c>
      <c r="AY137" s="96">
        <f>ROUND(INDEX('Scoring Method'!$B$132:$B$140,MATCH(AE137,'Scoring Method'!$A$132:$A$140,0))+INDEX('Scoring Method'!$B$144:$B$152,MATCH(AP137,'Scoring Method'!$A$144:$A$152,0))+INDEX('Scoring Method'!$B$156:$B$160,MATCH(AQ137,'Scoring Method'!$A$156:$A$160,0))+INDEX('Scoring Method'!$B$164:$B$169,MATCH(AO137,'Scoring Method'!$A$164:$A$169,0))+INDEX('Scoring Method'!$B$173:$B$178,MATCH(AX137,'Scoring Method'!$A$173:$A$178,0))+INDEX('Scoring Method'!$B$349:$B$353,MATCH(X137,'Scoring Method'!$A$349:$A$353,0))+INDEX('Scoring Method'!$B$188:$B$190,MATCH(P137,'Scoring Method'!$A$188:$A$190,0)),1)</f>
        <v/>
      </c>
      <c r="AZ137" s="96">
        <f>AY137*U137/100</f>
        <v/>
      </c>
      <c r="BA137" s="92" t="inlineStr">
        <is>
          <t>No chain signal</t>
        </is>
      </c>
      <c r="BB137" s="94" t="n">
        <v>1</v>
      </c>
      <c r="BC137" s="102" t="inlineStr">
        <is>
          <t>Large 0.75-1.25 AC</t>
        </is>
      </c>
      <c r="BD137" s="94" t="n">
        <v>0.9</v>
      </c>
      <c r="BE137" s="96">
        <f>ROUND(INDEX('Scoring Method'!$B$268:$B$276,MATCH(AE137,'Scoring Method'!$A$268:$A$276,0))+INDEX('Scoring Method'!$B$280:$B$288,MATCH(AP137,'Scoring Method'!$A$280:$A$288,0))+INDEX('Scoring Method'!$B$292:$B$296,MATCH(AQ137,'Scoring Method'!$A$292:$A$296,0))+INDEX('Scoring Method'!$B$300:$B$305,MATCH(AO137,'Scoring Method'!$A$300:$A$305,0))+INDEX('Scoring Method'!$B$309:$B$314,MATCH(AX137,'Scoring Method'!$A$309:$A$314,0))+INDEX('Scoring Method'!$B$337:$B$341,MATCH(X137,'Scoring Method'!$A$337:$A$341,0))+INDEX('Scoring Method'!$B$324:$B$326,MATCH(P137,'Scoring Method'!$A$324:$A$326,0)),1)</f>
        <v/>
      </c>
      <c r="BF137" s="96">
        <f>ROUND(INDEX('Scoring Method'!$B$268:$B$276,MATCH(AE137,'Scoring Method'!$A$268:$A$276,0))*BB137*BD137+INDEX('Scoring Method'!$B$280:$B$288,MATCH(AP137,'Scoring Method'!$A$280:$A$288,0))*BM137*BB137*BD137+INDEX('Scoring Method'!$B$292:$B$296,MATCH(AQ137,'Scoring Method'!$A$292:$A$296,0))*BD137+INDEX('Scoring Method'!$B$300:$B$305,MATCH(AO137,'Scoring Method'!$A$300:$A$305,0))*BM137*BB137+INDEX('Scoring Method'!$B$309:$B$314,MATCH(AX137,'Scoring Method'!$A$309:$A$314,0))+INDEX('Scoring Method'!$B$337:$B$341,MATCH(X137,'Scoring Method'!$A$337:$A$341,0))+INDEX('Scoring Method'!$B$324:$B$326,MATCH(P137,'Scoring Method'!$A$324:$A$326,0)),1)</f>
        <v/>
      </c>
      <c r="BG137" s="92" t="inlineStr">
        <is>
          <t>Fits (~$2,108/mo)</t>
        </is>
      </c>
      <c r="BH137" s="61" t="inlineStr">
        <is>
          <t>SU</t>
        </is>
      </c>
      <c r="BI137" s="61" t="inlineStr">
        <is>
          <t>Semi-Urban Residential</t>
        </is>
      </c>
      <c r="BJ137" s="61" t="inlineStr"/>
      <c r="BK137" s="61" t="inlineStr"/>
      <c r="BL137" s="61" t="inlineStr">
        <is>
          <t>SU corner unverified</t>
        </is>
      </c>
      <c r="BM137" s="61">
        <f>INDEX('Scoring Method'!$B$358:$B$363,MATCH(BL137,'Scoring Method'!$A$358:$A$363,0))</f>
        <v/>
      </c>
    </row>
    <row r="138" ht="15" customHeight="1" s="62">
      <c r="A138" s="92" t="n">
        <v>137</v>
      </c>
      <c r="B138" s="92" t="inlineStr">
        <is>
          <t>056-31-06-016.00</t>
        </is>
      </c>
      <c r="C138" s="92" t="inlineStr">
        <is>
          <t>3524 DECOURSEY AVE</t>
        </is>
      </c>
      <c r="D138" s="92" t="inlineStr">
        <is>
          <t>BOCKWEG GARY R TRUSTEE</t>
        </is>
      </c>
      <c r="E138" s="92" t="inlineStr">
        <is>
          <t>6186 GREYOAKS DR</t>
        </is>
      </c>
      <c r="F138" s="92" t="inlineStr">
        <is>
          <t>TAYLOR MILL</t>
        </is>
      </c>
      <c r="G138" s="92" t="inlineStr">
        <is>
          <t>KY</t>
        </is>
      </c>
      <c r="H138" s="92" t="inlineStr">
        <is>
          <t>RESTAURANT CAFE/BAR</t>
        </is>
      </c>
      <c r="I138" s="93" t="n">
        <v>15000</v>
      </c>
      <c r="J138" s="94">
        <f>I138/43560</f>
        <v/>
      </c>
      <c r="K138" s="93" t="n">
        <v>500</v>
      </c>
      <c r="L138" s="95">
        <f>I138/(K138^2)</f>
        <v/>
      </c>
      <c r="M138" s="92" t="inlineStr">
        <is>
          <t>Near 14-18k/32-45k</t>
        </is>
      </c>
      <c r="N138" s="92" t="inlineStr">
        <is>
          <t>C</t>
        </is>
      </c>
      <c r="O138" s="92" t="inlineStr">
        <is>
          <t>Compact &gt;=.055</t>
        </is>
      </c>
      <c r="P138" s="92" t="inlineStr">
        <is>
          <t>Low</t>
        </is>
      </c>
      <c r="Q138" s="92" t="inlineStr">
        <is>
          <t>Out-of-city KY</t>
        </is>
      </c>
      <c r="R138" s="92" t="inlineStr">
        <is>
          <t>Operating entity</t>
        </is>
      </c>
      <c r="S138" s="92" t="n">
        <v>1</v>
      </c>
      <c r="T138" s="96">
        <f>INDEX('Scoring Method'!$B$6:$B$9,MATCH(M138,'Scoring Method'!$A$6:$A$9,0))+INDEX('Scoring Method'!$B$12:$B$16,MATCH(N138,'Scoring Method'!$A$12:$A$16,0))+INDEX('Scoring Method'!$B$19:$B$22,MATCH(O138,'Scoring Method'!$A$19:$A$22,0))+INDEX('Scoring Method'!$B$25:$B$27,MATCH(P138,'Scoring Method'!$A$25:$A$27,0))</f>
        <v/>
      </c>
      <c r="U138" s="96">
        <f>(INDEX('Scoring Method'!$B$30:$B$33,MATCH(Q138,'Scoring Method'!$A$30:$A$33,0))+INDEX('Scoring Method'!$B$36:$B$42,MATCH(R138,'Scoring Method'!$A$36:$A$42,0))+INDEX('Scoring Method'!$B$45:$B$47,MATCH(IF(S138=1,"1",IF(S138=2,"2","3+")),'Scoring Method'!$A$45:$A$47,0)))/90*100</f>
        <v/>
      </c>
      <c r="V138" s="96">
        <f>T138*U138/100</f>
        <v/>
      </c>
      <c r="W138" s="93" t="n">
        <v>7136</v>
      </c>
      <c r="X138" s="92" t="inlineStr">
        <is>
          <t>X (minimal hazard)</t>
        </is>
      </c>
      <c r="Y138" s="93" t="n">
        <v>4850</v>
      </c>
      <c r="Z138" s="97" t="n"/>
      <c r="AA138" s="98">
        <f>MAX(0,(Y138-5000)/300)</f>
        <v/>
      </c>
      <c r="AB138" s="92" t="n"/>
      <c r="AC138" s="92" t="n"/>
      <c r="AD138" s="92" t="n"/>
      <c r="AE138" s="92" t="inlineStr">
        <is>
          <t>Oversize 6-12k</t>
        </is>
      </c>
      <c r="AF138" s="96">
        <f>INDEX('Scoring Method'!$B$63:$B$71,MATCH(AE138,'Scoring Method'!$A$63:$A$71,0))+INDEX('Scoring Method'!$B$75:$B$79,MATCH("Tight 2-5k",'Scoring Method'!$A$75:$A$79,0))+INDEX('Scoring Method'!$B$343:$B$347,MATCH(X138,'Scoring Method'!$A$343:$A$347,0))+INDEX('Scoring Method'!$B$25:$B$27,MATCH(P138,'Scoring Method'!$A$25:$A$27,0))</f>
        <v/>
      </c>
      <c r="AG138" s="96">
        <f>AF138*U138/100</f>
        <v/>
      </c>
      <c r="AH138" s="92" t="inlineStr">
        <is>
          <t>LINK-GIS + LoopNet (2026-08-03)</t>
        </is>
      </c>
      <c r="AI138" s="99" t="n">
        <v>39.04907</v>
      </c>
      <c r="AJ138" s="99" t="n">
        <v>-84.50275999999999</v>
      </c>
      <c r="AK138" s="94" t="n">
        <v>2.57</v>
      </c>
      <c r="AL138" s="94" t="n">
        <v>2.9</v>
      </c>
      <c r="AM138" s="94" t="n">
        <v>3.66</v>
      </c>
      <c r="AN138" s="94" t="n">
        <v>2.45</v>
      </c>
      <c r="AO138" s="92" t="inlineStr">
        <is>
          <t>Distant 2-3mi</t>
        </is>
      </c>
      <c r="AP138" s="92" t="inlineStr">
        <is>
          <t>Built-out kitchen</t>
        </is>
      </c>
      <c r="AQ138" s="92" t="inlineStr">
        <is>
          <t>Tight 2-5k</t>
        </is>
      </c>
      <c r="AR138" s="100" t="n"/>
      <c r="AS138" s="96">
        <f>ROUND(INDEX('Scoring Method'!$B$63:$B$70,MATCH(AE138,'Scoring Method'!$A$63:$A$70,0))*0.625+INDEX('Scoring Method'!$B$105:$B$113,MATCH(AP138,'Scoring Method'!$A$105:$A$113,0))+INDEX('Scoring Method'!$B$74:$B$78,MATCH(AQ138,'Scoring Method'!$A$74:$A$78,0))*0.6667+INDEX('Scoring Method'!$B$96:$B$101,MATCH(AO138,'Scoring Method'!$A$96:$A$101,0))+INDEX('Scoring Method'!$B$343:$B$347,MATCH(X138,'Scoring Method'!$A$343:$A$347,0))*0.3333+INDEX('Scoring Method'!$B$25:$B$27,MATCH(P138,'Scoring Method'!$A$25:$A$27,0))*0.3333,1)</f>
        <v/>
      </c>
      <c r="AT138" s="96">
        <f>AS138*U138/100</f>
        <v/>
      </c>
      <c r="AU138" s="92" t="inlineStr">
        <is>
          <t>Latonia</t>
        </is>
      </c>
      <c r="AV138" s="92" t="n">
        <v>78</v>
      </c>
      <c r="AW138" s="92" t="inlineStr">
        <is>
          <t>Sourced</t>
        </is>
      </c>
      <c r="AX138" s="92" t="inlineStr">
        <is>
          <t>Safe 70-79</t>
        </is>
      </c>
      <c r="AY138" s="96">
        <f>ROUND(INDEX('Scoring Method'!$B$132:$B$140,MATCH(AE138,'Scoring Method'!$A$132:$A$140,0))+INDEX('Scoring Method'!$B$144:$B$152,MATCH(AP138,'Scoring Method'!$A$144:$A$152,0))+INDEX('Scoring Method'!$B$156:$B$160,MATCH(AQ138,'Scoring Method'!$A$156:$A$160,0))+INDEX('Scoring Method'!$B$164:$B$169,MATCH(AO138,'Scoring Method'!$A$164:$A$169,0))+INDEX('Scoring Method'!$B$173:$B$178,MATCH(AX138,'Scoring Method'!$A$173:$A$178,0))+INDEX('Scoring Method'!$B$349:$B$353,MATCH(X138,'Scoring Method'!$A$349:$A$353,0))+INDEX('Scoring Method'!$B$188:$B$190,MATCH(P138,'Scoring Method'!$A$188:$A$190,0)),1)</f>
        <v/>
      </c>
      <c r="AZ138" s="96">
        <f>AY138*U138/100</f>
        <v/>
      </c>
      <c r="BA138" s="92" t="inlineStr">
        <is>
          <t>No chain signal</t>
        </is>
      </c>
      <c r="BB138" s="94" t="n">
        <v>1</v>
      </c>
      <c r="BC138" s="102" t="inlineStr">
        <is>
          <t>Small 0.25-0.35 AC</t>
        </is>
      </c>
      <c r="BD138" s="94" t="n">
        <v>0.9</v>
      </c>
      <c r="BE138" s="96">
        <f>ROUND(INDEX('Scoring Method'!$B$268:$B$276,MATCH(AE138,'Scoring Method'!$A$268:$A$276,0))+INDEX('Scoring Method'!$B$280:$B$288,MATCH(AP138,'Scoring Method'!$A$280:$A$288,0))+INDEX('Scoring Method'!$B$292:$B$296,MATCH(AQ138,'Scoring Method'!$A$292:$A$296,0))+INDEX('Scoring Method'!$B$300:$B$305,MATCH(AO138,'Scoring Method'!$A$300:$A$305,0))+INDEX('Scoring Method'!$B$309:$B$314,MATCH(AX138,'Scoring Method'!$A$309:$A$314,0))+INDEX('Scoring Method'!$B$337:$B$341,MATCH(X138,'Scoring Method'!$A$337:$A$341,0))+INDEX('Scoring Method'!$B$324:$B$326,MATCH(P138,'Scoring Method'!$A$324:$A$326,0)),1)</f>
        <v/>
      </c>
      <c r="BF138" s="96">
        <f>ROUND(INDEX('Scoring Method'!$B$268:$B$276,MATCH(AE138,'Scoring Method'!$A$268:$A$276,0))*BB138*BD138+INDEX('Scoring Method'!$B$280:$B$288,MATCH(AP138,'Scoring Method'!$A$280:$A$288,0))*BM138*BB138*BD138+INDEX('Scoring Method'!$B$292:$B$296,MATCH(AQ138,'Scoring Method'!$A$292:$A$296,0))*BD138+INDEX('Scoring Method'!$B$300:$B$305,MATCH(AO138,'Scoring Method'!$A$300:$A$305,0))*BM138*BB138+INDEX('Scoring Method'!$B$309:$B$314,MATCH(AX138,'Scoring Method'!$A$309:$A$314,0))+INDEX('Scoring Method'!$B$337:$B$341,MATCH(X138,'Scoring Method'!$A$337:$A$341,0))+INDEX('Scoring Method'!$B$324:$B$326,MATCH(P138,'Scoring Method'!$A$324:$A$326,0)),1)</f>
        <v/>
      </c>
      <c r="BG138" s="92" t="inlineStr">
        <is>
          <t>Fits (~$6,541/mo)</t>
        </is>
      </c>
      <c r="BH138" s="61" t="inlineStr">
        <is>
          <t>TUMU</t>
        </is>
      </c>
      <c r="BI138" s="61" t="inlineStr">
        <is>
          <t>Traditional Urban Mixed Use</t>
        </is>
      </c>
      <c r="BJ138" s="61" t="inlineStr"/>
      <c r="BK138" s="61" t="inlineStr"/>
      <c r="BL138" s="61" t="inlineStr">
        <is>
          <t>Bar permitted</t>
        </is>
      </c>
      <c r="BM138" s="61">
        <f>INDEX('Scoring Method'!$B$358:$B$363,MATCH(BL138,'Scoring Method'!$A$358:$A$363,0))</f>
        <v/>
      </c>
    </row>
    <row r="139" ht="15" customHeight="1" s="62">
      <c r="A139" s="92" t="n">
        <v>138</v>
      </c>
      <c r="B139" s="92" t="inlineStr">
        <is>
          <t>056-14-11-005.01</t>
        </is>
      </c>
      <c r="C139" s="92" t="inlineStr">
        <is>
          <t>3903 WINSTON AVE</t>
        </is>
      </c>
      <c r="D139" s="92" t="inlineStr">
        <is>
          <t>MCDONALDS REAL ESTATE COMPANY</t>
        </is>
      </c>
      <c r="E139" s="92" t="inlineStr">
        <is>
          <t>419 GREENUP ST</t>
        </is>
      </c>
      <c r="F139" s="92" t="inlineStr">
        <is>
          <t>COVINGTON</t>
        </is>
      </c>
      <c r="G139" s="92" t="inlineStr">
        <is>
          <t>KY</t>
        </is>
      </c>
      <c r="H139" s="92" t="inlineStr">
        <is>
          <t>FAST FOOD-DRIVE THRU REST</t>
        </is>
      </c>
      <c r="I139" s="93" t="n">
        <v>32601</v>
      </c>
      <c r="J139" s="94">
        <f>I139/43560</f>
        <v/>
      </c>
      <c r="K139" s="93" t="n">
        <v>765</v>
      </c>
      <c r="L139" s="95">
        <f>I139/(K139^2)</f>
        <v/>
      </c>
      <c r="M139" s="92" t="inlineStr">
        <is>
          <t>Near 14-18k/32-45k</t>
        </is>
      </c>
      <c r="N139" s="92" t="inlineStr">
        <is>
          <t>C</t>
        </is>
      </c>
      <c r="O139" s="92" t="inlineStr">
        <is>
          <t>Compact &gt;=.055</t>
        </is>
      </c>
      <c r="P139" s="92" t="inlineStr">
        <is>
          <t>Low</t>
        </is>
      </c>
      <c r="Q139" s="92" t="inlineStr">
        <is>
          <t>Local absentee</t>
        </is>
      </c>
      <c r="R139" s="92" t="inlineStr">
        <is>
          <t>Operating entity</t>
        </is>
      </c>
      <c r="S139" s="92" t="n">
        <v>2</v>
      </c>
      <c r="T139" s="96">
        <f>INDEX('Scoring Method'!$B$6:$B$9,MATCH(M139,'Scoring Method'!$A$6:$A$9,0))+INDEX('Scoring Method'!$B$12:$B$16,MATCH(N139,'Scoring Method'!$A$12:$A$16,0))+INDEX('Scoring Method'!$B$19:$B$22,MATCH(O139,'Scoring Method'!$A$19:$A$22,0))+INDEX('Scoring Method'!$B$25:$B$27,MATCH(P139,'Scoring Method'!$A$25:$A$27,0))</f>
        <v/>
      </c>
      <c r="U139" s="96">
        <f>(INDEX('Scoring Method'!$B$30:$B$33,MATCH(Q139,'Scoring Method'!$A$30:$A$33,0))+INDEX('Scoring Method'!$B$36:$B$42,MATCH(R139,'Scoring Method'!$A$36:$A$42,0))+INDEX('Scoring Method'!$B$45:$B$47,MATCH(IF(S139=1,"1",IF(S139=2,"2","3+")),'Scoring Method'!$A$45:$A$47,0)))/90*100</f>
        <v/>
      </c>
      <c r="V139" s="96">
        <f>T139*U139/100</f>
        <v/>
      </c>
      <c r="W139" s="93" t="n">
        <v>3935</v>
      </c>
      <c r="X139" s="92" t="inlineStr">
        <is>
          <t>X (minimal hazard)</t>
        </is>
      </c>
      <c r="Y139" s="93" t="n">
        <v>26100</v>
      </c>
      <c r="Z139" s="97">
        <f>W139/I139</f>
        <v/>
      </c>
      <c r="AA139" s="98">
        <f>MAX(0,(Y139-5000)/300)</f>
        <v/>
      </c>
      <c r="AB139" s="92" t="n"/>
      <c r="AC139" s="92" t="n">
        <v>0.8100000000000001</v>
      </c>
      <c r="AD139" s="92" t="inlineStr">
        <is>
          <t>ok</t>
        </is>
      </c>
      <c r="AE139" s="92" t="inlineStr">
        <is>
          <t>Above 2.5-4k</t>
        </is>
      </c>
      <c r="AF139" s="96">
        <f>INDEX('Scoring Method'!$B$63:$B$71,MATCH(AE139,'Scoring Method'!$A$63:$A$71,0))+INDEX('Scoring Method'!$B$75:$B$79,MATCH("Ample &gt;=15k",'Scoring Method'!$A$75:$A$79,0))+INDEX('Scoring Method'!$B$343:$B$347,MATCH(X139,'Scoring Method'!$A$343:$A$347,0))+INDEX('Scoring Method'!$B$25:$B$27,MATCH(P139,'Scoring Method'!$A$25:$A$27,0))</f>
        <v/>
      </c>
      <c r="AG139" s="96">
        <f>AF139*U139/100</f>
        <v/>
      </c>
      <c r="AH139" s="92" t="inlineStr">
        <is>
          <t>LINK-GIS + LoopNet</t>
        </is>
      </c>
      <c r="AI139" s="99" t="n">
        <v>39.04557</v>
      </c>
      <c r="AJ139" s="99" t="n">
        <v>-84.50466</v>
      </c>
      <c r="AK139" s="94" t="n">
        <v>2.77</v>
      </c>
      <c r="AL139" s="94" t="n">
        <v>3.13</v>
      </c>
      <c r="AM139" s="94" t="n">
        <v>3.89</v>
      </c>
      <c r="AN139" s="94" t="n">
        <v>2.68</v>
      </c>
      <c r="AO139" s="92" t="inlineStr">
        <is>
          <t>Distant 2-3mi</t>
        </is>
      </c>
      <c r="AP139" s="92" t="inlineStr">
        <is>
          <t>Built-out kitchen</t>
        </is>
      </c>
      <c r="AQ139" s="92" t="inlineStr">
        <is>
          <t>Ample &gt;=15k</t>
        </is>
      </c>
      <c r="AR139" s="100" t="n"/>
      <c r="AS139" s="96">
        <f>ROUND(INDEX('Scoring Method'!$B$63:$B$70,MATCH(AE139,'Scoring Method'!$A$63:$A$70,0))*0.625+INDEX('Scoring Method'!$B$105:$B$113,MATCH(AP139,'Scoring Method'!$A$105:$A$113,0))+INDEX('Scoring Method'!$B$74:$B$78,MATCH(AQ139,'Scoring Method'!$A$74:$A$78,0))*0.6667+INDEX('Scoring Method'!$B$96:$B$101,MATCH(AO139,'Scoring Method'!$A$96:$A$101,0))+INDEX('Scoring Method'!$B$343:$B$347,MATCH(X139,'Scoring Method'!$A$343:$A$347,0))*0.3333+INDEX('Scoring Method'!$B$25:$B$27,MATCH(P139,'Scoring Method'!$A$25:$A$27,0))*0.3333,1)</f>
        <v/>
      </c>
      <c r="AT139" s="96">
        <f>AS139*U139/100</f>
        <v/>
      </c>
      <c r="AU139" s="92" t="inlineStr">
        <is>
          <t>Latonia</t>
        </is>
      </c>
      <c r="AV139" s="92" t="n">
        <v>78</v>
      </c>
      <c r="AW139" s="92" t="inlineStr">
        <is>
          <t>Sourced</t>
        </is>
      </c>
      <c r="AX139" s="92" t="inlineStr">
        <is>
          <t>Safe 70-79</t>
        </is>
      </c>
      <c r="AY139" s="96">
        <f>ROUND(INDEX('Scoring Method'!$B$132:$B$140,MATCH(AE139,'Scoring Method'!$A$132:$A$140,0))+INDEX('Scoring Method'!$B$144:$B$152,MATCH(AP139,'Scoring Method'!$A$144:$A$152,0))+INDEX('Scoring Method'!$B$156:$B$160,MATCH(AQ139,'Scoring Method'!$A$156:$A$160,0))+INDEX('Scoring Method'!$B$164:$B$169,MATCH(AO139,'Scoring Method'!$A$164:$A$169,0))+INDEX('Scoring Method'!$B$173:$B$178,MATCH(AX139,'Scoring Method'!$A$173:$A$178,0))+INDEX('Scoring Method'!$B$349:$B$353,MATCH(X139,'Scoring Method'!$A$349:$A$353,0))+INDEX('Scoring Method'!$B$188:$B$190,MATCH(P139,'Scoring Method'!$A$188:$A$190,0)),1)</f>
        <v/>
      </c>
      <c r="AZ139" s="96">
        <f>AY139*U139/100</f>
        <v/>
      </c>
      <c r="BA139" s="103" t="inlineStr">
        <is>
          <t>Brand-owned / net lease</t>
        </is>
      </c>
      <c r="BB139" s="94" t="n">
        <v>0.3</v>
      </c>
      <c r="BC139" s="92" t="inlineStr">
        <is>
          <t>Right-sized 0.35-0.75 AC</t>
        </is>
      </c>
      <c r="BD139" s="94" t="n">
        <v>1</v>
      </c>
      <c r="BE139" s="96">
        <f>ROUND(INDEX('Scoring Method'!$B$268:$B$276,MATCH(AE139,'Scoring Method'!$A$268:$A$276,0))+INDEX('Scoring Method'!$B$280:$B$288,MATCH(AP139,'Scoring Method'!$A$280:$A$288,0))+INDEX('Scoring Method'!$B$292:$B$296,MATCH(AQ139,'Scoring Method'!$A$292:$A$296,0))+INDEX('Scoring Method'!$B$300:$B$305,MATCH(AO139,'Scoring Method'!$A$300:$A$305,0))+INDEX('Scoring Method'!$B$309:$B$314,MATCH(AX139,'Scoring Method'!$A$309:$A$314,0))+INDEX('Scoring Method'!$B$337:$B$341,MATCH(X139,'Scoring Method'!$A$337:$A$341,0))+INDEX('Scoring Method'!$B$324:$B$326,MATCH(P139,'Scoring Method'!$A$324:$A$326,0)),1)</f>
        <v/>
      </c>
      <c r="BF139" s="96">
        <f>ROUND(INDEX('Scoring Method'!$B$268:$B$276,MATCH(AE139,'Scoring Method'!$A$268:$A$276,0))*BB139*BD139+INDEX('Scoring Method'!$B$280:$B$288,MATCH(AP139,'Scoring Method'!$A$280:$A$288,0))*BM139*BB139*BD139+INDEX('Scoring Method'!$B$292:$B$296,MATCH(AQ139,'Scoring Method'!$A$292:$A$296,0))*BD139+INDEX('Scoring Method'!$B$300:$B$305,MATCH(AO139,'Scoring Method'!$A$300:$A$305,0))*BM139*BB139+INDEX('Scoring Method'!$B$309:$B$314,MATCH(AX139,'Scoring Method'!$A$309:$A$314,0))+INDEX('Scoring Method'!$B$337:$B$341,MATCH(X139,'Scoring Method'!$A$337:$A$341,0))+INDEX('Scoring Method'!$B$324:$B$326,MATCH(P139,'Scoring Method'!$A$324:$A$326,0)),1)</f>
        <v/>
      </c>
      <c r="BG139" s="92" t="inlineStr">
        <is>
          <t>Fits (~$3,607/mo)</t>
        </is>
      </c>
      <c r="BH139" s="61" t="inlineStr">
        <is>
          <t>TUMU</t>
        </is>
      </c>
      <c r="BI139" s="61" t="inlineStr">
        <is>
          <t>Traditional Urban Mixed Use</t>
        </is>
      </c>
      <c r="BJ139" s="61" t="inlineStr"/>
      <c r="BK139" s="61" t="inlineStr"/>
      <c r="BL139" s="61" t="inlineStr">
        <is>
          <t>Bar permitted</t>
        </is>
      </c>
      <c r="BM139" s="61">
        <f>INDEX('Scoring Method'!$B$358:$B$363,MATCH(BL139,'Scoring Method'!$A$358:$A$363,0))</f>
        <v/>
      </c>
    </row>
    <row r="140" ht="15" customHeight="1" s="62">
      <c r="A140" s="92" t="n">
        <v>139</v>
      </c>
      <c r="B140" s="92" t="inlineStr">
        <is>
          <t>054-23-02-001.01</t>
        </is>
      </c>
      <c r="C140" s="92" t="inlineStr">
        <is>
          <t>102 8TH ST W</t>
        </is>
      </c>
      <c r="D140" s="92" t="inlineStr">
        <is>
          <t>PIKE PARTNERS LLC</t>
        </is>
      </c>
      <c r="E140" s="92" t="inlineStr">
        <is>
          <t>419 GREENUP ST</t>
        </is>
      </c>
      <c r="F140" s="92" t="inlineStr">
        <is>
          <t>COVINGTON</t>
        </is>
      </c>
      <c r="G140" s="92" t="inlineStr">
        <is>
          <t>KY</t>
        </is>
      </c>
      <c r="H140" s="92" t="inlineStr">
        <is>
          <t>PAVED LOT</t>
        </is>
      </c>
      <c r="I140" s="93" t="n">
        <v>23787</v>
      </c>
      <c r="J140" s="94">
        <f>I140/43560</f>
        <v/>
      </c>
      <c r="K140" s="93" t="n">
        <v>743.7</v>
      </c>
      <c r="L140" s="95">
        <f>I140/(K140^2)</f>
        <v/>
      </c>
      <c r="M140" s="92" t="inlineStr">
        <is>
          <t>Ideal 18-32k</t>
        </is>
      </c>
      <c r="N140" s="92" t="inlineStr">
        <is>
          <t>D</t>
        </is>
      </c>
      <c r="O140" s="92" t="inlineStr">
        <is>
          <t>Elongated .035-.045</t>
        </is>
      </c>
      <c r="P140" s="92" t="inlineStr">
        <is>
          <t>Low</t>
        </is>
      </c>
      <c r="Q140" s="92" t="inlineStr">
        <is>
          <t>Local absentee</t>
        </is>
      </c>
      <c r="R140" s="92" t="inlineStr">
        <is>
          <t>Passive vehicle</t>
        </is>
      </c>
      <c r="S140" s="92" t="n">
        <v>1</v>
      </c>
      <c r="T140" s="96">
        <f>INDEX('Scoring Method'!$B$6:$B$9,MATCH(M140,'Scoring Method'!$A$6:$A$9,0))+INDEX('Scoring Method'!$B$12:$B$16,MATCH(N140,'Scoring Method'!$A$12:$A$16,0))+INDEX('Scoring Method'!$B$19:$B$22,MATCH(O140,'Scoring Method'!$A$19:$A$22,0))+INDEX('Scoring Method'!$B$25:$B$27,MATCH(P140,'Scoring Method'!$A$25:$A$27,0))</f>
        <v/>
      </c>
      <c r="U140" s="96">
        <f>(INDEX('Scoring Method'!$B$30:$B$33,MATCH(Q140,'Scoring Method'!$A$30:$A$33,0))+INDEX('Scoring Method'!$B$36:$B$42,MATCH(R140,'Scoring Method'!$A$36:$A$42,0))+INDEX('Scoring Method'!$B$45:$B$47,MATCH(IF(S140=1,"1",IF(S140=2,"2","3+")),'Scoring Method'!$A$45:$A$47,0)))/90*100</f>
        <v/>
      </c>
      <c r="V140" s="96">
        <f>T140*U140/100</f>
        <v/>
      </c>
      <c r="W140" s="93" t="n"/>
      <c r="X140" s="92" t="inlineStr">
        <is>
          <t>X (minimal hazard)</t>
        </is>
      </c>
      <c r="Y140" s="93" t="n">
        <v>23550</v>
      </c>
      <c r="Z140" s="97" t="n"/>
      <c r="AA140" s="98" t="n"/>
      <c r="AB140" s="92" t="n"/>
      <c r="AC140" s="92" t="n">
        <v>0.37</v>
      </c>
      <c r="AD140" s="102" t="inlineStr">
        <is>
          <t>CHECK</t>
        </is>
      </c>
      <c r="AE140" s="92" t="inlineStr">
        <is>
          <t>No building</t>
        </is>
      </c>
      <c r="AF140" s="96">
        <f>INDEX('Scoring Method'!$B$63:$B$71,MATCH(AE140,'Scoring Method'!$A$63:$A$71,0))+INDEX('Scoring Method'!$B$75:$B$79,MATCH("Ample &gt;=15k",'Scoring Method'!$A$75:$A$79,0))+INDEX('Scoring Method'!$B$343:$B$347,MATCH(X140,'Scoring Method'!$A$343:$A$347,0))+INDEX('Scoring Method'!$B$25:$B$27,MATCH(P140,'Scoring Method'!$A$25:$A$27,0))</f>
        <v/>
      </c>
      <c r="AG140" s="96">
        <f>AF140*U140/100</f>
        <v/>
      </c>
      <c r="AH140" s="92" t="inlineStr">
        <is>
          <t>LINK-GIS + LoopNet</t>
        </is>
      </c>
      <c r="AI140" s="99" t="n">
        <v>39.08153</v>
      </c>
      <c r="AJ140" s="99" t="n">
        <v>-84.51154</v>
      </c>
      <c r="AK140" s="94" t="n">
        <v>0.39</v>
      </c>
      <c r="AL140" s="94" t="n">
        <v>0.67</v>
      </c>
      <c r="AM140" s="94" t="n">
        <v>1.38</v>
      </c>
      <c r="AN140" s="94" t="n">
        <v>0.17</v>
      </c>
      <c r="AO140" s="92" t="inlineStr">
        <is>
          <t>Core &lt;=0.35mi</t>
        </is>
      </c>
      <c r="AP140" s="92" t="inlineStr">
        <is>
          <t>Lot / minimal bldg</t>
        </is>
      </c>
      <c r="AQ140" s="92" t="inlineStr">
        <is>
          <t>Ample &gt;=15k</t>
        </is>
      </c>
      <c r="AR140" s="100" t="n"/>
      <c r="AS140" s="96">
        <f>ROUND(INDEX('Scoring Method'!$B$63:$B$70,MATCH(AE140,'Scoring Method'!$A$63:$A$70,0))*0.625+INDEX('Scoring Method'!$B$105:$B$113,MATCH(AP140,'Scoring Method'!$A$105:$A$113,0))+INDEX('Scoring Method'!$B$74:$B$78,MATCH(AQ140,'Scoring Method'!$A$74:$A$78,0))*0.6667+INDEX('Scoring Method'!$B$96:$B$101,MATCH(AO140,'Scoring Method'!$A$96:$A$101,0))+INDEX('Scoring Method'!$B$343:$B$347,MATCH(X140,'Scoring Method'!$A$343:$A$347,0))*0.3333+INDEX('Scoring Method'!$B$25:$B$27,MATCH(P140,'Scoring Method'!$A$25:$A$27,0))*0.3333,1)</f>
        <v/>
      </c>
      <c r="AT140" s="96">
        <f>AS140*U140/100</f>
        <v/>
      </c>
      <c r="AU140" s="92" t="inlineStr">
        <is>
          <t>Central Business District</t>
        </is>
      </c>
      <c r="AV140" s="92" t="n">
        <v>48</v>
      </c>
      <c r="AW140" s="101" t="inlineStr">
        <is>
          <t>ESTIMATED</t>
        </is>
      </c>
      <c r="AX140" s="92" t="inlineStr">
        <is>
          <t>Mixed 45-59</t>
        </is>
      </c>
      <c r="AY140" s="96">
        <f>ROUND(INDEX('Scoring Method'!$B$132:$B$140,MATCH(AE140,'Scoring Method'!$A$132:$A$140,0))+INDEX('Scoring Method'!$B$144:$B$152,MATCH(AP140,'Scoring Method'!$A$144:$A$152,0))+INDEX('Scoring Method'!$B$156:$B$160,MATCH(AQ140,'Scoring Method'!$A$156:$A$160,0))+INDEX('Scoring Method'!$B$164:$B$169,MATCH(AO140,'Scoring Method'!$A$164:$A$169,0))+INDEX('Scoring Method'!$B$173:$B$178,MATCH(AX140,'Scoring Method'!$A$173:$A$178,0))+INDEX('Scoring Method'!$B$349:$B$353,MATCH(X140,'Scoring Method'!$A$349:$A$353,0))+INDEX('Scoring Method'!$B$188:$B$190,MATCH(P140,'Scoring Method'!$A$188:$A$190,0)),1)</f>
        <v/>
      </c>
      <c r="AZ140" s="96">
        <f>AY140*U140/100</f>
        <v/>
      </c>
      <c r="BA140" s="92" t="inlineStr">
        <is>
          <t>No chain signal</t>
        </is>
      </c>
      <c r="BB140" s="94" t="n">
        <v>1</v>
      </c>
      <c r="BC140" s="92" t="inlineStr">
        <is>
          <t>Right-sized 0.35-0.75 AC</t>
        </is>
      </c>
      <c r="BD140" s="94" t="n">
        <v>1</v>
      </c>
      <c r="BE140" s="96">
        <f>ROUND(INDEX('Scoring Method'!$B$268:$B$276,MATCH(AE140,'Scoring Method'!$A$268:$A$276,0))+INDEX('Scoring Method'!$B$280:$B$288,MATCH(AP140,'Scoring Method'!$A$280:$A$288,0))+INDEX('Scoring Method'!$B$292:$B$296,MATCH(AQ140,'Scoring Method'!$A$292:$A$296,0))+INDEX('Scoring Method'!$B$300:$B$305,MATCH(AO140,'Scoring Method'!$A$300:$A$305,0))+INDEX('Scoring Method'!$B$309:$B$314,MATCH(AX140,'Scoring Method'!$A$309:$A$314,0))+INDEX('Scoring Method'!$B$337:$B$341,MATCH(X140,'Scoring Method'!$A$337:$A$341,0))+INDEX('Scoring Method'!$B$324:$B$326,MATCH(P140,'Scoring Method'!$A$324:$A$326,0)),1)</f>
        <v/>
      </c>
      <c r="BF140" s="96">
        <f>ROUND(INDEX('Scoring Method'!$B$268:$B$276,MATCH(AE140,'Scoring Method'!$A$268:$A$276,0))*BB140*BD140+INDEX('Scoring Method'!$B$280:$B$288,MATCH(AP140,'Scoring Method'!$A$280:$A$288,0))*BM140*BB140*BD140+INDEX('Scoring Method'!$B$292:$B$296,MATCH(AQ140,'Scoring Method'!$A$292:$A$296,0))*BD140+INDEX('Scoring Method'!$B$300:$B$305,MATCH(AO140,'Scoring Method'!$A$300:$A$305,0))*BM140*BB140+INDEX('Scoring Method'!$B$309:$B$314,MATCH(AX140,'Scoring Method'!$A$309:$A$314,0))+INDEX('Scoring Method'!$B$337:$B$341,MATCH(X140,'Scoring Method'!$A$337:$A$341,0))+INDEX('Scoring Method'!$B$324:$B$326,MATCH(P140,'Scoring Method'!$A$324:$A$326,0)),1)</f>
        <v/>
      </c>
      <c r="BG140" s="92" t="n"/>
      <c r="BH140" s="61" t="inlineStr">
        <is>
          <t>DTC (HP)</t>
        </is>
      </c>
      <c r="BI140" s="61" t="inlineStr">
        <is>
          <t>Downtown Core</t>
        </is>
      </c>
      <c r="BJ140" s="61" t="inlineStr">
        <is>
          <t>HP</t>
        </is>
      </c>
      <c r="BK140" s="61" t="inlineStr"/>
      <c r="BL140" s="61" t="inlineStr">
        <is>
          <t>Bar permitted</t>
        </is>
      </c>
      <c r="BM140" s="61">
        <f>INDEX('Scoring Method'!$B$358:$B$363,MATCH(BL140,'Scoring Method'!$A$358:$A$363,0))</f>
        <v/>
      </c>
    </row>
    <row r="141" ht="15" customHeight="1" s="62">
      <c r="A141" s="92" t="n">
        <v>140</v>
      </c>
      <c r="B141" s="92" t="inlineStr">
        <is>
          <t>056-13-16-011.00</t>
        </is>
      </c>
      <c r="C141" s="92" t="inlineStr">
        <is>
          <t>3309 DECOURSEY AVE</t>
        </is>
      </c>
      <c r="D141" s="92" t="inlineStr">
        <is>
          <t>VENTURA JORGE V MENDEZ</t>
        </is>
      </c>
      <c r="E141" s="92" t="inlineStr">
        <is>
          <t>201 E 7TH ST</t>
        </is>
      </c>
      <c r="F141" s="92" t="inlineStr">
        <is>
          <t>NEWPORT</t>
        </is>
      </c>
      <c r="G141" s="92" t="inlineStr">
        <is>
          <t>KY</t>
        </is>
      </c>
      <c r="H141" s="92" t="inlineStr">
        <is>
          <t>USED CAR LOT</t>
        </is>
      </c>
      <c r="I141" s="93" t="n">
        <v>11870</v>
      </c>
      <c r="J141" s="94">
        <f>I141/43560</f>
        <v/>
      </c>
      <c r="K141" s="93" t="n">
        <v>483.4</v>
      </c>
      <c r="L141" s="95">
        <f>I141/(K141^2)</f>
        <v/>
      </c>
      <c r="M141" s="92" t="inlineStr">
        <is>
          <t>Marginal 10-14k/45-60k</t>
        </is>
      </c>
      <c r="N141" s="92" t="inlineStr">
        <is>
          <t>C</t>
        </is>
      </c>
      <c r="O141" s="92" t="inlineStr">
        <is>
          <t>Regular .045-.055</t>
        </is>
      </c>
      <c r="P141" s="92" t="inlineStr">
        <is>
          <t>Moderate</t>
        </is>
      </c>
      <c r="Q141" s="92" t="inlineStr">
        <is>
          <t>Out-of-city KY</t>
        </is>
      </c>
      <c r="R141" s="92" t="inlineStr">
        <is>
          <t>Individual</t>
        </is>
      </c>
      <c r="S141" s="92" t="n">
        <v>1</v>
      </c>
      <c r="T141" s="96">
        <f>INDEX('Scoring Method'!$B$6:$B$9,MATCH(M141,'Scoring Method'!$A$6:$A$9,0))+INDEX('Scoring Method'!$B$12:$B$16,MATCH(N141,'Scoring Method'!$A$12:$A$16,0))+INDEX('Scoring Method'!$B$19:$B$22,MATCH(O141,'Scoring Method'!$A$19:$A$22,0))+INDEX('Scoring Method'!$B$25:$B$27,MATCH(P141,'Scoring Method'!$A$25:$A$27,0))</f>
        <v/>
      </c>
      <c r="U141" s="96">
        <f>(INDEX('Scoring Method'!$B$30:$B$33,MATCH(Q141,'Scoring Method'!$A$30:$A$33,0))+INDEX('Scoring Method'!$B$36:$B$42,MATCH(R141,'Scoring Method'!$A$36:$A$42,0))+INDEX('Scoring Method'!$B$45:$B$47,MATCH(IF(S141=1,"1",IF(S141=2,"2","3+")),'Scoring Method'!$A$45:$A$47,0)))/90*100</f>
        <v/>
      </c>
      <c r="V141" s="96">
        <f>T141*U141/100</f>
        <v/>
      </c>
      <c r="W141" s="93" t="n">
        <v>1275</v>
      </c>
      <c r="X141" s="92" t="inlineStr">
        <is>
          <t>X (minimal hazard)</t>
        </is>
      </c>
      <c r="Y141" s="93" t="n">
        <v>9875</v>
      </c>
      <c r="Z141" s="97" t="n"/>
      <c r="AA141" s="98">
        <f>MAX(0,(Y141-5000)/300)</f>
        <v/>
      </c>
      <c r="AB141" s="92" t="n"/>
      <c r="AC141" s="92" t="n"/>
      <c r="AD141" s="92" t="n"/>
      <c r="AE141" s="92" t="inlineStr">
        <is>
          <t>Below 1.2-1.5k</t>
        </is>
      </c>
      <c r="AF141" s="96">
        <f>INDEX('Scoring Method'!$B$63:$B$71,MATCH(AE141,'Scoring Method'!$A$63:$A$71,0))+INDEX('Scoring Method'!$B$75:$B$79,MATCH("Good 8-15k",'Scoring Method'!$A$75:$A$79,0))+INDEX('Scoring Method'!$B$343:$B$347,MATCH(X141,'Scoring Method'!$A$343:$A$347,0))+INDEX('Scoring Method'!$B$25:$B$27,MATCH(P141,'Scoring Method'!$A$25:$A$27,0))</f>
        <v/>
      </c>
      <c r="AG141" s="96">
        <f>AF141*U141/100</f>
        <v/>
      </c>
      <c r="AH141" s="92" t="inlineStr">
        <is>
          <t>LINK-GIS + LoopNet (2026-08-03)</t>
        </is>
      </c>
      <c r="AI141" s="99" t="n">
        <v>39.05073</v>
      </c>
      <c r="AJ141" s="99" t="n">
        <v>-84.50345</v>
      </c>
      <c r="AK141" s="94" t="n">
        <v>2.45</v>
      </c>
      <c r="AL141" s="94" t="n">
        <v>2.78</v>
      </c>
      <c r="AM141" s="94" t="n">
        <v>3.54</v>
      </c>
      <c r="AN141" s="94" t="n">
        <v>2.33</v>
      </c>
      <c r="AO141" s="92" t="inlineStr">
        <is>
          <t>Distant 2-3mi</t>
        </is>
      </c>
      <c r="AP141" s="92" t="inlineStr">
        <is>
          <t>Lot / minimal bldg</t>
        </is>
      </c>
      <c r="AQ141" s="92" t="inlineStr">
        <is>
          <t>Good 8-15k</t>
        </is>
      </c>
      <c r="AR141" s="100" t="n"/>
      <c r="AS141" s="96">
        <f>ROUND(INDEX('Scoring Method'!$B$63:$B$70,MATCH(AE141,'Scoring Method'!$A$63:$A$70,0))*0.625+INDEX('Scoring Method'!$B$105:$B$113,MATCH(AP141,'Scoring Method'!$A$105:$A$113,0))+INDEX('Scoring Method'!$B$74:$B$78,MATCH(AQ141,'Scoring Method'!$A$74:$A$78,0))*0.6667+INDEX('Scoring Method'!$B$96:$B$101,MATCH(AO141,'Scoring Method'!$A$96:$A$101,0))+INDEX('Scoring Method'!$B$343:$B$347,MATCH(X141,'Scoring Method'!$A$343:$A$347,0))*0.3333+INDEX('Scoring Method'!$B$25:$B$27,MATCH(P141,'Scoring Method'!$A$25:$A$27,0))*0.3333,1)</f>
        <v/>
      </c>
      <c r="AT141" s="96">
        <f>AS141*U141/100</f>
        <v/>
      </c>
      <c r="AU141" s="92" t="inlineStr">
        <is>
          <t>Latonia</t>
        </is>
      </c>
      <c r="AV141" s="92" t="n">
        <v>78</v>
      </c>
      <c r="AW141" s="92" t="inlineStr">
        <is>
          <t>Sourced</t>
        </is>
      </c>
      <c r="AX141" s="92" t="inlineStr">
        <is>
          <t>Safe 70-79</t>
        </is>
      </c>
      <c r="AY141" s="96">
        <f>ROUND(INDEX('Scoring Method'!$B$132:$B$140,MATCH(AE141,'Scoring Method'!$A$132:$A$140,0))+INDEX('Scoring Method'!$B$144:$B$152,MATCH(AP141,'Scoring Method'!$A$144:$A$152,0))+INDEX('Scoring Method'!$B$156:$B$160,MATCH(AQ141,'Scoring Method'!$A$156:$A$160,0))+INDEX('Scoring Method'!$B$164:$B$169,MATCH(AO141,'Scoring Method'!$A$164:$A$169,0))+INDEX('Scoring Method'!$B$173:$B$178,MATCH(AX141,'Scoring Method'!$A$173:$A$178,0))+INDEX('Scoring Method'!$B$349:$B$353,MATCH(X141,'Scoring Method'!$A$349:$A$353,0))+INDEX('Scoring Method'!$B$188:$B$190,MATCH(P141,'Scoring Method'!$A$188:$A$190,0)),1)</f>
        <v/>
      </c>
      <c r="AZ141" s="96">
        <f>AY141*U141/100</f>
        <v/>
      </c>
      <c r="BA141" s="92" t="inlineStr">
        <is>
          <t>No chain signal</t>
        </is>
      </c>
      <c r="BB141" s="94" t="n">
        <v>1</v>
      </c>
      <c r="BC141" s="102" t="inlineStr">
        <is>
          <t>Small 0.25-0.35 AC</t>
        </is>
      </c>
      <c r="BD141" s="94" t="n">
        <v>0.9</v>
      </c>
      <c r="BE141" s="96">
        <f>ROUND(INDEX('Scoring Method'!$B$268:$B$276,MATCH(AE141,'Scoring Method'!$A$268:$A$276,0))+INDEX('Scoring Method'!$B$280:$B$288,MATCH(AP141,'Scoring Method'!$A$280:$A$288,0))+INDEX('Scoring Method'!$B$292:$B$296,MATCH(AQ141,'Scoring Method'!$A$292:$A$296,0))+INDEX('Scoring Method'!$B$300:$B$305,MATCH(AO141,'Scoring Method'!$A$300:$A$305,0))+INDEX('Scoring Method'!$B$309:$B$314,MATCH(AX141,'Scoring Method'!$A$309:$A$314,0))+INDEX('Scoring Method'!$B$337:$B$341,MATCH(X141,'Scoring Method'!$A$337:$A$341,0))+INDEX('Scoring Method'!$B$324:$B$326,MATCH(P141,'Scoring Method'!$A$324:$A$326,0)),1)</f>
        <v/>
      </c>
      <c r="BF141" s="96">
        <f>ROUND(INDEX('Scoring Method'!$B$268:$B$276,MATCH(AE141,'Scoring Method'!$A$268:$A$276,0))*BB141*BD141+INDEX('Scoring Method'!$B$280:$B$288,MATCH(AP141,'Scoring Method'!$A$280:$A$288,0))*BM141*BB141*BD141+INDEX('Scoring Method'!$B$292:$B$296,MATCH(AQ141,'Scoring Method'!$A$292:$A$296,0))*BD141+INDEX('Scoring Method'!$B$300:$B$305,MATCH(AO141,'Scoring Method'!$A$300:$A$305,0))*BM141*BB141+INDEX('Scoring Method'!$B$309:$B$314,MATCH(AX141,'Scoring Method'!$A$309:$A$314,0))+INDEX('Scoring Method'!$B$337:$B$341,MATCH(X141,'Scoring Method'!$A$337:$A$341,0))+INDEX('Scoring Method'!$B$324:$B$326,MATCH(P141,'Scoring Method'!$A$324:$A$326,0)),1)</f>
        <v/>
      </c>
      <c r="BG141" s="92" t="inlineStr">
        <is>
          <t>Fits (~$1,169/mo)</t>
        </is>
      </c>
      <c r="BH141" s="61" t="inlineStr">
        <is>
          <t>TUMU</t>
        </is>
      </c>
      <c r="BI141" s="61" t="inlineStr">
        <is>
          <t>Traditional Urban Mixed Use</t>
        </is>
      </c>
      <c r="BJ141" s="61" t="inlineStr"/>
      <c r="BK141" s="61" t="inlineStr"/>
      <c r="BL141" s="61" t="inlineStr">
        <is>
          <t>Bar permitted</t>
        </is>
      </c>
      <c r="BM141" s="61">
        <f>INDEX('Scoring Method'!$B$358:$B$363,MATCH(BL141,'Scoring Method'!$A$358:$A$363,0))</f>
        <v/>
      </c>
    </row>
    <row r="142" ht="15" customHeight="1" s="62">
      <c r="A142" s="92" t="n">
        <v>141</v>
      </c>
      <c r="B142" s="92" t="inlineStr">
        <is>
          <t>055-23-07-012.00</t>
        </is>
      </c>
      <c r="C142" s="92" t="inlineStr">
        <is>
          <t>2232 HOWELL ST</t>
        </is>
      </c>
      <c r="D142" s="92" t="inlineStr">
        <is>
          <t>COVINGTON FIREFIGHTERS ASSN</t>
        </is>
      </c>
      <c r="E142" s="92" t="inlineStr">
        <is>
          <t>2232 HOWELL ST</t>
        </is>
      </c>
      <c r="F142" s="92" t="inlineStr">
        <is>
          <t>COVINGTON</t>
        </is>
      </c>
      <c r="G142" s="92" t="inlineStr">
        <is>
          <t>KY</t>
        </is>
      </c>
      <c r="H142" s="92" t="inlineStr">
        <is>
          <t>ORGANIZATIONAL MEETING HALL</t>
        </is>
      </c>
      <c r="I142" s="93" t="n">
        <v>23399</v>
      </c>
      <c r="J142" s="94">
        <f>I142/43560</f>
        <v/>
      </c>
      <c r="K142" s="93" t="n">
        <v>613.5</v>
      </c>
      <c r="L142" s="95">
        <f>I142/(K142^2)</f>
        <v/>
      </c>
      <c r="M142" s="92" t="inlineStr">
        <is>
          <t>Ideal 18-32k</t>
        </is>
      </c>
      <c r="N142" s="92" t="inlineStr">
        <is>
          <t>B</t>
        </is>
      </c>
      <c r="O142" s="92" t="inlineStr">
        <is>
          <t>Compact &gt;=.055</t>
        </is>
      </c>
      <c r="P142" s="92" t="inlineStr">
        <is>
          <t>Low</t>
        </is>
      </c>
      <c r="Q142" s="92" t="inlineStr">
        <is>
          <t>Owner-occupied</t>
        </is>
      </c>
      <c r="R142" s="92" t="inlineStr">
        <is>
          <t>Fraternal/Club</t>
        </is>
      </c>
      <c r="S142" s="92" t="n">
        <v>1</v>
      </c>
      <c r="T142" s="96">
        <f>INDEX('Scoring Method'!$B$6:$B$9,MATCH(M142,'Scoring Method'!$A$6:$A$9,0))+INDEX('Scoring Method'!$B$12:$B$16,MATCH(N142,'Scoring Method'!$A$12:$A$16,0))+INDEX('Scoring Method'!$B$19:$B$22,MATCH(O142,'Scoring Method'!$A$19:$A$22,0))+INDEX('Scoring Method'!$B$25:$B$27,MATCH(P142,'Scoring Method'!$A$25:$A$27,0))</f>
        <v/>
      </c>
      <c r="U142" s="96">
        <f>(INDEX('Scoring Method'!$B$30:$B$33,MATCH(Q142,'Scoring Method'!$A$30:$A$33,0))+INDEX('Scoring Method'!$B$36:$B$42,MATCH(R142,'Scoring Method'!$A$36:$A$42,0))+INDEX('Scoring Method'!$B$45:$B$47,MATCH(IF(S142=1,"1",IF(S142=2,"2","3+")),'Scoring Method'!$A$45:$A$47,0)))/90*100</f>
        <v/>
      </c>
      <c r="V142" s="96">
        <f>T142*U142/100</f>
        <v/>
      </c>
      <c r="W142" s="93" t="n">
        <v>4524</v>
      </c>
      <c r="X142" s="92" t="inlineStr">
        <is>
          <t>X (minimal hazard)</t>
        </is>
      </c>
      <c r="Y142" s="93" t="n">
        <v>18400</v>
      </c>
      <c r="Z142" s="97" t="n"/>
      <c r="AA142" s="98">
        <f>MAX(0,(Y142-5000)/300)</f>
        <v/>
      </c>
      <c r="AB142" s="92" t="n"/>
      <c r="AC142" s="92" t="n"/>
      <c r="AD142" s="92" t="n"/>
      <c r="AE142" s="92" t="inlineStr">
        <is>
          <t>Large 4-6k</t>
        </is>
      </c>
      <c r="AF142" s="96">
        <f>INDEX('Scoring Method'!$B$63:$B$71,MATCH(AE142,'Scoring Method'!$A$63:$A$71,0))+INDEX('Scoring Method'!$B$75:$B$79,MATCH("Ample &gt;=15k",'Scoring Method'!$A$75:$A$79,0))+INDEX('Scoring Method'!$B$343:$B$347,MATCH(X142,'Scoring Method'!$A$343:$A$347,0))+INDEX('Scoring Method'!$B$25:$B$27,MATCH(P142,'Scoring Method'!$A$25:$A$27,0))</f>
        <v/>
      </c>
      <c r="AG142" s="96">
        <f>AF142*U142/100</f>
        <v/>
      </c>
      <c r="AH142" s="92" t="inlineStr">
        <is>
          <t>LINK-GIS only</t>
        </is>
      </c>
      <c r="AI142" s="99" t="n">
        <v>39.06282</v>
      </c>
      <c r="AJ142" s="99" t="n">
        <v>-84.50918</v>
      </c>
      <c r="AK142" s="94" t="n">
        <v>1.56</v>
      </c>
      <c r="AL142" s="94" t="n">
        <v>1.94</v>
      </c>
      <c r="AM142" s="94" t="n">
        <v>2.68</v>
      </c>
      <c r="AN142" s="94" t="n">
        <v>1.46</v>
      </c>
      <c r="AO142" s="92" t="inlineStr">
        <is>
          <t>Outer 1.25-2mi</t>
        </is>
      </c>
      <c r="AP142" s="92" t="inlineStr">
        <is>
          <t>Assembly hall</t>
        </is>
      </c>
      <c r="AQ142" s="92" t="inlineStr">
        <is>
          <t>Ample &gt;=15k</t>
        </is>
      </c>
      <c r="AR142" s="100" t="n"/>
      <c r="AS142" s="96">
        <f>ROUND(INDEX('Scoring Method'!$B$63:$B$70,MATCH(AE142,'Scoring Method'!$A$63:$A$70,0))*0.625+INDEX('Scoring Method'!$B$105:$B$113,MATCH(AP142,'Scoring Method'!$A$105:$A$113,0))+INDEX('Scoring Method'!$B$74:$B$78,MATCH(AQ142,'Scoring Method'!$A$74:$A$78,0))*0.6667+INDEX('Scoring Method'!$B$96:$B$101,MATCH(AO142,'Scoring Method'!$A$96:$A$101,0))+INDEX('Scoring Method'!$B$343:$B$347,MATCH(X142,'Scoring Method'!$A$343:$A$347,0))*0.3333+INDEX('Scoring Method'!$B$25:$B$27,MATCH(P142,'Scoring Method'!$A$25:$A$27,0))*0.3333,1)</f>
        <v/>
      </c>
      <c r="AT142" s="96">
        <f>AS142*U142/100</f>
        <v/>
      </c>
      <c r="AU142" s="92" t="inlineStr">
        <is>
          <t>Levassor Park</t>
        </is>
      </c>
      <c r="AV142" s="92" t="n">
        <v>42</v>
      </c>
      <c r="AW142" s="101" t="inlineStr">
        <is>
          <t>ESTIMATED</t>
        </is>
      </c>
      <c r="AX142" s="92" t="inlineStr">
        <is>
          <t>Elevated 35-44</t>
        </is>
      </c>
      <c r="AY142" s="96">
        <f>ROUND(INDEX('Scoring Method'!$B$132:$B$140,MATCH(AE142,'Scoring Method'!$A$132:$A$140,0))+INDEX('Scoring Method'!$B$144:$B$152,MATCH(AP142,'Scoring Method'!$A$144:$A$152,0))+INDEX('Scoring Method'!$B$156:$B$160,MATCH(AQ142,'Scoring Method'!$A$156:$A$160,0))+INDEX('Scoring Method'!$B$164:$B$169,MATCH(AO142,'Scoring Method'!$A$164:$A$169,0))+INDEX('Scoring Method'!$B$173:$B$178,MATCH(AX142,'Scoring Method'!$A$173:$A$178,0))+INDEX('Scoring Method'!$B$349:$B$353,MATCH(X142,'Scoring Method'!$A$349:$A$353,0))+INDEX('Scoring Method'!$B$188:$B$190,MATCH(P142,'Scoring Method'!$A$188:$A$190,0)),1)</f>
        <v/>
      </c>
      <c r="AZ142" s="96">
        <f>AY142*U142/100</f>
        <v/>
      </c>
      <c r="BA142" s="92" t="inlineStr">
        <is>
          <t>Owner-occupied operator</t>
        </is>
      </c>
      <c r="BB142" s="94" t="n">
        <v>0.8</v>
      </c>
      <c r="BC142" s="92" t="inlineStr">
        <is>
          <t>Right-sized 0.35-0.75 AC</t>
        </is>
      </c>
      <c r="BD142" s="94" t="n">
        <v>1</v>
      </c>
      <c r="BE142" s="96">
        <f>ROUND(INDEX('Scoring Method'!$B$268:$B$276,MATCH(AE142,'Scoring Method'!$A$268:$A$276,0))+INDEX('Scoring Method'!$B$280:$B$288,MATCH(AP142,'Scoring Method'!$A$280:$A$288,0))+INDEX('Scoring Method'!$B$292:$B$296,MATCH(AQ142,'Scoring Method'!$A$292:$A$296,0))+INDEX('Scoring Method'!$B$300:$B$305,MATCH(AO142,'Scoring Method'!$A$300:$A$305,0))+INDEX('Scoring Method'!$B$309:$B$314,MATCH(AX142,'Scoring Method'!$A$309:$A$314,0))+INDEX('Scoring Method'!$B$337:$B$341,MATCH(X142,'Scoring Method'!$A$337:$A$341,0))+INDEX('Scoring Method'!$B$324:$B$326,MATCH(P142,'Scoring Method'!$A$324:$A$326,0)),1)</f>
        <v/>
      </c>
      <c r="BF142" s="96">
        <f>ROUND(INDEX('Scoring Method'!$B$268:$B$276,MATCH(AE142,'Scoring Method'!$A$268:$A$276,0))*BB142*BD142+INDEX('Scoring Method'!$B$280:$B$288,MATCH(AP142,'Scoring Method'!$A$280:$A$288,0))*BM142*BB142*BD142+INDEX('Scoring Method'!$B$292:$B$296,MATCH(AQ142,'Scoring Method'!$A$292:$A$296,0))*BD142+INDEX('Scoring Method'!$B$300:$B$305,MATCH(AO142,'Scoring Method'!$A$300:$A$305,0))*BM142*BB142+INDEX('Scoring Method'!$B$309:$B$314,MATCH(AX142,'Scoring Method'!$A$309:$A$314,0))+INDEX('Scoring Method'!$B$337:$B$341,MATCH(X142,'Scoring Method'!$A$337:$A$341,0))+INDEX('Scoring Method'!$B$324:$B$326,MATCH(P142,'Scoring Method'!$A$324:$A$326,0)),1)</f>
        <v/>
      </c>
      <c r="BG142" s="92" t="inlineStr">
        <is>
          <t>Fits (~$4,147/mo)</t>
        </is>
      </c>
      <c r="BH142" s="61" t="inlineStr">
        <is>
          <t>SU</t>
        </is>
      </c>
      <c r="BI142" s="61" t="inlineStr">
        <is>
          <t>Semi-Urban Residential</t>
        </is>
      </c>
      <c r="BJ142" s="61" t="inlineStr"/>
      <c r="BK142" s="61" t="inlineStr"/>
      <c r="BL142" s="61" t="inlineStr">
        <is>
          <t>SU corner unverified</t>
        </is>
      </c>
      <c r="BM142" s="61">
        <f>INDEX('Scoring Method'!$B$358:$B$363,MATCH(BL142,'Scoring Method'!$A$358:$A$363,0))</f>
        <v/>
      </c>
    </row>
    <row r="143" ht="15" customHeight="1" s="62">
      <c r="A143" s="92" t="n">
        <v>142</v>
      </c>
      <c r="B143" s="92" t="inlineStr">
        <is>
          <t>054-24-08-001.00</t>
        </is>
      </c>
      <c r="C143" s="92" t="inlineStr">
        <is>
          <t>1026 MADISON AVE</t>
        </is>
      </c>
      <c r="D143" s="92" t="inlineStr">
        <is>
          <t>BELL CURVE COVINGTON LLC</t>
        </is>
      </c>
      <c r="E143" s="92" t="inlineStr">
        <is>
          <t>3550 LENOX RD NE FL 21</t>
        </is>
      </c>
      <c r="F143" s="92" t="inlineStr">
        <is>
          <t>ATLANTA</t>
        </is>
      </c>
      <c r="G143" s="92" t="inlineStr">
        <is>
          <t>GA</t>
        </is>
      </c>
      <c r="H143" s="92" t="inlineStr">
        <is>
          <t>OTHER RETAIL</t>
        </is>
      </c>
      <c r="I143" s="93" t="n">
        <v>41033</v>
      </c>
      <c r="J143" s="94">
        <f>I143/43560</f>
        <v/>
      </c>
      <c r="K143" s="93" t="n">
        <v>960</v>
      </c>
      <c r="L143" s="95">
        <f>I143/(K143^2)</f>
        <v/>
      </c>
      <c r="M143" s="92" t="inlineStr">
        <is>
          <t>Near 14-18k/32-45k</t>
        </is>
      </c>
      <c r="N143" s="92" t="inlineStr">
        <is>
          <t>C</t>
        </is>
      </c>
      <c r="O143" s="92" t="inlineStr">
        <is>
          <t>Elongated .035-.045</t>
        </is>
      </c>
      <c r="P143" s="92" t="inlineStr">
        <is>
          <t>Low</t>
        </is>
      </c>
      <c r="Q143" s="92" t="inlineStr">
        <is>
          <t>Out-of-state</t>
        </is>
      </c>
      <c r="R143" s="92" t="inlineStr">
        <is>
          <t>Operating entity</t>
        </is>
      </c>
      <c r="S143" s="92" t="n">
        <v>1</v>
      </c>
      <c r="T143" s="96">
        <f>INDEX('Scoring Method'!$B$6:$B$9,MATCH(M143,'Scoring Method'!$A$6:$A$9,0))+INDEX('Scoring Method'!$B$12:$B$16,MATCH(N143,'Scoring Method'!$A$12:$A$16,0))+INDEX('Scoring Method'!$B$19:$B$22,MATCH(O143,'Scoring Method'!$A$19:$A$22,0))+INDEX('Scoring Method'!$B$25:$B$27,MATCH(P143,'Scoring Method'!$A$25:$A$27,0))</f>
        <v/>
      </c>
      <c r="U143" s="96">
        <f>(INDEX('Scoring Method'!$B$30:$B$33,MATCH(Q143,'Scoring Method'!$A$30:$A$33,0))+INDEX('Scoring Method'!$B$36:$B$42,MATCH(R143,'Scoring Method'!$A$36:$A$42,0))+INDEX('Scoring Method'!$B$45:$B$47,MATCH(IF(S143=1,"1",IF(S143=2,"2","3+")),'Scoring Method'!$A$45:$A$47,0)))/90*100</f>
        <v/>
      </c>
      <c r="V143" s="96">
        <f>T143*U143/100</f>
        <v/>
      </c>
      <c r="W143" s="93" t="n">
        <v>12308</v>
      </c>
      <c r="X143" s="92" t="inlineStr">
        <is>
          <t>X (minimal hazard)</t>
        </is>
      </c>
      <c r="Y143" s="93" t="n">
        <v>27075</v>
      </c>
      <c r="Z143" s="97">
        <f>W143/I143</f>
        <v/>
      </c>
      <c r="AA143" s="98">
        <f>MAX(0,(Y143-5000)/300)</f>
        <v/>
      </c>
      <c r="AB143" s="92" t="n"/>
      <c r="AC143" s="92" t="n">
        <v>0.9399999999999999</v>
      </c>
      <c r="AD143" s="92" t="inlineStr">
        <is>
          <t>ok</t>
        </is>
      </c>
      <c r="AE143" s="92" t="inlineStr">
        <is>
          <t>Far oversize &gt;12k</t>
        </is>
      </c>
      <c r="AF143" s="96">
        <f>INDEX('Scoring Method'!$B$63:$B$71,MATCH(AE143,'Scoring Method'!$A$63:$A$71,0))+INDEX('Scoring Method'!$B$75:$B$79,MATCH("Ample &gt;=15k",'Scoring Method'!$A$75:$A$79,0))+INDEX('Scoring Method'!$B$343:$B$347,MATCH(X143,'Scoring Method'!$A$343:$A$347,0))+INDEX('Scoring Method'!$B$25:$B$27,MATCH(P143,'Scoring Method'!$A$25:$A$27,0))</f>
        <v/>
      </c>
      <c r="AG143" s="96">
        <f>AF143*U143/100</f>
        <v/>
      </c>
      <c r="AH143" s="92" t="inlineStr">
        <is>
          <t>LINK-GIS + LoopNet</t>
        </is>
      </c>
      <c r="AI143" s="99" t="n">
        <v>39.07985</v>
      </c>
      <c r="AJ143" s="99" t="n">
        <v>-84.50828</v>
      </c>
      <c r="AK143" s="94" t="n">
        <v>0.6</v>
      </c>
      <c r="AL143" s="94" t="n">
        <v>0.76</v>
      </c>
      <c r="AM143" s="94" t="n">
        <v>1.51</v>
      </c>
      <c r="AN143" s="94" t="n">
        <v>0.32</v>
      </c>
      <c r="AO143" s="92" t="inlineStr">
        <is>
          <t>Core &lt;=0.35mi</t>
        </is>
      </c>
      <c r="AP143" s="92" t="inlineStr">
        <is>
          <t>Retail shell</t>
        </is>
      </c>
      <c r="AQ143" s="92" t="inlineStr">
        <is>
          <t>Ample &gt;=15k</t>
        </is>
      </c>
      <c r="AR143" s="100" t="n"/>
      <c r="AS143" s="96">
        <f>ROUND(INDEX('Scoring Method'!$B$63:$B$70,MATCH(AE143,'Scoring Method'!$A$63:$A$70,0))*0.625+INDEX('Scoring Method'!$B$105:$B$113,MATCH(AP143,'Scoring Method'!$A$105:$A$113,0))+INDEX('Scoring Method'!$B$74:$B$78,MATCH(AQ143,'Scoring Method'!$A$74:$A$78,0))*0.6667+INDEX('Scoring Method'!$B$96:$B$101,MATCH(AO143,'Scoring Method'!$A$96:$A$101,0))+INDEX('Scoring Method'!$B$343:$B$347,MATCH(X143,'Scoring Method'!$A$343:$A$347,0))*0.3333+INDEX('Scoring Method'!$B$25:$B$27,MATCH(P143,'Scoring Method'!$A$25:$A$27,0))*0.3333,1)</f>
        <v/>
      </c>
      <c r="AT143" s="96">
        <f>AS143*U143/100</f>
        <v/>
      </c>
      <c r="AU143" s="92" t="inlineStr">
        <is>
          <t>Central Business District</t>
        </is>
      </c>
      <c r="AV143" s="92" t="n">
        <v>48</v>
      </c>
      <c r="AW143" s="101" t="inlineStr">
        <is>
          <t>ESTIMATED</t>
        </is>
      </c>
      <c r="AX143" s="92" t="inlineStr">
        <is>
          <t>Mixed 45-59</t>
        </is>
      </c>
      <c r="AY143" s="96">
        <f>ROUND(INDEX('Scoring Method'!$B$132:$B$140,MATCH(AE143,'Scoring Method'!$A$132:$A$140,0))+INDEX('Scoring Method'!$B$144:$B$152,MATCH(AP143,'Scoring Method'!$A$144:$A$152,0))+INDEX('Scoring Method'!$B$156:$B$160,MATCH(AQ143,'Scoring Method'!$A$156:$A$160,0))+INDEX('Scoring Method'!$B$164:$B$169,MATCH(AO143,'Scoring Method'!$A$164:$A$169,0))+INDEX('Scoring Method'!$B$173:$B$178,MATCH(AX143,'Scoring Method'!$A$173:$A$178,0))+INDEX('Scoring Method'!$B$349:$B$353,MATCH(X143,'Scoring Method'!$A$349:$A$353,0))+INDEX('Scoring Method'!$B$188:$B$190,MATCH(P143,'Scoring Method'!$A$188:$A$190,0)),1)</f>
        <v/>
      </c>
      <c r="AZ143" s="96">
        <f>AY143*U143/100</f>
        <v/>
      </c>
      <c r="BA143" s="92" t="inlineStr">
        <is>
          <t>No chain signal</t>
        </is>
      </c>
      <c r="BB143" s="94" t="n">
        <v>1</v>
      </c>
      <c r="BC143" s="102" t="inlineStr">
        <is>
          <t>Large 0.75-1.25 AC</t>
        </is>
      </c>
      <c r="BD143" s="94" t="n">
        <v>0.9</v>
      </c>
      <c r="BE143" s="96">
        <f>ROUND(INDEX('Scoring Method'!$B$268:$B$276,MATCH(AE143,'Scoring Method'!$A$268:$A$276,0))+INDEX('Scoring Method'!$B$280:$B$288,MATCH(AP143,'Scoring Method'!$A$280:$A$288,0))+INDEX('Scoring Method'!$B$292:$B$296,MATCH(AQ143,'Scoring Method'!$A$292:$A$296,0))+INDEX('Scoring Method'!$B$300:$B$305,MATCH(AO143,'Scoring Method'!$A$300:$A$305,0))+INDEX('Scoring Method'!$B$309:$B$314,MATCH(AX143,'Scoring Method'!$A$309:$A$314,0))+INDEX('Scoring Method'!$B$337:$B$341,MATCH(X143,'Scoring Method'!$A$337:$A$341,0))+INDEX('Scoring Method'!$B$324:$B$326,MATCH(P143,'Scoring Method'!$A$324:$A$326,0)),1)</f>
        <v/>
      </c>
      <c r="BF143" s="96">
        <f>ROUND(INDEX('Scoring Method'!$B$268:$B$276,MATCH(AE143,'Scoring Method'!$A$268:$A$276,0))*BB143*BD143+INDEX('Scoring Method'!$B$280:$B$288,MATCH(AP143,'Scoring Method'!$A$280:$A$288,0))*BM143*BB143*BD143+INDEX('Scoring Method'!$B$292:$B$296,MATCH(AQ143,'Scoring Method'!$A$292:$A$296,0))*BD143+INDEX('Scoring Method'!$B$300:$B$305,MATCH(AO143,'Scoring Method'!$A$300:$A$305,0))*BM143*BB143+INDEX('Scoring Method'!$B$309:$B$314,MATCH(AX143,'Scoring Method'!$A$309:$A$314,0))+INDEX('Scoring Method'!$B$337:$B$341,MATCH(X143,'Scoring Method'!$A$337:$A$341,0))+INDEX('Scoring Method'!$B$324:$B$326,MATCH(P143,'Scoring Method'!$A$324:$A$326,0)),1)</f>
        <v/>
      </c>
      <c r="BG143" s="102" t="inlineStr">
        <is>
          <t>Over (~$11,282/mo)</t>
        </is>
      </c>
      <c r="BH143" s="61" t="inlineStr">
        <is>
          <t>DTC</t>
        </is>
      </c>
      <c r="BI143" s="61" t="inlineStr">
        <is>
          <t>Downtown Core</t>
        </is>
      </c>
      <c r="BJ143" s="61" t="inlineStr"/>
      <c r="BK143" s="61" t="inlineStr"/>
      <c r="BL143" s="61" t="inlineStr">
        <is>
          <t>Bar permitted</t>
        </is>
      </c>
      <c r="BM143" s="61">
        <f>INDEX('Scoring Method'!$B$358:$B$363,MATCH(BL143,'Scoring Method'!$A$358:$A$363,0))</f>
        <v/>
      </c>
    </row>
    <row r="144" ht="15" customHeight="1" s="62">
      <c r="A144" s="92" t="n">
        <v>143</v>
      </c>
      <c r="B144" s="92" t="inlineStr">
        <is>
          <t>054-12-01-002.00</t>
        </is>
      </c>
      <c r="C144" s="92" t="inlineStr">
        <is>
          <t>201 JOHNSON ST</t>
        </is>
      </c>
      <c r="D144" s="92" t="inlineStr">
        <is>
          <t>DURROW DEVELOPMENTS LLC</t>
        </is>
      </c>
      <c r="E144" s="92" t="inlineStr">
        <is>
          <t>10947 MARSHALL RD</t>
        </is>
      </c>
      <c r="F144" s="92" t="inlineStr">
        <is>
          <t>COVINGTON</t>
        </is>
      </c>
      <c r="G144" s="92" t="inlineStr">
        <is>
          <t>KY</t>
        </is>
      </c>
      <c r="H144" s="92" t="inlineStr">
        <is>
          <t>MFG/ASSEMBLY 20001-100000 SF</t>
        </is>
      </c>
      <c r="I144" s="93" t="n">
        <v>26697</v>
      </c>
      <c r="J144" s="94">
        <f>I144/43560</f>
        <v/>
      </c>
      <c r="K144" s="93" t="n">
        <v>670.3</v>
      </c>
      <c r="L144" s="95">
        <f>I144/(K144^2)</f>
        <v/>
      </c>
      <c r="M144" s="92" t="inlineStr">
        <is>
          <t>Ideal 18-32k</t>
        </is>
      </c>
      <c r="N144" s="92" t="inlineStr">
        <is>
          <t>E</t>
        </is>
      </c>
      <c r="O144" s="92" t="inlineStr">
        <is>
          <t>Compact &gt;=.055</t>
        </is>
      </c>
      <c r="P144" s="92" t="inlineStr">
        <is>
          <t>Moderate</t>
        </is>
      </c>
      <c r="Q144" s="92" t="inlineStr">
        <is>
          <t>Local absentee</t>
        </is>
      </c>
      <c r="R144" s="92" t="inlineStr">
        <is>
          <t>Passive vehicle</t>
        </is>
      </c>
      <c r="S144" s="92" t="n">
        <v>1</v>
      </c>
      <c r="T144" s="96">
        <f>INDEX('Scoring Method'!$B$6:$B$9,MATCH(M144,'Scoring Method'!$A$6:$A$9,0))+INDEX('Scoring Method'!$B$12:$B$16,MATCH(N144,'Scoring Method'!$A$12:$A$16,0))+INDEX('Scoring Method'!$B$19:$B$22,MATCH(O144,'Scoring Method'!$A$19:$A$22,0))+INDEX('Scoring Method'!$B$25:$B$27,MATCH(P144,'Scoring Method'!$A$25:$A$27,0))</f>
        <v/>
      </c>
      <c r="U144" s="96">
        <f>(INDEX('Scoring Method'!$B$30:$B$33,MATCH(Q144,'Scoring Method'!$A$30:$A$33,0))+INDEX('Scoring Method'!$B$36:$B$42,MATCH(R144,'Scoring Method'!$A$36:$A$42,0))+INDEX('Scoring Method'!$B$45:$B$47,MATCH(IF(S144=1,"1",IF(S144=2,"2","3+")),'Scoring Method'!$A$45:$A$47,0)))/90*100</f>
        <v/>
      </c>
      <c r="V144" s="96">
        <f>T144*U144/100</f>
        <v/>
      </c>
      <c r="W144" s="93" t="n">
        <v>35093</v>
      </c>
      <c r="X144" s="92" t="inlineStr">
        <is>
          <t>X (levee-protected)</t>
        </is>
      </c>
      <c r="Y144" s="93" t="n">
        <v>0</v>
      </c>
      <c r="Z144" s="97">
        <f>W144/I144</f>
        <v/>
      </c>
      <c r="AA144" s="98">
        <f>MAX(0,(Y144-5000)/300)</f>
        <v/>
      </c>
      <c r="AB144" s="92" t="n"/>
      <c r="AC144" s="92" t="n">
        <v>0.5600000000000001</v>
      </c>
      <c r="AD144" s="92" t="inlineStr">
        <is>
          <t>ok</t>
        </is>
      </c>
      <c r="AE144" s="92" t="inlineStr">
        <is>
          <t>Far oversize &gt;12k</t>
        </is>
      </c>
      <c r="AF144" s="96">
        <f>INDEX('Scoring Method'!$B$63:$B$71,MATCH(AE144,'Scoring Method'!$A$63:$A$71,0))+INDEX('Scoring Method'!$B$75:$B$79,MATCH("Insufficient &lt;2k",'Scoring Method'!$A$75:$A$79,0))+INDEX('Scoring Method'!$B$343:$B$347,MATCH(X144,'Scoring Method'!$A$343:$A$347,0))+INDEX('Scoring Method'!$B$25:$B$27,MATCH(P144,'Scoring Method'!$A$25:$A$27,0))</f>
        <v/>
      </c>
      <c r="AG144" s="96">
        <f>AF144*U144/100</f>
        <v/>
      </c>
      <c r="AH144" s="92" t="inlineStr">
        <is>
          <t>LINK-GIS + LoopNet</t>
        </is>
      </c>
      <c r="AI144" s="99" t="n">
        <v>39.08825</v>
      </c>
      <c r="AJ144" s="99" t="n">
        <v>-84.51629</v>
      </c>
      <c r="AK144" s="94" t="n">
        <v>0.28</v>
      </c>
      <c r="AL144" s="94" t="n">
        <v>0.46</v>
      </c>
      <c r="AM144" s="94" t="n">
        <v>0.9399999999999999</v>
      </c>
      <c r="AN144" s="94" t="n">
        <v>0.12</v>
      </c>
      <c r="AO144" s="92" t="inlineStr">
        <is>
          <t>Core &lt;=0.35mi</t>
        </is>
      </c>
      <c r="AP144" s="92" t="inlineStr">
        <is>
          <t>Open span</t>
        </is>
      </c>
      <c r="AQ144" s="92" t="inlineStr">
        <is>
          <t>Insufficient &lt;2k</t>
        </is>
      </c>
      <c r="AR144" s="100" t="n"/>
      <c r="AS144" s="96">
        <f>ROUND(INDEX('Scoring Method'!$B$63:$B$70,MATCH(AE144,'Scoring Method'!$A$63:$A$70,0))*0.625+INDEX('Scoring Method'!$B$105:$B$113,MATCH(AP144,'Scoring Method'!$A$105:$A$113,0))+INDEX('Scoring Method'!$B$74:$B$78,MATCH(AQ144,'Scoring Method'!$A$74:$A$78,0))*0.6667+INDEX('Scoring Method'!$B$96:$B$101,MATCH(AO144,'Scoring Method'!$A$96:$A$101,0))+INDEX('Scoring Method'!$B$343:$B$347,MATCH(X144,'Scoring Method'!$A$343:$A$347,0))*0.3333+INDEX('Scoring Method'!$B$25:$B$27,MATCH(P144,'Scoring Method'!$A$25:$A$27,0))*0.3333,1)</f>
        <v/>
      </c>
      <c r="AT144" s="96">
        <f>AS144*U144/100</f>
        <v/>
      </c>
      <c r="AU144" s="92" t="inlineStr">
        <is>
          <t>Botany Hills / Riverfront West</t>
        </is>
      </c>
      <c r="AV144" s="92" t="n">
        <v>45</v>
      </c>
      <c r="AW144" s="101" t="inlineStr">
        <is>
          <t>ESTIMATED</t>
        </is>
      </c>
      <c r="AX144" s="92" t="inlineStr">
        <is>
          <t>Mixed 45-59</t>
        </is>
      </c>
      <c r="AY144" s="96">
        <f>ROUND(INDEX('Scoring Method'!$B$132:$B$140,MATCH(AE144,'Scoring Method'!$A$132:$A$140,0))+INDEX('Scoring Method'!$B$144:$B$152,MATCH(AP144,'Scoring Method'!$A$144:$A$152,0))+INDEX('Scoring Method'!$B$156:$B$160,MATCH(AQ144,'Scoring Method'!$A$156:$A$160,0))+INDEX('Scoring Method'!$B$164:$B$169,MATCH(AO144,'Scoring Method'!$A$164:$A$169,0))+INDEX('Scoring Method'!$B$173:$B$178,MATCH(AX144,'Scoring Method'!$A$173:$A$178,0))+INDEX('Scoring Method'!$B$349:$B$353,MATCH(X144,'Scoring Method'!$A$349:$A$353,0))+INDEX('Scoring Method'!$B$188:$B$190,MATCH(P144,'Scoring Method'!$A$188:$A$190,0)),1)</f>
        <v/>
      </c>
      <c r="AZ144" s="96">
        <f>AY144*U144/100</f>
        <v/>
      </c>
      <c r="BA144" s="92" t="inlineStr">
        <is>
          <t>No chain signal</t>
        </is>
      </c>
      <c r="BB144" s="94" t="n">
        <v>1</v>
      </c>
      <c r="BC144" s="92" t="inlineStr">
        <is>
          <t>Right-sized 0.35-0.75 AC</t>
        </is>
      </c>
      <c r="BD144" s="94" t="n">
        <v>1</v>
      </c>
      <c r="BE144" s="96">
        <f>ROUND(INDEX('Scoring Method'!$B$268:$B$276,MATCH(AE144,'Scoring Method'!$A$268:$A$276,0))+INDEX('Scoring Method'!$B$280:$B$288,MATCH(AP144,'Scoring Method'!$A$280:$A$288,0))+INDEX('Scoring Method'!$B$292:$B$296,MATCH(AQ144,'Scoring Method'!$A$292:$A$296,0))+INDEX('Scoring Method'!$B$300:$B$305,MATCH(AO144,'Scoring Method'!$A$300:$A$305,0))+INDEX('Scoring Method'!$B$309:$B$314,MATCH(AX144,'Scoring Method'!$A$309:$A$314,0))+INDEX('Scoring Method'!$B$337:$B$341,MATCH(X144,'Scoring Method'!$A$337:$A$341,0))+INDEX('Scoring Method'!$B$324:$B$326,MATCH(P144,'Scoring Method'!$A$324:$A$326,0)),1)</f>
        <v/>
      </c>
      <c r="BF144" s="96">
        <f>ROUND(INDEX('Scoring Method'!$B$268:$B$276,MATCH(AE144,'Scoring Method'!$A$268:$A$276,0))*BB144*BD144+INDEX('Scoring Method'!$B$280:$B$288,MATCH(AP144,'Scoring Method'!$A$280:$A$288,0))*BM144*BB144*BD144+INDEX('Scoring Method'!$B$292:$B$296,MATCH(AQ144,'Scoring Method'!$A$292:$A$296,0))*BD144+INDEX('Scoring Method'!$B$300:$B$305,MATCH(AO144,'Scoring Method'!$A$300:$A$305,0))*BM144*BB144+INDEX('Scoring Method'!$B$309:$B$314,MATCH(AX144,'Scoring Method'!$A$309:$A$314,0))+INDEX('Scoring Method'!$B$337:$B$341,MATCH(X144,'Scoring Method'!$A$337:$A$341,0))+INDEX('Scoring Method'!$B$324:$B$326,MATCH(P144,'Scoring Method'!$A$324:$A$326,0)),1)</f>
        <v/>
      </c>
      <c r="BG144" s="102" t="inlineStr">
        <is>
          <t>Over (~$32,169/mo)</t>
        </is>
      </c>
      <c r="BH144" s="61" t="inlineStr">
        <is>
          <t>AUC</t>
        </is>
      </c>
      <c r="BI144" s="61" t="inlineStr">
        <is>
          <t>Auto-Urban Commercial</t>
        </is>
      </c>
      <c r="BJ144" s="61" t="inlineStr"/>
      <c r="BK144" s="61" t="inlineStr"/>
      <c r="BL144" s="61" t="inlineStr">
        <is>
          <t>Bar permitted</t>
        </is>
      </c>
      <c r="BM144" s="61">
        <f>INDEX('Scoring Method'!$B$358:$B$363,MATCH(BL144,'Scoring Method'!$A$358:$A$363,0))</f>
        <v/>
      </c>
    </row>
    <row r="145" ht="15" customHeight="1" s="62">
      <c r="A145" s="92" t="n">
        <v>144</v>
      </c>
      <c r="B145" s="92" t="inlineStr">
        <is>
          <t>056-14-10-013.00</t>
        </is>
      </c>
      <c r="C145" s="92" t="inlineStr">
        <is>
          <t>12 W 38TH ST</t>
        </is>
      </c>
      <c r="D145" s="92" t="inlineStr">
        <is>
          <t>CALVARY BAPTIST CHURCH OF</t>
        </is>
      </c>
      <c r="E145" s="92" t="inlineStr">
        <is>
          <t>3711 TIBBATTS ST</t>
        </is>
      </c>
      <c r="F145" s="92" t="inlineStr">
        <is>
          <t>COVINGTON</t>
        </is>
      </c>
      <c r="G145" s="92" t="inlineStr">
        <is>
          <t>KY</t>
        </is>
      </c>
      <c r="H145" s="92" t="inlineStr">
        <is>
          <t>COMM WITH RESIDENTIAL STRUCTURE</t>
        </is>
      </c>
      <c r="I145" s="93" t="n">
        <v>13467</v>
      </c>
      <c r="J145" s="94">
        <f>I145/43560</f>
        <v/>
      </c>
      <c r="K145" s="93" t="n">
        <v>497</v>
      </c>
      <c r="L145" s="95">
        <f>I145/(K145^2)</f>
        <v/>
      </c>
      <c r="M145" s="92" t="inlineStr">
        <is>
          <t>Marginal 10-14k/45-60k</t>
        </is>
      </c>
      <c r="N145" s="92" t="inlineStr">
        <is>
          <t>C</t>
        </is>
      </c>
      <c r="O145" s="92" t="inlineStr">
        <is>
          <t>Regular .045-.055</t>
        </is>
      </c>
      <c r="P145" s="92" t="inlineStr">
        <is>
          <t>Low</t>
        </is>
      </c>
      <c r="Q145" s="92" t="inlineStr">
        <is>
          <t>Local absentee</t>
        </is>
      </c>
      <c r="R145" s="92" t="inlineStr">
        <is>
          <t>Religious</t>
        </is>
      </c>
      <c r="S145" s="92" t="n">
        <v>4</v>
      </c>
      <c r="T145" s="96">
        <f>INDEX('Scoring Method'!$B$6:$B$9,MATCH(M145,'Scoring Method'!$A$6:$A$9,0))+INDEX('Scoring Method'!$B$12:$B$16,MATCH(N145,'Scoring Method'!$A$12:$A$16,0))+INDEX('Scoring Method'!$B$19:$B$22,MATCH(O145,'Scoring Method'!$A$19:$A$22,0))+INDEX('Scoring Method'!$B$25:$B$27,MATCH(P145,'Scoring Method'!$A$25:$A$27,0))</f>
        <v/>
      </c>
      <c r="U145" s="96">
        <f>(INDEX('Scoring Method'!$B$30:$B$33,MATCH(Q145,'Scoring Method'!$A$30:$A$33,0))+INDEX('Scoring Method'!$B$36:$B$42,MATCH(R145,'Scoring Method'!$A$36:$A$42,0))+INDEX('Scoring Method'!$B$45:$B$47,MATCH(IF(S145=1,"1",IF(S145=2,"2","3+")),'Scoring Method'!$A$45:$A$47,0)))/90*100</f>
        <v/>
      </c>
      <c r="V145" s="96">
        <f>T145*U145/100</f>
        <v/>
      </c>
      <c r="W145" s="93" t="n">
        <v>4020</v>
      </c>
      <c r="X145" s="92" t="inlineStr">
        <is>
          <t>X (minimal hazard)</t>
        </is>
      </c>
      <c r="Y145" s="93" t="n">
        <v>9275</v>
      </c>
      <c r="Z145" s="97">
        <f>W145/I145</f>
        <v/>
      </c>
      <c r="AA145" s="98">
        <f>MAX(0,(Y145-5000)/300)</f>
        <v/>
      </c>
      <c r="AB145" s="92" t="n"/>
      <c r="AC145" s="92" t="n">
        <v>0.31</v>
      </c>
      <c r="AD145" s="92" t="inlineStr">
        <is>
          <t>ok</t>
        </is>
      </c>
      <c r="AE145" s="92" t="inlineStr">
        <is>
          <t>Large 4-6k</t>
        </is>
      </c>
      <c r="AF145" s="96">
        <f>INDEX('Scoring Method'!$B$63:$B$71,MATCH(AE145,'Scoring Method'!$A$63:$A$71,0))+INDEX('Scoring Method'!$B$75:$B$79,MATCH("Good 8-15k",'Scoring Method'!$A$75:$A$79,0))+INDEX('Scoring Method'!$B$343:$B$347,MATCH(X145,'Scoring Method'!$A$343:$A$347,0))+INDEX('Scoring Method'!$B$25:$B$27,MATCH(P145,'Scoring Method'!$A$25:$A$27,0))</f>
        <v/>
      </c>
      <c r="AG145" s="96">
        <f>AF145*U145/100</f>
        <v/>
      </c>
      <c r="AH145" s="92" t="inlineStr">
        <is>
          <t>LINK-GIS + LoopNet</t>
        </is>
      </c>
      <c r="AI145" s="99" t="n">
        <v>39.04653</v>
      </c>
      <c r="AJ145" s="99" t="n">
        <v>-84.50404</v>
      </c>
      <c r="AK145" s="94" t="n">
        <v>2.72</v>
      </c>
      <c r="AL145" s="94" t="n">
        <v>3.07</v>
      </c>
      <c r="AM145" s="94" t="n">
        <v>3.82</v>
      </c>
      <c r="AN145" s="94" t="n">
        <v>2.61</v>
      </c>
      <c r="AO145" s="92" t="inlineStr">
        <is>
          <t>Distant 2-3mi</t>
        </is>
      </c>
      <c r="AP145" s="92" t="inlineStr">
        <is>
          <t>Cellular</t>
        </is>
      </c>
      <c r="AQ145" s="92" t="inlineStr">
        <is>
          <t>Good 8-15k</t>
        </is>
      </c>
      <c r="AR145" s="100" t="n"/>
      <c r="AS145" s="96">
        <f>ROUND(INDEX('Scoring Method'!$B$63:$B$70,MATCH(AE145,'Scoring Method'!$A$63:$A$70,0))*0.625+INDEX('Scoring Method'!$B$105:$B$113,MATCH(AP145,'Scoring Method'!$A$105:$A$113,0))+INDEX('Scoring Method'!$B$74:$B$78,MATCH(AQ145,'Scoring Method'!$A$74:$A$78,0))*0.6667+INDEX('Scoring Method'!$B$96:$B$101,MATCH(AO145,'Scoring Method'!$A$96:$A$101,0))+INDEX('Scoring Method'!$B$343:$B$347,MATCH(X145,'Scoring Method'!$A$343:$A$347,0))*0.3333+INDEX('Scoring Method'!$B$25:$B$27,MATCH(P145,'Scoring Method'!$A$25:$A$27,0))*0.3333,1)</f>
        <v/>
      </c>
      <c r="AT145" s="96">
        <f>AS145*U145/100</f>
        <v/>
      </c>
      <c r="AU145" s="92" t="inlineStr">
        <is>
          <t>Latonia</t>
        </is>
      </c>
      <c r="AV145" s="92" t="n">
        <v>78</v>
      </c>
      <c r="AW145" s="92" t="inlineStr">
        <is>
          <t>Sourced</t>
        </is>
      </c>
      <c r="AX145" s="92" t="inlineStr">
        <is>
          <t>Safe 70-79</t>
        </is>
      </c>
      <c r="AY145" s="96">
        <f>ROUND(INDEX('Scoring Method'!$B$132:$B$140,MATCH(AE145,'Scoring Method'!$A$132:$A$140,0))+INDEX('Scoring Method'!$B$144:$B$152,MATCH(AP145,'Scoring Method'!$A$144:$A$152,0))+INDEX('Scoring Method'!$B$156:$B$160,MATCH(AQ145,'Scoring Method'!$A$156:$A$160,0))+INDEX('Scoring Method'!$B$164:$B$169,MATCH(AO145,'Scoring Method'!$A$164:$A$169,0))+INDEX('Scoring Method'!$B$173:$B$178,MATCH(AX145,'Scoring Method'!$A$173:$A$178,0))+INDEX('Scoring Method'!$B$349:$B$353,MATCH(X145,'Scoring Method'!$A$349:$A$353,0))+INDEX('Scoring Method'!$B$188:$B$190,MATCH(P145,'Scoring Method'!$A$188:$A$190,0)),1)</f>
        <v/>
      </c>
      <c r="AZ145" s="96">
        <f>AY145*U145/100</f>
        <v/>
      </c>
      <c r="BA145" s="92" t="inlineStr">
        <is>
          <t>No chain signal</t>
        </is>
      </c>
      <c r="BB145" s="94" t="n">
        <v>1</v>
      </c>
      <c r="BC145" s="102" t="inlineStr">
        <is>
          <t>Small 0.25-0.35 AC</t>
        </is>
      </c>
      <c r="BD145" s="94" t="n">
        <v>0.9</v>
      </c>
      <c r="BE145" s="96">
        <f>ROUND(INDEX('Scoring Method'!$B$268:$B$276,MATCH(AE145,'Scoring Method'!$A$268:$A$276,0))+INDEX('Scoring Method'!$B$280:$B$288,MATCH(AP145,'Scoring Method'!$A$280:$A$288,0))+INDEX('Scoring Method'!$B$292:$B$296,MATCH(AQ145,'Scoring Method'!$A$292:$A$296,0))+INDEX('Scoring Method'!$B$300:$B$305,MATCH(AO145,'Scoring Method'!$A$300:$A$305,0))+INDEX('Scoring Method'!$B$309:$B$314,MATCH(AX145,'Scoring Method'!$A$309:$A$314,0))+INDEX('Scoring Method'!$B$337:$B$341,MATCH(X145,'Scoring Method'!$A$337:$A$341,0))+INDEX('Scoring Method'!$B$324:$B$326,MATCH(P145,'Scoring Method'!$A$324:$A$326,0)),1)</f>
        <v/>
      </c>
      <c r="BF145" s="96">
        <f>ROUND(INDEX('Scoring Method'!$B$268:$B$276,MATCH(AE145,'Scoring Method'!$A$268:$A$276,0))*BB145*BD145+INDEX('Scoring Method'!$B$280:$B$288,MATCH(AP145,'Scoring Method'!$A$280:$A$288,0))*BM145*BB145*BD145+INDEX('Scoring Method'!$B$292:$B$296,MATCH(AQ145,'Scoring Method'!$A$292:$A$296,0))*BD145+INDEX('Scoring Method'!$B$300:$B$305,MATCH(AO145,'Scoring Method'!$A$300:$A$305,0))*BM145*BB145+INDEX('Scoring Method'!$B$309:$B$314,MATCH(AX145,'Scoring Method'!$A$309:$A$314,0))+INDEX('Scoring Method'!$B$337:$B$341,MATCH(X145,'Scoring Method'!$A$337:$A$341,0))+INDEX('Scoring Method'!$B$324:$B$326,MATCH(P145,'Scoring Method'!$A$324:$A$326,0)),1)</f>
        <v/>
      </c>
      <c r="BG145" s="92" t="inlineStr">
        <is>
          <t>Fits (~$3,685/mo)</t>
        </is>
      </c>
      <c r="BH145" s="61" t="inlineStr">
        <is>
          <t>TUMU</t>
        </is>
      </c>
      <c r="BI145" s="61" t="inlineStr">
        <is>
          <t>Traditional Urban Mixed Use</t>
        </is>
      </c>
      <c r="BJ145" s="61" t="inlineStr"/>
      <c r="BK145" s="61" t="inlineStr"/>
      <c r="BL145" s="61" t="inlineStr">
        <is>
          <t>Bar permitted</t>
        </is>
      </c>
      <c r="BM145" s="61">
        <f>INDEX('Scoring Method'!$B$358:$B$363,MATCH(BL145,'Scoring Method'!$A$358:$A$363,0))</f>
        <v/>
      </c>
    </row>
    <row r="146" ht="15" customHeight="1" s="62">
      <c r="A146" s="92" t="n">
        <v>145</v>
      </c>
      <c r="B146" s="92" t="inlineStr">
        <is>
          <t>059-40-00-388.00</t>
        </is>
      </c>
      <c r="C146" s="92" t="inlineStr">
        <is>
          <t>5984 TAYLOR MILL RD</t>
        </is>
      </c>
      <c r="D146" s="92" t="inlineStr">
        <is>
          <t>DUE STEPHEN J &amp; SHARON D</t>
        </is>
      </c>
      <c r="E146" s="92" t="inlineStr">
        <is>
          <t>998 REIGH COUNT DR</t>
        </is>
      </c>
      <c r="F146" s="92" t="inlineStr">
        <is>
          <t>UNION</t>
        </is>
      </c>
      <c r="G146" s="92" t="inlineStr">
        <is>
          <t>KY</t>
        </is>
      </c>
      <c r="H146" s="92" t="inlineStr">
        <is>
          <t>OTHER RETAIL</t>
        </is>
      </c>
      <c r="I146" s="93" t="n">
        <v>9078</v>
      </c>
      <c r="J146" s="94">
        <f>I146/43560</f>
        <v/>
      </c>
      <c r="K146" s="93" t="n">
        <v>423</v>
      </c>
      <c r="L146" s="95">
        <f>I146/(K146^2)</f>
        <v/>
      </c>
      <c r="M146" s="92" t="inlineStr">
        <is>
          <t>Poor &lt;10k/&gt;60k</t>
        </is>
      </c>
      <c r="N146" s="92" t="inlineStr">
        <is>
          <t>C</t>
        </is>
      </c>
      <c r="O146" s="92" t="inlineStr">
        <is>
          <t>Regular .045-.055</t>
        </is>
      </c>
      <c r="P146" s="92" t="inlineStr">
        <is>
          <t>Low</t>
        </is>
      </c>
      <c r="Q146" s="92" t="inlineStr">
        <is>
          <t>Out-of-city KY</t>
        </is>
      </c>
      <c r="R146" s="92" t="inlineStr">
        <is>
          <t>Individual</t>
        </is>
      </c>
      <c r="S146" s="92" t="n">
        <v>1</v>
      </c>
      <c r="T146" s="96">
        <f>INDEX('Scoring Method'!$B$6:$B$9,MATCH(M146,'Scoring Method'!$A$6:$A$9,0))+INDEX('Scoring Method'!$B$12:$B$16,MATCH(N146,'Scoring Method'!$A$12:$A$16,0))+INDEX('Scoring Method'!$B$19:$B$22,MATCH(O146,'Scoring Method'!$A$19:$A$22,0))+INDEX('Scoring Method'!$B$25:$B$27,MATCH(P146,'Scoring Method'!$A$25:$A$27,0))</f>
        <v/>
      </c>
      <c r="U146" s="96">
        <f>(INDEX('Scoring Method'!$B$30:$B$33,MATCH(Q146,'Scoring Method'!$A$30:$A$33,0))+INDEX('Scoring Method'!$B$36:$B$42,MATCH(R146,'Scoring Method'!$A$36:$A$42,0))+INDEX('Scoring Method'!$B$45:$B$47,MATCH(IF(S146=1,"1",IF(S146=2,"2","3+")),'Scoring Method'!$A$45:$A$47,0)))/90*100</f>
        <v/>
      </c>
      <c r="V146" s="96">
        <f>T146*U146/100</f>
        <v/>
      </c>
      <c r="W146" s="93" t="n">
        <v>1800</v>
      </c>
      <c r="X146" s="92" t="inlineStr">
        <is>
          <t>X (minimal hazard)</t>
        </is>
      </c>
      <c r="Y146" s="93" t="n">
        <v>5800</v>
      </c>
      <c r="Z146" s="97" t="n"/>
      <c r="AA146" s="98">
        <f>MAX(0,(Y146-5000)/300)</f>
        <v/>
      </c>
      <c r="AB146" s="92" t="n"/>
      <c r="AC146" s="92" t="n"/>
      <c r="AD146" s="92" t="n"/>
      <c r="AE146" s="92" t="inlineStr">
        <is>
          <t>Target 1.5-2.5k</t>
        </is>
      </c>
      <c r="AF146" s="96">
        <f>INDEX('Scoring Method'!$B$63:$B$71,MATCH(AE146,'Scoring Method'!$A$63:$A$71,0))+INDEX('Scoring Method'!$B$75:$B$79,MATCH("Adequate 5-8k",'Scoring Method'!$A$75:$A$79,0))+INDEX('Scoring Method'!$B$343:$B$347,MATCH(X146,'Scoring Method'!$A$343:$A$347,0))+INDEX('Scoring Method'!$B$25:$B$27,MATCH(P146,'Scoring Method'!$A$25:$A$27,0))</f>
        <v/>
      </c>
      <c r="AG146" s="96">
        <f>AF146*U146/100</f>
        <v/>
      </c>
      <c r="AH146" s="92" t="inlineStr">
        <is>
          <t>LINK-GIS + LoopNet (2026-08-03)</t>
        </is>
      </c>
      <c r="AI146" s="99" t="n">
        <v>38.97387</v>
      </c>
      <c r="AJ146" s="99" t="n">
        <v>-84.5016</v>
      </c>
      <c r="AK146" s="94" t="n">
        <v>7.69</v>
      </c>
      <c r="AL146" s="94" t="n">
        <v>8.09</v>
      </c>
      <c r="AM146" s="94" t="n">
        <v>8.84</v>
      </c>
      <c r="AN146" s="94" t="n">
        <v>7.62</v>
      </c>
      <c r="AO146" s="92" t="inlineStr">
        <is>
          <t>Remote &gt;3mi</t>
        </is>
      </c>
      <c r="AP146" s="92" t="inlineStr">
        <is>
          <t>Retail shell</t>
        </is>
      </c>
      <c r="AQ146" s="92" t="inlineStr">
        <is>
          <t>Adequate 5-8k</t>
        </is>
      </c>
      <c r="AR146" s="100" t="n"/>
      <c r="AS146" s="96">
        <f>ROUND(INDEX('Scoring Method'!$B$63:$B$70,MATCH(AE146,'Scoring Method'!$A$63:$A$70,0))*0.625+INDEX('Scoring Method'!$B$105:$B$113,MATCH(AP146,'Scoring Method'!$A$105:$A$113,0))+INDEX('Scoring Method'!$B$74:$B$78,MATCH(AQ146,'Scoring Method'!$A$74:$A$78,0))*0.6667+INDEX('Scoring Method'!$B$96:$B$101,MATCH(AO146,'Scoring Method'!$A$96:$A$101,0))+INDEX('Scoring Method'!$B$343:$B$347,MATCH(X146,'Scoring Method'!$A$343:$A$347,0))*0.3333+INDEX('Scoring Method'!$B$25:$B$27,MATCH(P146,'Scoring Method'!$A$25:$A$27,0))*0.3333,1)</f>
        <v/>
      </c>
      <c r="AT146" s="96">
        <f>AS146*U146/100</f>
        <v/>
      </c>
      <c r="AU146" s="92" t="inlineStr">
        <is>
          <t>South Covington</t>
        </is>
      </c>
      <c r="AV146" s="92" t="n">
        <v>88</v>
      </c>
      <c r="AW146" s="92" t="inlineStr">
        <is>
          <t>Sourced</t>
        </is>
      </c>
      <c r="AX146" s="92" t="inlineStr">
        <is>
          <t>Very safe 80+</t>
        </is>
      </c>
      <c r="AY146" s="96">
        <f>ROUND(INDEX('Scoring Method'!$B$132:$B$140,MATCH(AE146,'Scoring Method'!$A$132:$A$140,0))+INDEX('Scoring Method'!$B$144:$B$152,MATCH(AP146,'Scoring Method'!$A$144:$A$152,0))+INDEX('Scoring Method'!$B$156:$B$160,MATCH(AQ146,'Scoring Method'!$A$156:$A$160,0))+INDEX('Scoring Method'!$B$164:$B$169,MATCH(AO146,'Scoring Method'!$A$164:$A$169,0))+INDEX('Scoring Method'!$B$173:$B$178,MATCH(AX146,'Scoring Method'!$A$173:$A$178,0))+INDEX('Scoring Method'!$B$349:$B$353,MATCH(X146,'Scoring Method'!$A$349:$A$353,0))+INDEX('Scoring Method'!$B$188:$B$190,MATCH(P146,'Scoring Method'!$A$188:$A$190,0)),1)</f>
        <v/>
      </c>
      <c r="AZ146" s="96">
        <f>AY146*U146/100</f>
        <v/>
      </c>
      <c r="BA146" s="92" t="inlineStr">
        <is>
          <t>No chain signal</t>
        </is>
      </c>
      <c r="BB146" s="94" t="n">
        <v>1</v>
      </c>
      <c r="BC146" s="103" t="inlineStr">
        <is>
          <t>Extra small 0.15-0.25 AC</t>
        </is>
      </c>
      <c r="BD146" s="94" t="n">
        <v>0.8</v>
      </c>
      <c r="BE146" s="96">
        <f>ROUND(INDEX('Scoring Method'!$B$268:$B$276,MATCH(AE146,'Scoring Method'!$A$268:$A$276,0))+INDEX('Scoring Method'!$B$280:$B$288,MATCH(AP146,'Scoring Method'!$A$280:$A$288,0))+INDEX('Scoring Method'!$B$292:$B$296,MATCH(AQ146,'Scoring Method'!$A$292:$A$296,0))+INDEX('Scoring Method'!$B$300:$B$305,MATCH(AO146,'Scoring Method'!$A$300:$A$305,0))+INDEX('Scoring Method'!$B$309:$B$314,MATCH(AX146,'Scoring Method'!$A$309:$A$314,0))+INDEX('Scoring Method'!$B$337:$B$341,MATCH(X146,'Scoring Method'!$A$337:$A$341,0))+INDEX('Scoring Method'!$B$324:$B$326,MATCH(P146,'Scoring Method'!$A$324:$A$326,0)),1)</f>
        <v/>
      </c>
      <c r="BF146" s="96">
        <f>ROUND(INDEX('Scoring Method'!$B$268:$B$276,MATCH(AE146,'Scoring Method'!$A$268:$A$276,0))*BB146*BD146+INDEX('Scoring Method'!$B$280:$B$288,MATCH(AP146,'Scoring Method'!$A$280:$A$288,0))*BM146*BB146*BD146+INDEX('Scoring Method'!$B$292:$B$296,MATCH(AQ146,'Scoring Method'!$A$292:$A$296,0))*BD146+INDEX('Scoring Method'!$B$300:$B$305,MATCH(AO146,'Scoring Method'!$A$300:$A$305,0))*BM146*BB146+INDEX('Scoring Method'!$B$309:$B$314,MATCH(AX146,'Scoring Method'!$A$309:$A$314,0))+INDEX('Scoring Method'!$B$337:$B$341,MATCH(X146,'Scoring Method'!$A$337:$A$341,0))+INDEX('Scoring Method'!$B$324:$B$326,MATCH(P146,'Scoring Method'!$A$324:$A$326,0)),1)</f>
        <v/>
      </c>
      <c r="BG146" s="92" t="inlineStr">
        <is>
          <t>Fits (~$1,650/mo)</t>
        </is>
      </c>
      <c r="BH146" s="61" t="inlineStr">
        <is>
          <t>CMU</t>
        </is>
      </c>
      <c r="BI146" s="61" t="inlineStr">
        <is>
          <t>Commercial Mixed Use</t>
        </is>
      </c>
      <c r="BJ146" s="61" t="inlineStr"/>
      <c r="BK146" s="61" t="inlineStr"/>
      <c r="BL146" s="61" t="inlineStr">
        <is>
          <t>Bar permitted</t>
        </is>
      </c>
      <c r="BM146" s="61">
        <f>INDEX('Scoring Method'!$B$358:$B$363,MATCH(BL146,'Scoring Method'!$A$358:$A$363,0))</f>
        <v/>
      </c>
    </row>
    <row r="147" ht="15" customHeight="1" s="62">
      <c r="A147" s="92" t="n">
        <v>146</v>
      </c>
      <c r="B147" s="92" t="inlineStr">
        <is>
          <t>054-22-40-006.00</t>
        </is>
      </c>
      <c r="C147" s="92" t="inlineStr">
        <is>
          <t>1215 CHESAPEAKE ST</t>
        </is>
      </c>
      <c r="D147" s="92" t="inlineStr">
        <is>
          <t>FLANNERY LEASING LLC</t>
        </is>
      </c>
      <c r="E147" s="92" t="inlineStr">
        <is>
          <t>1215 CHESAPEAKE ST</t>
        </is>
      </c>
      <c r="F147" s="92" t="inlineStr">
        <is>
          <t>COVINGTON</t>
        </is>
      </c>
      <c r="G147" s="92" t="inlineStr">
        <is>
          <t>KY</t>
        </is>
      </c>
      <c r="H147" s="92" t="inlineStr">
        <is>
          <t>WAREHOUSE 1-20000 SQ FT</t>
        </is>
      </c>
      <c r="I147" s="93" t="n">
        <v>17312</v>
      </c>
      <c r="J147" s="94">
        <f>I147/43560</f>
        <v/>
      </c>
      <c r="K147" s="93" t="n">
        <v>570.3</v>
      </c>
      <c r="L147" s="95">
        <f>I147/(K147^2)</f>
        <v/>
      </c>
      <c r="M147" s="92" t="inlineStr">
        <is>
          <t>Near 14-18k/32-45k</t>
        </is>
      </c>
      <c r="N147" s="92" t="inlineStr">
        <is>
          <t>A</t>
        </is>
      </c>
      <c r="O147" s="92" t="inlineStr">
        <is>
          <t>Regular .045-.055</t>
        </is>
      </c>
      <c r="P147" s="92" t="inlineStr">
        <is>
          <t>Low</t>
        </is>
      </c>
      <c r="Q147" s="92" t="inlineStr">
        <is>
          <t>Owner-occupied</t>
        </is>
      </c>
      <c r="R147" s="92" t="inlineStr">
        <is>
          <t>Passive vehicle</t>
        </is>
      </c>
      <c r="S147" s="92" t="n">
        <v>1</v>
      </c>
      <c r="T147" s="96">
        <f>INDEX('Scoring Method'!$B$6:$B$9,MATCH(M147,'Scoring Method'!$A$6:$A$9,0))+INDEX('Scoring Method'!$B$12:$B$16,MATCH(N147,'Scoring Method'!$A$12:$A$16,0))+INDEX('Scoring Method'!$B$19:$B$22,MATCH(O147,'Scoring Method'!$A$19:$A$22,0))+INDEX('Scoring Method'!$B$25:$B$27,MATCH(P147,'Scoring Method'!$A$25:$A$27,0))</f>
        <v/>
      </c>
      <c r="U147" s="96">
        <f>(INDEX('Scoring Method'!$B$30:$B$33,MATCH(Q147,'Scoring Method'!$A$30:$A$33,0))+INDEX('Scoring Method'!$B$36:$B$42,MATCH(R147,'Scoring Method'!$A$36:$A$42,0))+INDEX('Scoring Method'!$B$45:$B$47,MATCH(IF(S147=1,"1",IF(S147=2,"2","3+")),'Scoring Method'!$A$45:$A$47,0)))/90*100</f>
        <v/>
      </c>
      <c r="V147" s="96">
        <f>T147*U147/100</f>
        <v/>
      </c>
      <c r="W147" s="93" t="n">
        <v>11385</v>
      </c>
      <c r="X147" s="92" t="inlineStr">
        <is>
          <t>X (minimal hazard)</t>
        </is>
      </c>
      <c r="Y147" s="93" t="n">
        <v>4050</v>
      </c>
      <c r="Z147" s="97" t="n"/>
      <c r="AA147" s="98">
        <f>MAX(0,(Y147-5000)/300)</f>
        <v/>
      </c>
      <c r="AB147" s="92" t="n"/>
      <c r="AC147" s="92" t="n"/>
      <c r="AD147" s="92" t="n"/>
      <c r="AE147" s="92" t="inlineStr">
        <is>
          <t>Oversize 6-12k</t>
        </is>
      </c>
      <c r="AF147" s="96">
        <f>INDEX('Scoring Method'!$B$63:$B$71,MATCH(AE147,'Scoring Method'!$A$63:$A$71,0))+INDEX('Scoring Method'!$B$75:$B$79,MATCH("Tight 2-5k",'Scoring Method'!$A$75:$A$79,0))+INDEX('Scoring Method'!$B$343:$B$347,MATCH(X147,'Scoring Method'!$A$343:$A$347,0))+INDEX('Scoring Method'!$B$25:$B$27,MATCH(P147,'Scoring Method'!$A$25:$A$27,0))</f>
        <v/>
      </c>
      <c r="AG147" s="96">
        <f>AF147*U147/100</f>
        <v/>
      </c>
      <c r="AH147" s="92" t="inlineStr">
        <is>
          <t>LINK-GIS + LoopNet (2026-08-02)</t>
        </is>
      </c>
      <c r="AI147" s="99" t="n">
        <v>39.07641</v>
      </c>
      <c r="AJ147" s="99" t="n">
        <v>-84.51105</v>
      </c>
      <c r="AK147" s="94" t="n">
        <v>0.66</v>
      </c>
      <c r="AL147" s="94" t="n">
        <v>1.01</v>
      </c>
      <c r="AM147" s="94" t="n">
        <v>1.74</v>
      </c>
      <c r="AN147" s="94" t="n">
        <v>0.52</v>
      </c>
      <c r="AO147" s="92" t="inlineStr">
        <is>
          <t>Near 0.35-0.75mi</t>
        </is>
      </c>
      <c r="AP147" s="92" t="inlineStr">
        <is>
          <t>Open span</t>
        </is>
      </c>
      <c r="AQ147" s="92" t="inlineStr">
        <is>
          <t>Tight 2-5k</t>
        </is>
      </c>
      <c r="AR147" s="100" t="n"/>
      <c r="AS147" s="96">
        <f>ROUND(INDEX('Scoring Method'!$B$63:$B$70,MATCH(AE147,'Scoring Method'!$A$63:$A$70,0))*0.625+INDEX('Scoring Method'!$B$105:$B$113,MATCH(AP147,'Scoring Method'!$A$105:$A$113,0))+INDEX('Scoring Method'!$B$74:$B$78,MATCH(AQ147,'Scoring Method'!$A$74:$A$78,0))*0.6667+INDEX('Scoring Method'!$B$96:$B$101,MATCH(AO147,'Scoring Method'!$A$96:$A$101,0))+INDEX('Scoring Method'!$B$343:$B$347,MATCH(X147,'Scoring Method'!$A$343:$A$347,0))*0.3333+INDEX('Scoring Method'!$B$25:$B$27,MATCH(P147,'Scoring Method'!$A$25:$A$27,0))*0.3333,1)</f>
        <v/>
      </c>
      <c r="AT147" s="96">
        <f>AS147*U147/100</f>
        <v/>
      </c>
      <c r="AU147" s="92" t="inlineStr">
        <is>
          <t>Old Seminary Square</t>
        </is>
      </c>
      <c r="AV147" s="92" t="n">
        <v>35</v>
      </c>
      <c r="AW147" s="101" t="inlineStr">
        <is>
          <t>ESTIMATED</t>
        </is>
      </c>
      <c r="AX147" s="92" t="inlineStr">
        <is>
          <t>Elevated 35-44</t>
        </is>
      </c>
      <c r="AY147" s="96">
        <f>ROUND(INDEX('Scoring Method'!$B$132:$B$140,MATCH(AE147,'Scoring Method'!$A$132:$A$140,0))+INDEX('Scoring Method'!$B$144:$B$152,MATCH(AP147,'Scoring Method'!$A$144:$A$152,0))+INDEX('Scoring Method'!$B$156:$B$160,MATCH(AQ147,'Scoring Method'!$A$156:$A$160,0))+INDEX('Scoring Method'!$B$164:$B$169,MATCH(AO147,'Scoring Method'!$A$164:$A$169,0))+INDEX('Scoring Method'!$B$173:$B$178,MATCH(AX147,'Scoring Method'!$A$173:$A$178,0))+INDEX('Scoring Method'!$B$349:$B$353,MATCH(X147,'Scoring Method'!$A$349:$A$353,0))+INDEX('Scoring Method'!$B$188:$B$190,MATCH(P147,'Scoring Method'!$A$188:$A$190,0)),1)</f>
        <v/>
      </c>
      <c r="AZ147" s="96">
        <f>AY147*U147/100</f>
        <v/>
      </c>
      <c r="BA147" s="92" t="inlineStr">
        <is>
          <t>Owner-occupied operator</t>
        </is>
      </c>
      <c r="BB147" s="94" t="n">
        <v>0.8</v>
      </c>
      <c r="BC147" s="92" t="inlineStr">
        <is>
          <t>Right-sized 0.35-0.75 AC</t>
        </is>
      </c>
      <c r="BD147" s="94" t="n">
        <v>1</v>
      </c>
      <c r="BE147" s="96">
        <f>ROUND(INDEX('Scoring Method'!$B$268:$B$276,MATCH(AE147,'Scoring Method'!$A$268:$A$276,0))+INDEX('Scoring Method'!$B$280:$B$288,MATCH(AP147,'Scoring Method'!$A$280:$A$288,0))+INDEX('Scoring Method'!$B$292:$B$296,MATCH(AQ147,'Scoring Method'!$A$292:$A$296,0))+INDEX('Scoring Method'!$B$300:$B$305,MATCH(AO147,'Scoring Method'!$A$300:$A$305,0))+INDEX('Scoring Method'!$B$309:$B$314,MATCH(AX147,'Scoring Method'!$A$309:$A$314,0))+INDEX('Scoring Method'!$B$337:$B$341,MATCH(X147,'Scoring Method'!$A$337:$A$341,0))+INDEX('Scoring Method'!$B$324:$B$326,MATCH(P147,'Scoring Method'!$A$324:$A$326,0)),1)</f>
        <v/>
      </c>
      <c r="BF147" s="96">
        <f>ROUND(INDEX('Scoring Method'!$B$268:$B$276,MATCH(AE147,'Scoring Method'!$A$268:$A$276,0))*BB147*BD147+INDEX('Scoring Method'!$B$280:$B$288,MATCH(AP147,'Scoring Method'!$A$280:$A$288,0))*BM147*BB147*BD147+INDEX('Scoring Method'!$B$292:$B$296,MATCH(AQ147,'Scoring Method'!$A$292:$A$296,0))*BD147+INDEX('Scoring Method'!$B$300:$B$305,MATCH(AO147,'Scoring Method'!$A$300:$A$305,0))*BM147*BB147+INDEX('Scoring Method'!$B$309:$B$314,MATCH(AX147,'Scoring Method'!$A$309:$A$314,0))+INDEX('Scoring Method'!$B$337:$B$341,MATCH(X147,'Scoring Method'!$A$337:$A$341,0))+INDEX('Scoring Method'!$B$324:$B$326,MATCH(P147,'Scoring Method'!$A$324:$A$326,0)),1)</f>
        <v/>
      </c>
      <c r="BG147" s="92" t="inlineStr">
        <is>
          <t>Fits (~$10,436/mo)</t>
        </is>
      </c>
      <c r="BH147" s="61" t="inlineStr">
        <is>
          <t>LI</t>
        </is>
      </c>
      <c r="BI147" s="61" t="inlineStr">
        <is>
          <t>Limited Industrial</t>
        </is>
      </c>
      <c r="BJ147" s="61" t="inlineStr"/>
      <c r="BK147" s="61" t="inlineStr"/>
      <c r="BL147" s="61" t="inlineStr">
        <is>
          <t>Bar prohibited, alt-path</t>
        </is>
      </c>
      <c r="BM147" s="61">
        <f>INDEX('Scoring Method'!$B$358:$B$363,MATCH(BL147,'Scoring Method'!$A$358:$A$363,0))</f>
        <v/>
      </c>
    </row>
    <row r="148" ht="15" customHeight="1" s="62">
      <c r="A148" s="92" t="n">
        <v>147</v>
      </c>
      <c r="B148" s="92" t="inlineStr">
        <is>
          <t>055-13-04-002.01</t>
        </is>
      </c>
      <c r="C148" s="92" t="inlineStr">
        <is>
          <t>1425 MADISON AVE</t>
        </is>
      </c>
      <c r="D148" s="92" t="inlineStr">
        <is>
          <t>HEALTHPOINT FAMILY CARE INC</t>
        </is>
      </c>
      <c r="E148" s="92" t="inlineStr">
        <is>
          <t>1401 MADISON AVE</t>
        </is>
      </c>
      <c r="F148" s="92" t="inlineStr">
        <is>
          <t>COVINGTON</t>
        </is>
      </c>
      <c r="G148" s="92" t="inlineStr">
        <is>
          <t>KY</t>
        </is>
      </c>
      <c r="H148" s="92" t="inlineStr">
        <is>
          <t>PAVED LOT</t>
        </is>
      </c>
      <c r="I148" s="93" t="n">
        <v>14150</v>
      </c>
      <c r="J148" s="94">
        <f>I148/43560</f>
        <v/>
      </c>
      <c r="K148" s="93" t="n">
        <v>487.1</v>
      </c>
      <c r="L148" s="95">
        <f>I148/(K148^2)</f>
        <v/>
      </c>
      <c r="M148" s="92" t="inlineStr">
        <is>
          <t>Near 14-18k/32-45k</t>
        </is>
      </c>
      <c r="N148" s="92" t="inlineStr">
        <is>
          <t>D</t>
        </is>
      </c>
      <c r="O148" s="92" t="inlineStr">
        <is>
          <t>Compact &gt;=.055</t>
        </is>
      </c>
      <c r="P148" s="92" t="inlineStr">
        <is>
          <t>Low</t>
        </is>
      </c>
      <c r="Q148" s="92" t="inlineStr">
        <is>
          <t>Local absentee</t>
        </is>
      </c>
      <c r="R148" s="92" t="inlineStr">
        <is>
          <t>Nonprofit/Inst</t>
        </is>
      </c>
      <c r="S148" s="92" t="n">
        <v>3</v>
      </c>
      <c r="T148" s="96">
        <f>INDEX('Scoring Method'!$B$6:$B$9,MATCH(M148,'Scoring Method'!$A$6:$A$9,0))+INDEX('Scoring Method'!$B$12:$B$16,MATCH(N148,'Scoring Method'!$A$12:$A$16,0))+INDEX('Scoring Method'!$B$19:$B$22,MATCH(O148,'Scoring Method'!$A$19:$A$22,0))+INDEX('Scoring Method'!$B$25:$B$27,MATCH(P148,'Scoring Method'!$A$25:$A$27,0))</f>
        <v/>
      </c>
      <c r="U148" s="96">
        <f>(INDEX('Scoring Method'!$B$30:$B$33,MATCH(Q148,'Scoring Method'!$A$30:$A$33,0))+INDEX('Scoring Method'!$B$36:$B$42,MATCH(R148,'Scoring Method'!$A$36:$A$42,0))+INDEX('Scoring Method'!$B$45:$B$47,MATCH(IF(S148=1,"1",IF(S148=2,"2","3+")),'Scoring Method'!$A$45:$A$47,0)))/90*100</f>
        <v/>
      </c>
      <c r="V148" s="96">
        <f>T148*U148/100</f>
        <v/>
      </c>
      <c r="W148" s="93" t="n">
        <v>200</v>
      </c>
      <c r="X148" s="92" t="inlineStr">
        <is>
          <t>X (minimal hazard)</t>
        </is>
      </c>
      <c r="Y148" s="93" t="n">
        <v>13700</v>
      </c>
      <c r="Z148" s="97" t="n"/>
      <c r="AA148" s="98">
        <f>MAX(0,(Y148-5000)/300)</f>
        <v/>
      </c>
      <c r="AB148" s="92" t="n"/>
      <c r="AC148" s="92" t="n"/>
      <c r="AD148" s="92" t="n"/>
      <c r="AE148" s="92" t="inlineStr">
        <is>
          <t>Too small &lt;1.2k</t>
        </is>
      </c>
      <c r="AF148" s="96">
        <f>INDEX('Scoring Method'!$B$63:$B$71,MATCH(AE148,'Scoring Method'!$A$63:$A$71,0))+INDEX('Scoring Method'!$B$75:$B$79,MATCH("Good 8-15k",'Scoring Method'!$A$75:$A$79,0))+INDEX('Scoring Method'!$B$343:$B$347,MATCH(X148,'Scoring Method'!$A$343:$A$347,0))+INDEX('Scoring Method'!$B$25:$B$27,MATCH(P148,'Scoring Method'!$A$25:$A$27,0))</f>
        <v/>
      </c>
      <c r="AG148" s="96">
        <f>AF148*U148/100</f>
        <v/>
      </c>
      <c r="AH148" s="92" t="inlineStr">
        <is>
          <t>LINK-GIS only</t>
        </is>
      </c>
      <c r="AI148" s="99" t="n">
        <v>39.07454</v>
      </c>
      <c r="AJ148" s="99" t="n">
        <v>-84.50805</v>
      </c>
      <c r="AK148" s="94" t="n">
        <v>0.86</v>
      </c>
      <c r="AL148" s="94" t="n">
        <v>1.13</v>
      </c>
      <c r="AM148" s="94" t="n">
        <v>1.88</v>
      </c>
      <c r="AN148" s="94" t="n">
        <v>0.67</v>
      </c>
      <c r="AO148" s="92" t="inlineStr">
        <is>
          <t>Near 0.35-0.75mi</t>
        </is>
      </c>
      <c r="AP148" s="92" t="inlineStr">
        <is>
          <t>Lot / minimal bldg</t>
        </is>
      </c>
      <c r="AQ148" s="92" t="inlineStr">
        <is>
          <t>Good 8-15k</t>
        </is>
      </c>
      <c r="AR148" s="100" t="n"/>
      <c r="AS148" s="96">
        <f>ROUND(INDEX('Scoring Method'!$B$63:$B$70,MATCH(AE148,'Scoring Method'!$A$63:$A$70,0))*0.625+INDEX('Scoring Method'!$B$105:$B$113,MATCH(AP148,'Scoring Method'!$A$105:$A$113,0))+INDEX('Scoring Method'!$B$74:$B$78,MATCH(AQ148,'Scoring Method'!$A$74:$A$78,0))*0.6667+INDEX('Scoring Method'!$B$96:$B$101,MATCH(AO148,'Scoring Method'!$A$96:$A$101,0))+INDEX('Scoring Method'!$B$343:$B$347,MATCH(X148,'Scoring Method'!$A$343:$A$347,0))*0.3333+INDEX('Scoring Method'!$B$25:$B$27,MATCH(P148,'Scoring Method'!$A$25:$A$27,0))*0.3333,1)</f>
        <v/>
      </c>
      <c r="AT148" s="96">
        <f>AS148*U148/100</f>
        <v/>
      </c>
      <c r="AU148" s="92" t="inlineStr">
        <is>
          <t>Eastside</t>
        </is>
      </c>
      <c r="AV148" s="92" t="n">
        <v>28</v>
      </c>
      <c r="AW148" s="101" t="inlineStr">
        <is>
          <t>ESTIMATED</t>
        </is>
      </c>
      <c r="AX148" s="92" t="inlineStr">
        <is>
          <t>High &lt;35</t>
        </is>
      </c>
      <c r="AY148" s="96">
        <f>ROUND(INDEX('Scoring Method'!$B$132:$B$140,MATCH(AE148,'Scoring Method'!$A$132:$A$140,0))+INDEX('Scoring Method'!$B$144:$B$152,MATCH(AP148,'Scoring Method'!$A$144:$A$152,0))+INDEX('Scoring Method'!$B$156:$B$160,MATCH(AQ148,'Scoring Method'!$A$156:$A$160,0))+INDEX('Scoring Method'!$B$164:$B$169,MATCH(AO148,'Scoring Method'!$A$164:$A$169,0))+INDEX('Scoring Method'!$B$173:$B$178,MATCH(AX148,'Scoring Method'!$A$173:$A$178,0))+INDEX('Scoring Method'!$B$349:$B$353,MATCH(X148,'Scoring Method'!$A$349:$A$353,0))+INDEX('Scoring Method'!$B$188:$B$190,MATCH(P148,'Scoring Method'!$A$188:$A$190,0)),1)</f>
        <v/>
      </c>
      <c r="AZ148" s="96">
        <f>AY148*U148/100</f>
        <v/>
      </c>
      <c r="BA148" s="103" t="inlineStr">
        <is>
          <t>Brand-owned / net lease</t>
        </is>
      </c>
      <c r="BB148" s="94" t="n">
        <v>0.3</v>
      </c>
      <c r="BC148" s="102" t="inlineStr">
        <is>
          <t>Small 0.25-0.35 AC</t>
        </is>
      </c>
      <c r="BD148" s="94" t="n">
        <v>0.9</v>
      </c>
      <c r="BE148" s="96">
        <f>ROUND(INDEX('Scoring Method'!$B$268:$B$276,MATCH(AE148,'Scoring Method'!$A$268:$A$276,0))+INDEX('Scoring Method'!$B$280:$B$288,MATCH(AP148,'Scoring Method'!$A$280:$A$288,0))+INDEX('Scoring Method'!$B$292:$B$296,MATCH(AQ148,'Scoring Method'!$A$292:$A$296,0))+INDEX('Scoring Method'!$B$300:$B$305,MATCH(AO148,'Scoring Method'!$A$300:$A$305,0))+INDEX('Scoring Method'!$B$309:$B$314,MATCH(AX148,'Scoring Method'!$A$309:$A$314,0))+INDEX('Scoring Method'!$B$337:$B$341,MATCH(X148,'Scoring Method'!$A$337:$A$341,0))+INDEX('Scoring Method'!$B$324:$B$326,MATCH(P148,'Scoring Method'!$A$324:$A$326,0)),1)</f>
        <v/>
      </c>
      <c r="BF148" s="96">
        <f>ROUND(INDEX('Scoring Method'!$B$268:$B$276,MATCH(AE148,'Scoring Method'!$A$268:$A$276,0))*BB148*BD148+INDEX('Scoring Method'!$B$280:$B$288,MATCH(AP148,'Scoring Method'!$A$280:$A$288,0))*BM148*BB148*BD148+INDEX('Scoring Method'!$B$292:$B$296,MATCH(AQ148,'Scoring Method'!$A$292:$A$296,0))*BD148+INDEX('Scoring Method'!$B$300:$B$305,MATCH(AO148,'Scoring Method'!$A$300:$A$305,0))*BM148*BB148+INDEX('Scoring Method'!$B$309:$B$314,MATCH(AX148,'Scoring Method'!$A$309:$A$314,0))+INDEX('Scoring Method'!$B$337:$B$341,MATCH(X148,'Scoring Method'!$A$337:$A$341,0))+INDEX('Scoring Method'!$B$324:$B$326,MATCH(P148,'Scoring Method'!$A$324:$A$326,0)),1)</f>
        <v/>
      </c>
      <c r="BG148" s="92" t="inlineStr">
        <is>
          <t>Fits (~$183/mo)</t>
        </is>
      </c>
      <c r="BH148" s="61" t="inlineStr">
        <is>
          <t>DTC</t>
        </is>
      </c>
      <c r="BI148" s="61" t="inlineStr">
        <is>
          <t>Downtown Core</t>
        </is>
      </c>
      <c r="BJ148" s="61" t="inlineStr"/>
      <c r="BK148" s="61" t="inlineStr"/>
      <c r="BL148" s="61" t="inlineStr">
        <is>
          <t>Bar permitted</t>
        </is>
      </c>
      <c r="BM148" s="61">
        <f>INDEX('Scoring Method'!$B$358:$B$363,MATCH(BL148,'Scoring Method'!$A$358:$A$363,0))</f>
        <v/>
      </c>
    </row>
    <row r="149" ht="15" customHeight="1" s="62">
      <c r="A149" s="92" t="n">
        <v>148</v>
      </c>
      <c r="B149" s="92" t="inlineStr">
        <is>
          <t>054-23-03-005.00</t>
        </is>
      </c>
      <c r="C149" s="92" t="inlineStr">
        <is>
          <t>815 MADISON AVE</t>
        </is>
      </c>
      <c r="D149" s="92" t="inlineStr">
        <is>
          <t>BLUE BRIDGE HOLDINGS LLC</t>
        </is>
      </c>
      <c r="E149" s="92" t="inlineStr">
        <is>
          <t>814 WASHINGTON ST</t>
        </is>
      </c>
      <c r="F149" s="92" t="inlineStr">
        <is>
          <t>COVINGTON</t>
        </is>
      </c>
      <c r="G149" s="92" t="inlineStr">
        <is>
          <t>KY</t>
        </is>
      </c>
      <c r="H149" s="92" t="inlineStr">
        <is>
          <t>MIXED USE</t>
        </is>
      </c>
      <c r="I149" s="93" t="n">
        <v>13348</v>
      </c>
      <c r="J149" s="94">
        <f>I149/43560</f>
        <v/>
      </c>
      <c r="K149" s="93" t="n">
        <v>472.5</v>
      </c>
      <c r="L149" s="95">
        <f>I149/(K149^2)</f>
        <v/>
      </c>
      <c r="M149" s="92" t="inlineStr">
        <is>
          <t>Marginal 10-14k/45-60k</t>
        </is>
      </c>
      <c r="N149" s="92" t="inlineStr">
        <is>
          <t>C</t>
        </is>
      </c>
      <c r="O149" s="92" t="inlineStr">
        <is>
          <t>Compact &gt;=.055</t>
        </is>
      </c>
      <c r="P149" s="92" t="inlineStr">
        <is>
          <t>Low</t>
        </is>
      </c>
      <c r="Q149" s="92" t="inlineStr">
        <is>
          <t>Local absentee</t>
        </is>
      </c>
      <c r="R149" s="92" t="inlineStr">
        <is>
          <t>Passive vehicle</t>
        </is>
      </c>
      <c r="S149" s="92" t="n">
        <v>1</v>
      </c>
      <c r="T149" s="96">
        <f>INDEX('Scoring Method'!$B$6:$B$9,MATCH(M149,'Scoring Method'!$A$6:$A$9,0))+INDEX('Scoring Method'!$B$12:$B$16,MATCH(N149,'Scoring Method'!$A$12:$A$16,0))+INDEX('Scoring Method'!$B$19:$B$22,MATCH(O149,'Scoring Method'!$A$19:$A$22,0))+INDEX('Scoring Method'!$B$25:$B$27,MATCH(P149,'Scoring Method'!$A$25:$A$27,0))</f>
        <v/>
      </c>
      <c r="U149" s="96">
        <f>(INDEX('Scoring Method'!$B$30:$B$33,MATCH(Q149,'Scoring Method'!$A$30:$A$33,0))+INDEX('Scoring Method'!$B$36:$B$42,MATCH(R149,'Scoring Method'!$A$36:$A$42,0))+INDEX('Scoring Method'!$B$45:$B$47,MATCH(IF(S149=1,"1",IF(S149=2,"2","3+")),'Scoring Method'!$A$45:$A$47,0)))/90*100</f>
        <v/>
      </c>
      <c r="V149" s="96">
        <f>T149*U149/100</f>
        <v/>
      </c>
      <c r="W149" s="93" t="n">
        <v>7692</v>
      </c>
      <c r="X149" s="92" t="inlineStr">
        <is>
          <t>X (minimal hazard)</t>
        </is>
      </c>
      <c r="Y149" s="93" t="n">
        <v>6475</v>
      </c>
      <c r="Z149" s="97">
        <f>W149/I149</f>
        <v/>
      </c>
      <c r="AA149" s="98">
        <f>MAX(0,(Y149-5000)/300)</f>
        <v/>
      </c>
      <c r="AB149" s="92" t="n"/>
      <c r="AC149" s="92" t="n">
        <v>0.31</v>
      </c>
      <c r="AD149" s="92" t="inlineStr">
        <is>
          <t>ok</t>
        </is>
      </c>
      <c r="AE149" s="92" t="inlineStr">
        <is>
          <t>Oversize 6-12k</t>
        </is>
      </c>
      <c r="AF149" s="96">
        <f>INDEX('Scoring Method'!$B$63:$B$71,MATCH(AE149,'Scoring Method'!$A$63:$A$71,0))+INDEX('Scoring Method'!$B$75:$B$79,MATCH("Adequate 5-8k",'Scoring Method'!$A$75:$A$79,0))+INDEX('Scoring Method'!$B$343:$B$347,MATCH(X149,'Scoring Method'!$A$343:$A$347,0))+INDEX('Scoring Method'!$B$25:$B$27,MATCH(P149,'Scoring Method'!$A$25:$A$27,0))</f>
        <v/>
      </c>
      <c r="AG149" s="96">
        <f>AF149*U149/100</f>
        <v/>
      </c>
      <c r="AH149" s="92" t="inlineStr">
        <is>
          <t>LINK-GIS + LoopNet</t>
        </is>
      </c>
      <c r="AI149" s="99" t="n">
        <v>39.08157</v>
      </c>
      <c r="AJ149" s="99" t="n">
        <v>-84.51005000000001</v>
      </c>
      <c r="AK149" s="94" t="n">
        <v>0.46</v>
      </c>
      <c r="AL149" s="94" t="n">
        <v>0.65</v>
      </c>
      <c r="AM149" s="94" t="n">
        <v>1.38</v>
      </c>
      <c r="AN149" s="94" t="n">
        <v>0.17</v>
      </c>
      <c r="AO149" s="92" t="inlineStr">
        <is>
          <t>Core &lt;=0.35mi</t>
        </is>
      </c>
      <c r="AP149" s="92" t="inlineStr">
        <is>
          <t>Retail shell</t>
        </is>
      </c>
      <c r="AQ149" s="92" t="inlineStr">
        <is>
          <t>Adequate 5-8k</t>
        </is>
      </c>
      <c r="AR149" s="100" t="n"/>
      <c r="AS149" s="96">
        <f>ROUND(INDEX('Scoring Method'!$B$63:$B$70,MATCH(AE149,'Scoring Method'!$A$63:$A$70,0))*0.625+INDEX('Scoring Method'!$B$105:$B$113,MATCH(AP149,'Scoring Method'!$A$105:$A$113,0))+INDEX('Scoring Method'!$B$74:$B$78,MATCH(AQ149,'Scoring Method'!$A$74:$A$78,0))*0.6667+INDEX('Scoring Method'!$B$96:$B$101,MATCH(AO149,'Scoring Method'!$A$96:$A$101,0))+INDEX('Scoring Method'!$B$343:$B$347,MATCH(X149,'Scoring Method'!$A$343:$A$347,0))*0.3333+INDEX('Scoring Method'!$B$25:$B$27,MATCH(P149,'Scoring Method'!$A$25:$A$27,0))*0.3333,1)</f>
        <v/>
      </c>
      <c r="AT149" s="96">
        <f>AS149*U149/100</f>
        <v/>
      </c>
      <c r="AU149" s="92" t="inlineStr">
        <is>
          <t>Central Business District</t>
        </is>
      </c>
      <c r="AV149" s="92" t="n">
        <v>48</v>
      </c>
      <c r="AW149" s="101" t="inlineStr">
        <is>
          <t>ESTIMATED</t>
        </is>
      </c>
      <c r="AX149" s="92" t="inlineStr">
        <is>
          <t>Mixed 45-59</t>
        </is>
      </c>
      <c r="AY149" s="96">
        <f>ROUND(INDEX('Scoring Method'!$B$132:$B$140,MATCH(AE149,'Scoring Method'!$A$132:$A$140,0))+INDEX('Scoring Method'!$B$144:$B$152,MATCH(AP149,'Scoring Method'!$A$144:$A$152,0))+INDEX('Scoring Method'!$B$156:$B$160,MATCH(AQ149,'Scoring Method'!$A$156:$A$160,0))+INDEX('Scoring Method'!$B$164:$B$169,MATCH(AO149,'Scoring Method'!$A$164:$A$169,0))+INDEX('Scoring Method'!$B$173:$B$178,MATCH(AX149,'Scoring Method'!$A$173:$A$178,0))+INDEX('Scoring Method'!$B$349:$B$353,MATCH(X149,'Scoring Method'!$A$349:$A$353,0))+INDEX('Scoring Method'!$B$188:$B$190,MATCH(P149,'Scoring Method'!$A$188:$A$190,0)),1)</f>
        <v/>
      </c>
      <c r="AZ149" s="96">
        <f>AY149*U149/100</f>
        <v/>
      </c>
      <c r="BA149" s="92" t="inlineStr">
        <is>
          <t>No chain signal</t>
        </is>
      </c>
      <c r="BB149" s="94" t="n">
        <v>1</v>
      </c>
      <c r="BC149" s="102" t="inlineStr">
        <is>
          <t>Small 0.25-0.35 AC</t>
        </is>
      </c>
      <c r="BD149" s="94" t="n">
        <v>0.9</v>
      </c>
      <c r="BE149" s="96">
        <f>ROUND(INDEX('Scoring Method'!$B$268:$B$276,MATCH(AE149,'Scoring Method'!$A$268:$A$276,0))+INDEX('Scoring Method'!$B$280:$B$288,MATCH(AP149,'Scoring Method'!$A$280:$A$288,0))+INDEX('Scoring Method'!$B$292:$B$296,MATCH(AQ149,'Scoring Method'!$A$292:$A$296,0))+INDEX('Scoring Method'!$B$300:$B$305,MATCH(AO149,'Scoring Method'!$A$300:$A$305,0))+INDEX('Scoring Method'!$B$309:$B$314,MATCH(AX149,'Scoring Method'!$A$309:$A$314,0))+INDEX('Scoring Method'!$B$337:$B$341,MATCH(X149,'Scoring Method'!$A$337:$A$341,0))+INDEX('Scoring Method'!$B$324:$B$326,MATCH(P149,'Scoring Method'!$A$324:$A$326,0)),1)</f>
        <v/>
      </c>
      <c r="BF149" s="96">
        <f>ROUND(INDEX('Scoring Method'!$B$268:$B$276,MATCH(AE149,'Scoring Method'!$A$268:$A$276,0))*BB149*BD149+INDEX('Scoring Method'!$B$280:$B$288,MATCH(AP149,'Scoring Method'!$A$280:$A$288,0))*BM149*BB149*BD149+INDEX('Scoring Method'!$B$292:$B$296,MATCH(AQ149,'Scoring Method'!$A$292:$A$296,0))*BD149+INDEX('Scoring Method'!$B$300:$B$305,MATCH(AO149,'Scoring Method'!$A$300:$A$305,0))*BM149*BB149+INDEX('Scoring Method'!$B$309:$B$314,MATCH(AX149,'Scoring Method'!$A$309:$A$314,0))+INDEX('Scoring Method'!$B$337:$B$341,MATCH(X149,'Scoring Method'!$A$337:$A$341,0))+INDEX('Scoring Method'!$B$324:$B$326,MATCH(P149,'Scoring Method'!$A$324:$A$326,0)),1)</f>
        <v/>
      </c>
      <c r="BG149" s="92" t="inlineStr">
        <is>
          <t>Fits (~$7,051/mo)</t>
        </is>
      </c>
      <c r="BH149" s="61" t="inlineStr">
        <is>
          <t>DTC (HP)</t>
        </is>
      </c>
      <c r="BI149" s="61" t="inlineStr">
        <is>
          <t>Downtown Core</t>
        </is>
      </c>
      <c r="BJ149" s="61" t="inlineStr">
        <is>
          <t>HP</t>
        </is>
      </c>
      <c r="BK149" s="61" t="inlineStr"/>
      <c r="BL149" s="61" t="inlineStr">
        <is>
          <t>Bar permitted</t>
        </is>
      </c>
      <c r="BM149" s="61">
        <f>INDEX('Scoring Method'!$B$358:$B$363,MATCH(BL149,'Scoring Method'!$A$358:$A$363,0))</f>
        <v/>
      </c>
    </row>
    <row r="150" ht="15" customHeight="1" s="62">
      <c r="A150" s="92" t="n">
        <v>149</v>
      </c>
      <c r="B150" s="92" t="inlineStr">
        <is>
          <t>054-21-22-001.00</t>
        </is>
      </c>
      <c r="C150" s="92" t="inlineStr">
        <is>
          <t>39 W 6TH ST</t>
        </is>
      </c>
      <c r="D150" s="92" t="inlineStr">
        <is>
          <t>BFS RETAIL &amp; COMMERCIAL</t>
        </is>
      </c>
      <c r="E150" s="92" t="inlineStr">
        <is>
          <t>333 E LAKE ST</t>
        </is>
      </c>
      <c r="F150" s="92" t="inlineStr">
        <is>
          <t>BLOOMINGDALE</t>
        </is>
      </c>
      <c r="G150" s="92" t="inlineStr">
        <is>
          <t>IL</t>
        </is>
      </c>
      <c r="H150" s="92" t="inlineStr">
        <is>
          <t>AUTO SERVICE/REPAIR</t>
        </is>
      </c>
      <c r="I150" s="93" t="n">
        <v>12445</v>
      </c>
      <c r="J150" s="94">
        <f>I150/43560</f>
        <v/>
      </c>
      <c r="K150" s="93" t="n">
        <v>448.8</v>
      </c>
      <c r="L150" s="95">
        <f>I150/(K150^2)</f>
        <v/>
      </c>
      <c r="M150" s="92" t="inlineStr">
        <is>
          <t>Marginal 10-14k/45-60k</t>
        </is>
      </c>
      <c r="N150" s="92" t="inlineStr">
        <is>
          <t>A</t>
        </is>
      </c>
      <c r="O150" s="92" t="inlineStr">
        <is>
          <t>Compact &gt;=.055</t>
        </is>
      </c>
      <c r="P150" s="92" t="inlineStr">
        <is>
          <t>Moderate</t>
        </is>
      </c>
      <c r="Q150" s="92" t="inlineStr">
        <is>
          <t>Out-of-state</t>
        </is>
      </c>
      <c r="R150" s="92" t="inlineStr">
        <is>
          <t>National corporate</t>
        </is>
      </c>
      <c r="S150" s="92" t="n">
        <v>1</v>
      </c>
      <c r="T150" s="96">
        <f>INDEX('Scoring Method'!$B$6:$B$9,MATCH(M150,'Scoring Method'!$A$6:$A$9,0))+INDEX('Scoring Method'!$B$12:$B$16,MATCH(N150,'Scoring Method'!$A$12:$A$16,0))+INDEX('Scoring Method'!$B$19:$B$22,MATCH(O150,'Scoring Method'!$A$19:$A$22,0))+INDEX('Scoring Method'!$B$25:$B$27,MATCH(P150,'Scoring Method'!$A$25:$A$27,0))</f>
        <v/>
      </c>
      <c r="U150" s="96">
        <f>(INDEX('Scoring Method'!$B$30:$B$33,MATCH(Q150,'Scoring Method'!$A$30:$A$33,0))+INDEX('Scoring Method'!$B$36:$B$42,MATCH(R150,'Scoring Method'!$A$36:$A$42,0))+INDEX('Scoring Method'!$B$45:$B$47,MATCH(IF(S150=1,"1",IF(S150=2,"2","3+")),'Scoring Method'!$A$45:$A$47,0)))/90*100</f>
        <v/>
      </c>
      <c r="V150" s="96">
        <f>T150*U150/100</f>
        <v/>
      </c>
      <c r="W150" s="93" t="n">
        <v>4606</v>
      </c>
      <c r="X150" s="92" t="inlineStr">
        <is>
          <t>X (minimal hazard)</t>
        </is>
      </c>
      <c r="Y150" s="93" t="n">
        <v>6850</v>
      </c>
      <c r="Z150" s="97" t="n"/>
      <c r="AA150" s="98">
        <f>MAX(0,(Y150-5000)/300)</f>
        <v/>
      </c>
      <c r="AB150" s="92" t="n"/>
      <c r="AC150" s="92" t="n"/>
      <c r="AD150" s="92" t="n"/>
      <c r="AE150" s="92" t="inlineStr">
        <is>
          <t>Large 4-6k</t>
        </is>
      </c>
      <c r="AF150" s="96">
        <f>INDEX('Scoring Method'!$B$63:$B$71,MATCH(AE150,'Scoring Method'!$A$63:$A$71,0))+INDEX('Scoring Method'!$B$75:$B$79,MATCH("Adequate 5-8k",'Scoring Method'!$A$75:$A$79,0))+INDEX('Scoring Method'!$B$343:$B$347,MATCH(X150,'Scoring Method'!$A$343:$A$347,0))+INDEX('Scoring Method'!$B$25:$B$27,MATCH(P150,'Scoring Method'!$A$25:$A$27,0))</f>
        <v/>
      </c>
      <c r="AG150" s="96">
        <f>AF150*U150/100</f>
        <v/>
      </c>
      <c r="AH150" s="92" t="inlineStr">
        <is>
          <t>LINK-GIS + LoopNet (2026-08-02)</t>
        </is>
      </c>
      <c r="AI150" s="99" t="n">
        <v>39.08426</v>
      </c>
      <c r="AJ150" s="99" t="n">
        <v>-84.51168</v>
      </c>
      <c r="AK150" s="94" t="n">
        <v>0.33</v>
      </c>
      <c r="AL150" s="94" t="n">
        <v>0.49</v>
      </c>
      <c r="AM150" s="94" t="n">
        <v>1.19</v>
      </c>
      <c r="AN150" s="94" t="n">
        <v>0.04</v>
      </c>
      <c r="AO150" s="92" t="inlineStr">
        <is>
          <t>Core &lt;=0.35mi</t>
        </is>
      </c>
      <c r="AP150" s="92" t="inlineStr">
        <is>
          <t>Open span</t>
        </is>
      </c>
      <c r="AQ150" s="92" t="inlineStr">
        <is>
          <t>Adequate 5-8k</t>
        </is>
      </c>
      <c r="AR150" s="100" t="n"/>
      <c r="AS150" s="96">
        <f>ROUND(INDEX('Scoring Method'!$B$63:$B$70,MATCH(AE150,'Scoring Method'!$A$63:$A$70,0))*0.625+INDEX('Scoring Method'!$B$105:$B$113,MATCH(AP150,'Scoring Method'!$A$105:$A$113,0))+INDEX('Scoring Method'!$B$74:$B$78,MATCH(AQ150,'Scoring Method'!$A$74:$A$78,0))*0.6667+INDEX('Scoring Method'!$B$96:$B$101,MATCH(AO150,'Scoring Method'!$A$96:$A$101,0))+INDEX('Scoring Method'!$B$343:$B$347,MATCH(X150,'Scoring Method'!$A$343:$A$347,0))*0.3333+INDEX('Scoring Method'!$B$25:$B$27,MATCH(P150,'Scoring Method'!$A$25:$A$27,0))*0.3333,1)</f>
        <v/>
      </c>
      <c r="AT150" s="96">
        <f>AS150*U150/100</f>
        <v/>
      </c>
      <c r="AU150" s="92" t="inlineStr">
        <is>
          <t>Central Business District</t>
        </is>
      </c>
      <c r="AV150" s="92" t="n">
        <v>48</v>
      </c>
      <c r="AW150" s="101" t="inlineStr">
        <is>
          <t>ESTIMATED</t>
        </is>
      </c>
      <c r="AX150" s="92" t="inlineStr">
        <is>
          <t>Mixed 45-59</t>
        </is>
      </c>
      <c r="AY150" s="96">
        <f>ROUND(INDEX('Scoring Method'!$B$132:$B$140,MATCH(AE150,'Scoring Method'!$A$132:$A$140,0))+INDEX('Scoring Method'!$B$144:$B$152,MATCH(AP150,'Scoring Method'!$A$144:$A$152,0))+INDEX('Scoring Method'!$B$156:$B$160,MATCH(AQ150,'Scoring Method'!$A$156:$A$160,0))+INDEX('Scoring Method'!$B$164:$B$169,MATCH(AO150,'Scoring Method'!$A$164:$A$169,0))+INDEX('Scoring Method'!$B$173:$B$178,MATCH(AX150,'Scoring Method'!$A$173:$A$178,0))+INDEX('Scoring Method'!$B$349:$B$353,MATCH(X150,'Scoring Method'!$A$349:$A$353,0))+INDEX('Scoring Method'!$B$188:$B$190,MATCH(P150,'Scoring Method'!$A$188:$A$190,0)),1)</f>
        <v/>
      </c>
      <c r="AZ150" s="96">
        <f>AY150*U150/100</f>
        <v/>
      </c>
      <c r="BA150" s="103" t="inlineStr">
        <is>
          <t>Brand-owned / net lease</t>
        </is>
      </c>
      <c r="BB150" s="94" t="n">
        <v>0.3</v>
      </c>
      <c r="BC150" s="102" t="inlineStr">
        <is>
          <t>Small 0.25-0.35 AC</t>
        </is>
      </c>
      <c r="BD150" s="94" t="n">
        <v>0.9</v>
      </c>
      <c r="BE150" s="96">
        <f>ROUND(INDEX('Scoring Method'!$B$268:$B$276,MATCH(AE150,'Scoring Method'!$A$268:$A$276,0))+INDEX('Scoring Method'!$B$280:$B$288,MATCH(AP150,'Scoring Method'!$A$280:$A$288,0))+INDEX('Scoring Method'!$B$292:$B$296,MATCH(AQ150,'Scoring Method'!$A$292:$A$296,0))+INDEX('Scoring Method'!$B$300:$B$305,MATCH(AO150,'Scoring Method'!$A$300:$A$305,0))+INDEX('Scoring Method'!$B$309:$B$314,MATCH(AX150,'Scoring Method'!$A$309:$A$314,0))+INDEX('Scoring Method'!$B$337:$B$341,MATCH(X150,'Scoring Method'!$A$337:$A$341,0))+INDEX('Scoring Method'!$B$324:$B$326,MATCH(P150,'Scoring Method'!$A$324:$A$326,0)),1)</f>
        <v/>
      </c>
      <c r="BF150" s="96">
        <f>ROUND(INDEX('Scoring Method'!$B$268:$B$276,MATCH(AE150,'Scoring Method'!$A$268:$A$276,0))*BB150*BD150+INDEX('Scoring Method'!$B$280:$B$288,MATCH(AP150,'Scoring Method'!$A$280:$A$288,0))*BM150*BB150*BD150+INDEX('Scoring Method'!$B$292:$B$296,MATCH(AQ150,'Scoring Method'!$A$292:$A$296,0))*BD150+INDEX('Scoring Method'!$B$300:$B$305,MATCH(AO150,'Scoring Method'!$A$300:$A$305,0))*BM150*BB150+INDEX('Scoring Method'!$B$309:$B$314,MATCH(AX150,'Scoring Method'!$A$309:$A$314,0))+INDEX('Scoring Method'!$B$337:$B$341,MATCH(X150,'Scoring Method'!$A$337:$A$341,0))+INDEX('Scoring Method'!$B$324:$B$326,MATCH(P150,'Scoring Method'!$A$324:$A$326,0)),1)</f>
        <v/>
      </c>
      <c r="BG150" s="92" t="inlineStr">
        <is>
          <t>Fits (~$4,222/mo)</t>
        </is>
      </c>
      <c r="BH150" s="61" t="inlineStr">
        <is>
          <t>DTC (HP)</t>
        </is>
      </c>
      <c r="BI150" s="61" t="inlineStr">
        <is>
          <t>Downtown Core</t>
        </is>
      </c>
      <c r="BJ150" s="61" t="inlineStr">
        <is>
          <t>HP</t>
        </is>
      </c>
      <c r="BK150" s="61" t="inlineStr"/>
      <c r="BL150" s="61" t="inlineStr">
        <is>
          <t>Bar permitted</t>
        </is>
      </c>
      <c r="BM150" s="61">
        <f>INDEX('Scoring Method'!$B$358:$B$363,MATCH(BL150,'Scoring Method'!$A$358:$A$363,0))</f>
        <v/>
      </c>
    </row>
    <row r="151" ht="15" customHeight="1" s="62">
      <c r="A151" s="92" t="n">
        <v>150</v>
      </c>
      <c r="B151" s="92" t="inlineStr">
        <is>
          <t>054-23-06-001.00</t>
        </is>
      </c>
      <c r="C151" s="92" t="inlineStr">
        <is>
          <t>601 SCOTT ST</t>
        </is>
      </c>
      <c r="D151" s="92" t="inlineStr">
        <is>
          <t>608 MADISON LLC</t>
        </is>
      </c>
      <c r="E151" s="92" t="inlineStr">
        <is>
          <t>25 W ROBBINS ST</t>
        </is>
      </c>
      <c r="F151" s="92" t="inlineStr">
        <is>
          <t>COVINGTON</t>
        </is>
      </c>
      <c r="G151" s="92" t="inlineStr">
        <is>
          <t>KY</t>
        </is>
      </c>
      <c r="H151" s="92" t="inlineStr">
        <is>
          <t>LAND/W MISCELLANEOUS IMPROVEMENT</t>
        </is>
      </c>
      <c r="I151" s="93" t="n">
        <v>22544</v>
      </c>
      <c r="J151" s="94">
        <f>I151/43560</f>
        <v/>
      </c>
      <c r="K151" s="93" t="n">
        <v>649.8</v>
      </c>
      <c r="L151" s="95">
        <f>I151/(K151^2)</f>
        <v/>
      </c>
      <c r="M151" s="92" t="inlineStr">
        <is>
          <t>Ideal 18-32k</t>
        </is>
      </c>
      <c r="N151" s="92" t="inlineStr">
        <is>
          <t>D</t>
        </is>
      </c>
      <c r="O151" s="92" t="inlineStr">
        <is>
          <t>Regular .045-.055</t>
        </is>
      </c>
      <c r="P151" s="92" t="inlineStr">
        <is>
          <t>Low</t>
        </is>
      </c>
      <c r="Q151" s="92" t="inlineStr">
        <is>
          <t>Local absentee</t>
        </is>
      </c>
      <c r="R151" s="92" t="inlineStr">
        <is>
          <t>Operating entity</t>
        </is>
      </c>
      <c r="S151" s="92" t="n">
        <v>2</v>
      </c>
      <c r="T151" s="96">
        <f>INDEX('Scoring Method'!$B$6:$B$9,MATCH(M151,'Scoring Method'!$A$6:$A$9,0))+INDEX('Scoring Method'!$B$12:$B$16,MATCH(N151,'Scoring Method'!$A$12:$A$16,0))+INDEX('Scoring Method'!$B$19:$B$22,MATCH(O151,'Scoring Method'!$A$19:$A$22,0))+INDEX('Scoring Method'!$B$25:$B$27,MATCH(P151,'Scoring Method'!$A$25:$A$27,0))</f>
        <v/>
      </c>
      <c r="U151" s="96">
        <f>(INDEX('Scoring Method'!$B$30:$B$33,MATCH(Q151,'Scoring Method'!$A$30:$A$33,0))+INDEX('Scoring Method'!$B$36:$B$42,MATCH(R151,'Scoring Method'!$A$36:$A$42,0))+INDEX('Scoring Method'!$B$45:$B$47,MATCH(IF(S151=1,"1",IF(S151=2,"2","3+")),'Scoring Method'!$A$45:$A$47,0)))/90*100</f>
        <v/>
      </c>
      <c r="V151" s="96">
        <f>T151*U151/100</f>
        <v/>
      </c>
      <c r="W151" s="93" t="n"/>
      <c r="X151" s="92" t="inlineStr">
        <is>
          <t>X (minimal hazard)</t>
        </is>
      </c>
      <c r="Y151" s="93" t="n">
        <v>21625</v>
      </c>
      <c r="Z151" s="97" t="n"/>
      <c r="AA151" s="98" t="n"/>
      <c r="AB151" s="92" t="n"/>
      <c r="AC151" s="92" t="n">
        <v>0.52</v>
      </c>
      <c r="AD151" s="92" t="inlineStr">
        <is>
          <t>ok</t>
        </is>
      </c>
      <c r="AE151" s="92" t="inlineStr">
        <is>
          <t>No building</t>
        </is>
      </c>
      <c r="AF151" s="96">
        <f>INDEX('Scoring Method'!$B$63:$B$71,MATCH(AE151,'Scoring Method'!$A$63:$A$71,0))+INDEX('Scoring Method'!$B$75:$B$79,MATCH("Ample &gt;=15k",'Scoring Method'!$A$75:$A$79,0))+INDEX('Scoring Method'!$B$343:$B$347,MATCH(X151,'Scoring Method'!$A$343:$A$347,0))+INDEX('Scoring Method'!$B$25:$B$27,MATCH(P151,'Scoring Method'!$A$25:$A$27,0))</f>
        <v/>
      </c>
      <c r="AG151" s="96">
        <f>AF151*U151/100</f>
        <v/>
      </c>
      <c r="AH151" s="92" t="inlineStr">
        <is>
          <t>LINK-GIS + LoopNet</t>
        </is>
      </c>
      <c r="AI151" s="99" t="n">
        <v>39.08462</v>
      </c>
      <c r="AJ151" s="99" t="n">
        <v>-84.50935</v>
      </c>
      <c r="AK151" s="94" t="n">
        <v>0.46</v>
      </c>
      <c r="AL151" s="94" t="n">
        <v>0.43</v>
      </c>
      <c r="AM151" s="94" t="n">
        <v>1.18</v>
      </c>
      <c r="AN151" s="94" t="n">
        <v>0.1</v>
      </c>
      <c r="AO151" s="92" t="inlineStr">
        <is>
          <t>Core &lt;=0.35mi</t>
        </is>
      </c>
      <c r="AP151" s="92" t="inlineStr">
        <is>
          <t>Lot / minimal bldg</t>
        </is>
      </c>
      <c r="AQ151" s="92" t="inlineStr">
        <is>
          <t>Ample &gt;=15k</t>
        </is>
      </c>
      <c r="AR151" s="100" t="n"/>
      <c r="AS151" s="96">
        <f>ROUND(INDEX('Scoring Method'!$B$63:$B$70,MATCH(AE151,'Scoring Method'!$A$63:$A$70,0))*0.625+INDEX('Scoring Method'!$B$105:$B$113,MATCH(AP151,'Scoring Method'!$A$105:$A$113,0))+INDEX('Scoring Method'!$B$74:$B$78,MATCH(AQ151,'Scoring Method'!$A$74:$A$78,0))*0.6667+INDEX('Scoring Method'!$B$96:$B$101,MATCH(AO151,'Scoring Method'!$A$96:$A$101,0))+INDEX('Scoring Method'!$B$343:$B$347,MATCH(X151,'Scoring Method'!$A$343:$A$347,0))*0.3333+INDEX('Scoring Method'!$B$25:$B$27,MATCH(P151,'Scoring Method'!$A$25:$A$27,0))*0.3333,1)</f>
        <v/>
      </c>
      <c r="AT151" s="96">
        <f>AS151*U151/100</f>
        <v/>
      </c>
      <c r="AU151" s="92" t="inlineStr">
        <is>
          <t>Central Business District</t>
        </is>
      </c>
      <c r="AV151" s="92" t="n">
        <v>48</v>
      </c>
      <c r="AW151" s="101" t="inlineStr">
        <is>
          <t>ESTIMATED</t>
        </is>
      </c>
      <c r="AX151" s="92" t="inlineStr">
        <is>
          <t>Mixed 45-59</t>
        </is>
      </c>
      <c r="AY151" s="96">
        <f>ROUND(INDEX('Scoring Method'!$B$132:$B$140,MATCH(AE151,'Scoring Method'!$A$132:$A$140,0))+INDEX('Scoring Method'!$B$144:$B$152,MATCH(AP151,'Scoring Method'!$A$144:$A$152,0))+INDEX('Scoring Method'!$B$156:$B$160,MATCH(AQ151,'Scoring Method'!$A$156:$A$160,0))+INDEX('Scoring Method'!$B$164:$B$169,MATCH(AO151,'Scoring Method'!$A$164:$A$169,0))+INDEX('Scoring Method'!$B$173:$B$178,MATCH(AX151,'Scoring Method'!$A$173:$A$178,0))+INDEX('Scoring Method'!$B$349:$B$353,MATCH(X151,'Scoring Method'!$A$349:$A$353,0))+INDEX('Scoring Method'!$B$188:$B$190,MATCH(P151,'Scoring Method'!$A$188:$A$190,0)),1)</f>
        <v/>
      </c>
      <c r="AZ151" s="96">
        <f>AY151*U151/100</f>
        <v/>
      </c>
      <c r="BA151" s="92" t="inlineStr">
        <is>
          <t>No chain signal</t>
        </is>
      </c>
      <c r="BB151" s="94" t="n">
        <v>1</v>
      </c>
      <c r="BC151" s="92" t="inlineStr">
        <is>
          <t>Right-sized 0.35-0.75 AC</t>
        </is>
      </c>
      <c r="BD151" s="94" t="n">
        <v>1</v>
      </c>
      <c r="BE151" s="96">
        <f>ROUND(INDEX('Scoring Method'!$B$268:$B$276,MATCH(AE151,'Scoring Method'!$A$268:$A$276,0))+INDEX('Scoring Method'!$B$280:$B$288,MATCH(AP151,'Scoring Method'!$A$280:$A$288,0))+INDEX('Scoring Method'!$B$292:$B$296,MATCH(AQ151,'Scoring Method'!$A$292:$A$296,0))+INDEX('Scoring Method'!$B$300:$B$305,MATCH(AO151,'Scoring Method'!$A$300:$A$305,0))+INDEX('Scoring Method'!$B$309:$B$314,MATCH(AX151,'Scoring Method'!$A$309:$A$314,0))+INDEX('Scoring Method'!$B$337:$B$341,MATCH(X151,'Scoring Method'!$A$337:$A$341,0))+INDEX('Scoring Method'!$B$324:$B$326,MATCH(P151,'Scoring Method'!$A$324:$A$326,0)),1)</f>
        <v/>
      </c>
      <c r="BF151" s="96">
        <f>ROUND(INDEX('Scoring Method'!$B$268:$B$276,MATCH(AE151,'Scoring Method'!$A$268:$A$276,0))*BB151*BD151+INDEX('Scoring Method'!$B$280:$B$288,MATCH(AP151,'Scoring Method'!$A$280:$A$288,0))*BM151*BB151*BD151+INDEX('Scoring Method'!$B$292:$B$296,MATCH(AQ151,'Scoring Method'!$A$292:$A$296,0))*BD151+INDEX('Scoring Method'!$B$300:$B$305,MATCH(AO151,'Scoring Method'!$A$300:$A$305,0))*BM151*BB151+INDEX('Scoring Method'!$B$309:$B$314,MATCH(AX151,'Scoring Method'!$A$309:$A$314,0))+INDEX('Scoring Method'!$B$337:$B$341,MATCH(X151,'Scoring Method'!$A$337:$A$341,0))+INDEX('Scoring Method'!$B$324:$B$326,MATCH(P151,'Scoring Method'!$A$324:$A$326,0)),1)</f>
        <v/>
      </c>
      <c r="BG151" s="92" t="n"/>
      <c r="BH151" s="61" t="inlineStr">
        <is>
          <t>DTC (HP)</t>
        </is>
      </c>
      <c r="BI151" s="61" t="inlineStr">
        <is>
          <t>Downtown Core</t>
        </is>
      </c>
      <c r="BJ151" s="61" t="inlineStr">
        <is>
          <t>HP</t>
        </is>
      </c>
      <c r="BK151" s="61" t="inlineStr"/>
      <c r="BL151" s="61" t="inlineStr">
        <is>
          <t>Bar permitted</t>
        </is>
      </c>
      <c r="BM151" s="61">
        <f>INDEX('Scoring Method'!$B$358:$B$363,MATCH(BL151,'Scoring Method'!$A$358:$A$363,0))</f>
        <v/>
      </c>
    </row>
    <row r="152" ht="15" customHeight="1" s="62">
      <c r="A152" s="92" t="n">
        <v>151</v>
      </c>
      <c r="B152" s="92" t="inlineStr">
        <is>
          <t>056-12-00-001.00</t>
        </is>
      </c>
      <c r="C152" s="92" t="inlineStr">
        <is>
          <t>3535 LATONIA AVE</t>
        </is>
      </c>
      <c r="D152" s="92" t="inlineStr">
        <is>
          <t>INTERPLASTIC CORP</t>
        </is>
      </c>
      <c r="E152" s="92" t="inlineStr">
        <is>
          <t>1225 WILLOW LAKE BLVD</t>
        </is>
      </c>
      <c r="F152" s="92" t="inlineStr">
        <is>
          <t>ST PAUL</t>
        </is>
      </c>
      <c r="G152" s="92" t="inlineStr">
        <is>
          <t>MN</t>
        </is>
      </c>
      <c r="H152" s="92" t="inlineStr">
        <is>
          <t>PAVED LOT</t>
        </is>
      </c>
      <c r="I152" s="93" t="n">
        <v>30770</v>
      </c>
      <c r="J152" s="94">
        <f>I152/43560</f>
        <v/>
      </c>
      <c r="K152" s="93" t="n">
        <v>802.1</v>
      </c>
      <c r="L152" s="95">
        <f>I152/(K152^2)</f>
        <v/>
      </c>
      <c r="M152" s="92" t="inlineStr">
        <is>
          <t>Ideal 18-32k</t>
        </is>
      </c>
      <c r="N152" s="92" t="inlineStr">
        <is>
          <t>D</t>
        </is>
      </c>
      <c r="O152" s="92" t="inlineStr">
        <is>
          <t>Regular .045-.055</t>
        </is>
      </c>
      <c r="P152" s="92" t="inlineStr">
        <is>
          <t>Low</t>
        </is>
      </c>
      <c r="Q152" s="92" t="inlineStr">
        <is>
          <t>Out-of-state</t>
        </is>
      </c>
      <c r="R152" s="92" t="inlineStr">
        <is>
          <t>National corporate</t>
        </is>
      </c>
      <c r="S152" s="92" t="n">
        <v>1</v>
      </c>
      <c r="T152" s="96">
        <f>INDEX('Scoring Method'!$B$6:$B$9,MATCH(M152,'Scoring Method'!$A$6:$A$9,0))+INDEX('Scoring Method'!$B$12:$B$16,MATCH(N152,'Scoring Method'!$A$12:$A$16,0))+INDEX('Scoring Method'!$B$19:$B$22,MATCH(O152,'Scoring Method'!$A$19:$A$22,0))+INDEX('Scoring Method'!$B$25:$B$27,MATCH(P152,'Scoring Method'!$A$25:$A$27,0))</f>
        <v/>
      </c>
      <c r="U152" s="96">
        <f>(INDEX('Scoring Method'!$B$30:$B$33,MATCH(Q152,'Scoring Method'!$A$30:$A$33,0))+INDEX('Scoring Method'!$B$36:$B$42,MATCH(R152,'Scoring Method'!$A$36:$A$42,0))+INDEX('Scoring Method'!$B$45:$B$47,MATCH(IF(S152=1,"1",IF(S152=2,"2","3+")),'Scoring Method'!$A$45:$A$47,0)))/90*100</f>
        <v/>
      </c>
      <c r="V152" s="96">
        <f>T152*U152/100</f>
        <v/>
      </c>
      <c r="W152" s="93" t="n"/>
      <c r="X152" s="92" t="inlineStr">
        <is>
          <t>Unknown</t>
        </is>
      </c>
      <c r="Y152" s="93" t="n"/>
      <c r="Z152" s="97" t="n"/>
      <c r="AA152" s="98" t="n"/>
      <c r="AB152" s="92" t="n"/>
      <c r="AC152" s="92" t="n"/>
      <c r="AD152" s="92" t="n"/>
      <c r="AE152" s="92" t="n"/>
      <c r="AF152" s="96" t="n"/>
      <c r="AG152" s="96" t="n"/>
      <c r="AH152" s="92" t="inlineStr">
        <is>
          <t>LINK-GIS only</t>
        </is>
      </c>
      <c r="AI152" s="99" t="n">
        <v>39.04479</v>
      </c>
      <c r="AJ152" s="99" t="n">
        <v>-84.51242999999999</v>
      </c>
      <c r="AK152" s="94" t="n">
        <v>2.75</v>
      </c>
      <c r="AL152" s="94" t="n">
        <v>3.19</v>
      </c>
      <c r="AM152" s="94" t="n">
        <v>3.92</v>
      </c>
      <c r="AN152" s="94" t="n">
        <v>2.71</v>
      </c>
      <c r="AO152" s="92" t="inlineStr">
        <is>
          <t>Distant 2-3mi</t>
        </is>
      </c>
      <c r="AP152" s="92" t="inlineStr">
        <is>
          <t>Lot / minimal bldg</t>
        </is>
      </c>
      <c r="AQ152" s="92" t="n"/>
      <c r="AR152" s="100" t="n"/>
      <c r="AS152" s="96" t="n"/>
      <c r="AT152" s="96" t="n"/>
      <c r="AU152" s="92" t="inlineStr">
        <is>
          <t>Rittes East / Winston Park</t>
        </is>
      </c>
      <c r="AV152" s="92" t="n">
        <v>82</v>
      </c>
      <c r="AW152" s="92" t="inlineStr">
        <is>
          <t>Sourced</t>
        </is>
      </c>
      <c r="AX152" s="92" t="inlineStr">
        <is>
          <t>Very safe 80+</t>
        </is>
      </c>
      <c r="AY152" s="96" t="n"/>
      <c r="AZ152" s="96" t="n"/>
      <c r="BA152" s="103" t="inlineStr">
        <is>
          <t>Brand-owned / net lease</t>
        </is>
      </c>
      <c r="BB152" s="94" t="n">
        <v>0.3</v>
      </c>
      <c r="BC152" s="92" t="inlineStr">
        <is>
          <t>Right-sized 0.35-0.75 AC</t>
        </is>
      </c>
      <c r="BD152" s="94" t="n">
        <v>1</v>
      </c>
      <c r="BE152" s="96" t="n"/>
      <c r="BF152" s="96" t="n"/>
      <c r="BG152" s="92" t="n"/>
      <c r="BH152" s="61" t="inlineStr">
        <is>
          <t>Not joined</t>
        </is>
      </c>
      <c r="BL152" s="61" t="inlineStr">
        <is>
          <t>Not joined</t>
        </is>
      </c>
      <c r="BM152" s="61" t="n">
        <v>1</v>
      </c>
    </row>
    <row r="153" ht="15" customHeight="1" s="62">
      <c r="A153" s="92" t="n">
        <v>152</v>
      </c>
      <c r="B153" s="92" t="inlineStr">
        <is>
          <t>040-34-05-003.01</t>
        </is>
      </c>
      <c r="C153" s="92" t="inlineStr">
        <is>
          <t>311 PHILADELPHIA ST</t>
        </is>
      </c>
      <c r="D153" s="92" t="inlineStr">
        <is>
          <t>BOONE DANIEL T &amp; MICHAEL P</t>
        </is>
      </c>
      <c r="E153" s="92" t="inlineStr">
        <is>
          <t>221 E 19TH ST</t>
        </is>
      </c>
      <c r="F153" s="92" t="inlineStr">
        <is>
          <t>COVINGTON</t>
        </is>
      </c>
      <c r="G153" s="92" t="inlineStr">
        <is>
          <t>KY</t>
        </is>
      </c>
      <c r="H153" s="92" t="inlineStr">
        <is>
          <t>NEIGHBORHOOD SHOPPING CENTER</t>
        </is>
      </c>
      <c r="I153" s="93" t="n">
        <v>10162</v>
      </c>
      <c r="J153" s="94">
        <f>I153/43560</f>
        <v/>
      </c>
      <c r="K153" s="93" t="n">
        <v>430</v>
      </c>
      <c r="L153" s="95">
        <f>I153/(K153^2)</f>
        <v/>
      </c>
      <c r="M153" s="92" t="inlineStr">
        <is>
          <t>Marginal 10-14k/45-60k</t>
        </is>
      </c>
      <c r="N153" s="92" t="inlineStr">
        <is>
          <t>C</t>
        </is>
      </c>
      <c r="O153" s="92" t="inlineStr">
        <is>
          <t>Regular .045-.055</t>
        </is>
      </c>
      <c r="P153" s="92" t="inlineStr">
        <is>
          <t>Low</t>
        </is>
      </c>
      <c r="Q153" s="92" t="inlineStr">
        <is>
          <t>Local absentee</t>
        </is>
      </c>
      <c r="R153" s="92" t="inlineStr">
        <is>
          <t>Individual</t>
        </is>
      </c>
      <c r="S153" s="92" t="n">
        <v>1</v>
      </c>
      <c r="T153" s="96">
        <f>INDEX('Scoring Method'!$B$6:$B$9,MATCH(M153,'Scoring Method'!$A$6:$A$9,0))+INDEX('Scoring Method'!$B$12:$B$16,MATCH(N153,'Scoring Method'!$A$12:$A$16,0))+INDEX('Scoring Method'!$B$19:$B$22,MATCH(O153,'Scoring Method'!$A$19:$A$22,0))+INDEX('Scoring Method'!$B$25:$B$27,MATCH(P153,'Scoring Method'!$A$25:$A$27,0))</f>
        <v/>
      </c>
      <c r="U153" s="96">
        <f>(INDEX('Scoring Method'!$B$30:$B$33,MATCH(Q153,'Scoring Method'!$A$30:$A$33,0))+INDEX('Scoring Method'!$B$36:$B$42,MATCH(R153,'Scoring Method'!$A$36:$A$42,0))+INDEX('Scoring Method'!$B$45:$B$47,MATCH(IF(S153=1,"1",IF(S153=2,"2","3+")),'Scoring Method'!$A$45:$A$47,0)))/90*100</f>
        <v/>
      </c>
      <c r="V153" s="96">
        <f>T153*U153/100</f>
        <v/>
      </c>
      <c r="W153" s="93" t="n">
        <v>4000</v>
      </c>
      <c r="X153" s="92" t="inlineStr">
        <is>
          <t>X (levee-protected)</t>
        </is>
      </c>
      <c r="Y153" s="93" t="n">
        <v>3575</v>
      </c>
      <c r="Z153" s="97">
        <f>W153/I153</f>
        <v/>
      </c>
      <c r="AA153" s="98">
        <f>MAX(0,(Y153-5000)/300)</f>
        <v/>
      </c>
      <c r="AB153" s="92" t="n"/>
      <c r="AC153" s="92" t="n">
        <v>0.23</v>
      </c>
      <c r="AD153" s="92" t="inlineStr">
        <is>
          <t>ok</t>
        </is>
      </c>
      <c r="AE153" s="92" t="inlineStr">
        <is>
          <t>Above 2.5-4k</t>
        </is>
      </c>
      <c r="AF153" s="96">
        <f>INDEX('Scoring Method'!$B$63:$B$71,MATCH(AE153,'Scoring Method'!$A$63:$A$71,0))+INDEX('Scoring Method'!$B$75:$B$79,MATCH("Tight 2-5k",'Scoring Method'!$A$75:$A$79,0))+INDEX('Scoring Method'!$B$343:$B$347,MATCH(X153,'Scoring Method'!$A$343:$A$347,0))+INDEX('Scoring Method'!$B$25:$B$27,MATCH(P153,'Scoring Method'!$A$25:$A$27,0))</f>
        <v/>
      </c>
      <c r="AG153" s="96">
        <f>AF153*U153/100</f>
        <v/>
      </c>
      <c r="AH153" s="92" t="inlineStr">
        <is>
          <t>LINK-GIS + LoopNet</t>
        </is>
      </c>
      <c r="AI153" s="99" t="n">
        <v>39.08718</v>
      </c>
      <c r="AJ153" s="99" t="n">
        <v>-84.52042</v>
      </c>
      <c r="AK153" s="94" t="n">
        <v>0.24</v>
      </c>
      <c r="AL153" s="94" t="n">
        <v>0.6899999999999999</v>
      </c>
      <c r="AM153" s="94" t="n">
        <v>1.08</v>
      </c>
      <c r="AN153" s="94" t="n">
        <v>0.24</v>
      </c>
      <c r="AO153" s="92" t="inlineStr">
        <is>
          <t>Core &lt;=0.35mi</t>
        </is>
      </c>
      <c r="AP153" s="92" t="inlineStr">
        <is>
          <t>Retail shell</t>
        </is>
      </c>
      <c r="AQ153" s="92" t="inlineStr">
        <is>
          <t>Tight 2-5k</t>
        </is>
      </c>
      <c r="AR153" s="100" t="n"/>
      <c r="AS153" s="96">
        <f>ROUND(INDEX('Scoring Method'!$B$63:$B$70,MATCH(AE153,'Scoring Method'!$A$63:$A$70,0))*0.625+INDEX('Scoring Method'!$B$105:$B$113,MATCH(AP153,'Scoring Method'!$A$105:$A$113,0))+INDEX('Scoring Method'!$B$74:$B$78,MATCH(AQ153,'Scoring Method'!$A$74:$A$78,0))*0.6667+INDEX('Scoring Method'!$B$96:$B$101,MATCH(AO153,'Scoring Method'!$A$96:$A$101,0))+INDEX('Scoring Method'!$B$343:$B$347,MATCH(X153,'Scoring Method'!$A$343:$A$347,0))*0.3333+INDEX('Scoring Method'!$B$25:$B$27,MATCH(P153,'Scoring Method'!$A$25:$A$27,0))*0.3333,1)</f>
        <v/>
      </c>
      <c r="AT153" s="96">
        <f>AS153*U153/100</f>
        <v/>
      </c>
      <c r="AU153" s="92" t="inlineStr">
        <is>
          <t>Botany Hills / Riverfront West</t>
        </is>
      </c>
      <c r="AV153" s="92" t="n">
        <v>45</v>
      </c>
      <c r="AW153" s="101" t="inlineStr">
        <is>
          <t>ESTIMATED</t>
        </is>
      </c>
      <c r="AX153" s="92" t="inlineStr">
        <is>
          <t>Mixed 45-59</t>
        </is>
      </c>
      <c r="AY153" s="96">
        <f>ROUND(INDEX('Scoring Method'!$B$132:$B$140,MATCH(AE153,'Scoring Method'!$A$132:$A$140,0))+INDEX('Scoring Method'!$B$144:$B$152,MATCH(AP153,'Scoring Method'!$A$144:$A$152,0))+INDEX('Scoring Method'!$B$156:$B$160,MATCH(AQ153,'Scoring Method'!$A$156:$A$160,0))+INDEX('Scoring Method'!$B$164:$B$169,MATCH(AO153,'Scoring Method'!$A$164:$A$169,0))+INDEX('Scoring Method'!$B$173:$B$178,MATCH(AX153,'Scoring Method'!$A$173:$A$178,0))+INDEX('Scoring Method'!$B$349:$B$353,MATCH(X153,'Scoring Method'!$A$349:$A$353,0))+INDEX('Scoring Method'!$B$188:$B$190,MATCH(P153,'Scoring Method'!$A$188:$A$190,0)),1)</f>
        <v/>
      </c>
      <c r="AZ153" s="96">
        <f>AY153*U153/100</f>
        <v/>
      </c>
      <c r="BA153" s="102" t="inlineStr">
        <is>
          <t>Chain format + local owner</t>
        </is>
      </c>
      <c r="BB153" s="94" t="n">
        <v>0.7</v>
      </c>
      <c r="BC153" s="103" t="inlineStr">
        <is>
          <t>Extra small 0.15-0.25 AC</t>
        </is>
      </c>
      <c r="BD153" s="94" t="n">
        <v>0.8</v>
      </c>
      <c r="BE153" s="96">
        <f>ROUND(INDEX('Scoring Method'!$B$268:$B$276,MATCH(AE153,'Scoring Method'!$A$268:$A$276,0))+INDEX('Scoring Method'!$B$280:$B$288,MATCH(AP153,'Scoring Method'!$A$280:$A$288,0))+INDEX('Scoring Method'!$B$292:$B$296,MATCH(AQ153,'Scoring Method'!$A$292:$A$296,0))+INDEX('Scoring Method'!$B$300:$B$305,MATCH(AO153,'Scoring Method'!$A$300:$A$305,0))+INDEX('Scoring Method'!$B$309:$B$314,MATCH(AX153,'Scoring Method'!$A$309:$A$314,0))+INDEX('Scoring Method'!$B$337:$B$341,MATCH(X153,'Scoring Method'!$A$337:$A$341,0))+INDEX('Scoring Method'!$B$324:$B$326,MATCH(P153,'Scoring Method'!$A$324:$A$326,0)),1)</f>
        <v/>
      </c>
      <c r="BF153" s="96">
        <f>ROUND(INDEX('Scoring Method'!$B$268:$B$276,MATCH(AE153,'Scoring Method'!$A$268:$A$276,0))*BB153*BD153+INDEX('Scoring Method'!$B$280:$B$288,MATCH(AP153,'Scoring Method'!$A$280:$A$288,0))*BM153*BB153*BD153+INDEX('Scoring Method'!$B$292:$B$296,MATCH(AQ153,'Scoring Method'!$A$292:$A$296,0))*BD153+INDEX('Scoring Method'!$B$300:$B$305,MATCH(AO153,'Scoring Method'!$A$300:$A$305,0))*BM153*BB153+INDEX('Scoring Method'!$B$309:$B$314,MATCH(AX153,'Scoring Method'!$A$309:$A$314,0))+INDEX('Scoring Method'!$B$337:$B$341,MATCH(X153,'Scoring Method'!$A$337:$A$341,0))+INDEX('Scoring Method'!$B$324:$B$326,MATCH(P153,'Scoring Method'!$A$324:$A$326,0)),1)</f>
        <v/>
      </c>
      <c r="BG153" s="92" t="inlineStr">
        <is>
          <t>Fits (~$3,667/mo)</t>
        </is>
      </c>
      <c r="BH153" s="61" t="inlineStr">
        <is>
          <t>AUC</t>
        </is>
      </c>
      <c r="BI153" s="61" t="inlineStr">
        <is>
          <t>Auto-Urban Commercial</t>
        </is>
      </c>
      <c r="BJ153" s="61" t="inlineStr"/>
      <c r="BK153" s="61" t="inlineStr"/>
      <c r="BL153" s="61" t="inlineStr">
        <is>
          <t>Bar permitted</t>
        </is>
      </c>
      <c r="BM153" s="61">
        <f>INDEX('Scoring Method'!$B$358:$B$363,MATCH(BL153,'Scoring Method'!$A$358:$A$363,0))</f>
        <v/>
      </c>
    </row>
    <row r="154" ht="15" customHeight="1" s="62">
      <c r="A154" s="92" t="n">
        <v>153</v>
      </c>
      <c r="B154" s="92" t="inlineStr">
        <is>
          <t>056-20-00-059.08</t>
        </is>
      </c>
      <c r="C154" s="92" t="inlineStr">
        <is>
          <t>4301 WINSTON AVE</t>
        </is>
      </c>
      <c r="D154" s="92" t="inlineStr">
        <is>
          <t>MAAUMA PROPERTY LLC</t>
        </is>
      </c>
      <c r="E154" s="92" t="inlineStr">
        <is>
          <t>950 BURGESS CT</t>
        </is>
      </c>
      <c r="F154" s="92" t="inlineStr">
        <is>
          <t>CINCINNATI</t>
        </is>
      </c>
      <c r="G154" s="92" t="inlineStr">
        <is>
          <t>OH</t>
        </is>
      </c>
      <c r="H154" s="92" t="inlineStr">
        <is>
          <t>GAS STATION/CONVENIENCE STORE</t>
        </is>
      </c>
      <c r="I154" s="93" t="n">
        <v>39341</v>
      </c>
      <c r="J154" s="94">
        <f>I154/43560</f>
        <v/>
      </c>
      <c r="K154" s="93" t="n">
        <v>793.5</v>
      </c>
      <c r="L154" s="95">
        <f>I154/(K154^2)</f>
        <v/>
      </c>
      <c r="M154" s="92" t="inlineStr">
        <is>
          <t>Near 14-18k/32-45k</t>
        </is>
      </c>
      <c r="N154" s="92" t="inlineStr">
        <is>
          <t>E</t>
        </is>
      </c>
      <c r="O154" s="92" t="inlineStr">
        <is>
          <t>Compact &gt;=.055</t>
        </is>
      </c>
      <c r="P154" s="92" t="inlineStr">
        <is>
          <t>High</t>
        </is>
      </c>
      <c r="Q154" s="92" t="inlineStr">
        <is>
          <t>Out-of-state</t>
        </is>
      </c>
      <c r="R154" s="92" t="inlineStr">
        <is>
          <t>Passive vehicle</t>
        </is>
      </c>
      <c r="S154" s="92" t="n">
        <v>1</v>
      </c>
      <c r="T154" s="96">
        <f>INDEX('Scoring Method'!$B$6:$B$9,MATCH(M154,'Scoring Method'!$A$6:$A$9,0))+INDEX('Scoring Method'!$B$12:$B$16,MATCH(N154,'Scoring Method'!$A$12:$A$16,0))+INDEX('Scoring Method'!$B$19:$B$22,MATCH(O154,'Scoring Method'!$A$19:$A$22,0))+INDEX('Scoring Method'!$B$25:$B$27,MATCH(P154,'Scoring Method'!$A$25:$A$27,0))</f>
        <v/>
      </c>
      <c r="U154" s="96">
        <f>(INDEX('Scoring Method'!$B$30:$B$33,MATCH(Q154,'Scoring Method'!$A$30:$A$33,0))+INDEX('Scoring Method'!$B$36:$B$42,MATCH(R154,'Scoring Method'!$A$36:$A$42,0))+INDEX('Scoring Method'!$B$45:$B$47,MATCH(IF(S154=1,"1",IF(S154=2,"2","3+")),'Scoring Method'!$A$45:$A$47,0)))/90*100</f>
        <v/>
      </c>
      <c r="V154" s="96">
        <f>T154*U154/100</f>
        <v/>
      </c>
      <c r="W154" s="93" t="n">
        <v>1734</v>
      </c>
      <c r="X154" s="92" t="inlineStr">
        <is>
          <t>X (minimal hazard)</t>
        </is>
      </c>
      <c r="Y154" s="93" t="n">
        <v>30475</v>
      </c>
      <c r="Z154" s="97" t="n"/>
      <c r="AA154" s="98">
        <f>MAX(0,(Y154-5000)/300)</f>
        <v/>
      </c>
      <c r="AB154" s="92" t="n"/>
      <c r="AC154" s="92" t="n"/>
      <c r="AD154" s="92" t="n"/>
      <c r="AE154" s="92" t="inlineStr">
        <is>
          <t>Target 1.5-2.5k</t>
        </is>
      </c>
      <c r="AF154" s="96">
        <f>INDEX('Scoring Method'!$B$63:$B$71,MATCH(AE154,'Scoring Method'!$A$63:$A$71,0))+INDEX('Scoring Method'!$B$75:$B$79,MATCH("Ample &gt;=15k",'Scoring Method'!$A$75:$A$79,0))+INDEX('Scoring Method'!$B$343:$B$347,MATCH(X154,'Scoring Method'!$A$343:$A$347,0))+INDEX('Scoring Method'!$B$25:$B$27,MATCH(P154,'Scoring Method'!$A$25:$A$27,0))</f>
        <v/>
      </c>
      <c r="AG154" s="96">
        <f>AF154*U154/100</f>
        <v/>
      </c>
      <c r="AH154" s="92" t="inlineStr">
        <is>
          <t>LINK-GIS + LoopNet (2026-08-03)</t>
        </is>
      </c>
      <c r="AI154" s="99" t="n">
        <v>39.04107</v>
      </c>
      <c r="AJ154" s="99" t="n">
        <v>-84.50718999999999</v>
      </c>
      <c r="AK154" s="94" t="n">
        <v>3.05</v>
      </c>
      <c r="AL154" s="94" t="n">
        <v>3.44</v>
      </c>
      <c r="AM154" s="94" t="n">
        <v>4.18</v>
      </c>
      <c r="AN154" s="94" t="n">
        <v>2.97</v>
      </c>
      <c r="AO154" s="92" t="inlineStr">
        <is>
          <t>Distant 2-3mi</t>
        </is>
      </c>
      <c r="AP154" s="92" t="inlineStr">
        <is>
          <t>Built-out kitchen</t>
        </is>
      </c>
      <c r="AQ154" s="92" t="inlineStr">
        <is>
          <t>Ample &gt;=15k</t>
        </is>
      </c>
      <c r="AR154" s="100" t="n"/>
      <c r="AS154" s="96">
        <f>ROUND(INDEX('Scoring Method'!$B$63:$B$70,MATCH(AE154,'Scoring Method'!$A$63:$A$70,0))*0.625+INDEX('Scoring Method'!$B$105:$B$113,MATCH(AP154,'Scoring Method'!$A$105:$A$113,0))+INDEX('Scoring Method'!$B$74:$B$78,MATCH(AQ154,'Scoring Method'!$A$74:$A$78,0))*0.6667+INDEX('Scoring Method'!$B$96:$B$101,MATCH(AO154,'Scoring Method'!$A$96:$A$101,0))+INDEX('Scoring Method'!$B$343:$B$347,MATCH(X154,'Scoring Method'!$A$343:$A$347,0))*0.3333+INDEX('Scoring Method'!$B$25:$B$27,MATCH(P154,'Scoring Method'!$A$25:$A$27,0))*0.3333,1)</f>
        <v/>
      </c>
      <c r="AT154" s="96">
        <f>AS154*U154/100</f>
        <v/>
      </c>
      <c r="AU154" s="92" t="inlineStr">
        <is>
          <t>Rittes East / Winston Park</t>
        </is>
      </c>
      <c r="AV154" s="92" t="n">
        <v>82</v>
      </c>
      <c r="AW154" s="92" t="inlineStr">
        <is>
          <t>Sourced</t>
        </is>
      </c>
      <c r="AX154" s="92" t="inlineStr">
        <is>
          <t>Very safe 80+</t>
        </is>
      </c>
      <c r="AY154" s="96">
        <f>ROUND(INDEX('Scoring Method'!$B$132:$B$140,MATCH(AE154,'Scoring Method'!$A$132:$A$140,0))+INDEX('Scoring Method'!$B$144:$B$152,MATCH(AP154,'Scoring Method'!$A$144:$A$152,0))+INDEX('Scoring Method'!$B$156:$B$160,MATCH(AQ154,'Scoring Method'!$A$156:$A$160,0))+INDEX('Scoring Method'!$B$164:$B$169,MATCH(AO154,'Scoring Method'!$A$164:$A$169,0))+INDEX('Scoring Method'!$B$173:$B$178,MATCH(AX154,'Scoring Method'!$A$173:$A$178,0))+INDEX('Scoring Method'!$B$349:$B$353,MATCH(X154,'Scoring Method'!$A$349:$A$353,0))+INDEX('Scoring Method'!$B$188:$B$190,MATCH(P154,'Scoring Method'!$A$188:$A$190,0)),1)</f>
        <v/>
      </c>
      <c r="AZ154" s="96">
        <f>AY154*U154/100</f>
        <v/>
      </c>
      <c r="BA154" s="103" t="inlineStr">
        <is>
          <t>Chain format + investor</t>
        </is>
      </c>
      <c r="BB154" s="94" t="n">
        <v>0.45</v>
      </c>
      <c r="BC154" s="102" t="inlineStr">
        <is>
          <t>Large 0.75-1.25 AC</t>
        </is>
      </c>
      <c r="BD154" s="94" t="n">
        <v>0.9</v>
      </c>
      <c r="BE154" s="96">
        <f>ROUND(INDEX('Scoring Method'!$B$268:$B$276,MATCH(AE154,'Scoring Method'!$A$268:$A$276,0))+INDEX('Scoring Method'!$B$280:$B$288,MATCH(AP154,'Scoring Method'!$A$280:$A$288,0))+INDEX('Scoring Method'!$B$292:$B$296,MATCH(AQ154,'Scoring Method'!$A$292:$A$296,0))+INDEX('Scoring Method'!$B$300:$B$305,MATCH(AO154,'Scoring Method'!$A$300:$A$305,0))+INDEX('Scoring Method'!$B$309:$B$314,MATCH(AX154,'Scoring Method'!$A$309:$A$314,0))+INDEX('Scoring Method'!$B$337:$B$341,MATCH(X154,'Scoring Method'!$A$337:$A$341,0))+INDEX('Scoring Method'!$B$324:$B$326,MATCH(P154,'Scoring Method'!$A$324:$A$326,0)),1)</f>
        <v/>
      </c>
      <c r="BF154" s="96">
        <f>ROUND(INDEX('Scoring Method'!$B$268:$B$276,MATCH(AE154,'Scoring Method'!$A$268:$A$276,0))*BB154*BD154+INDEX('Scoring Method'!$B$280:$B$288,MATCH(AP154,'Scoring Method'!$A$280:$A$288,0))*BM154*BB154*BD154+INDEX('Scoring Method'!$B$292:$B$296,MATCH(AQ154,'Scoring Method'!$A$292:$A$296,0))*BD154+INDEX('Scoring Method'!$B$300:$B$305,MATCH(AO154,'Scoring Method'!$A$300:$A$305,0))*BM154*BB154+INDEX('Scoring Method'!$B$309:$B$314,MATCH(AX154,'Scoring Method'!$A$309:$A$314,0))+INDEX('Scoring Method'!$B$337:$B$341,MATCH(X154,'Scoring Method'!$A$337:$A$341,0))+INDEX('Scoring Method'!$B$324:$B$326,MATCH(P154,'Scoring Method'!$A$324:$A$326,0)),1)</f>
        <v/>
      </c>
      <c r="BG154" s="92" t="inlineStr">
        <is>
          <t>Fits (~$1,590/mo)</t>
        </is>
      </c>
      <c r="BH154" s="61" t="inlineStr">
        <is>
          <t>AUC</t>
        </is>
      </c>
      <c r="BI154" s="61" t="inlineStr">
        <is>
          <t>Auto-Urban Commercial</t>
        </is>
      </c>
      <c r="BJ154" s="61" t="inlineStr"/>
      <c r="BK154" s="61" t="inlineStr"/>
      <c r="BL154" s="61" t="inlineStr">
        <is>
          <t>Bar permitted</t>
        </is>
      </c>
      <c r="BM154" s="61">
        <f>INDEX('Scoring Method'!$B$358:$B$363,MATCH(BL154,'Scoring Method'!$A$358:$A$363,0))</f>
        <v/>
      </c>
    </row>
    <row r="155" ht="15" customHeight="1" s="62">
      <c r="A155" s="92" t="n">
        <v>154</v>
      </c>
      <c r="B155" s="92" t="inlineStr">
        <is>
          <t>056-14-08-004.00</t>
        </is>
      </c>
      <c r="C155" s="92" t="inlineStr">
        <is>
          <t>12 INEZ AVE</t>
        </is>
      </c>
      <c r="D155" s="92" t="inlineStr">
        <is>
          <t>ARROW PROPERTIES LLC</t>
        </is>
      </c>
      <c r="E155" s="92" t="inlineStr">
        <is>
          <t>6467 COTTONTAIL TRL</t>
        </is>
      </c>
      <c r="F155" s="92" t="inlineStr">
        <is>
          <t>BURLINGTON</t>
        </is>
      </c>
      <c r="G155" s="92" t="inlineStr">
        <is>
          <t>KY</t>
        </is>
      </c>
      <c r="H155" s="92" t="inlineStr">
        <is>
          <t>HEALTH/RECREATIONAL FACILITY</t>
        </is>
      </c>
      <c r="I155" s="93" t="n">
        <v>11343</v>
      </c>
      <c r="J155" s="94">
        <f>I155/43560</f>
        <v/>
      </c>
      <c r="K155" s="93" t="n">
        <v>529.9</v>
      </c>
      <c r="L155" s="95">
        <f>I155/(K155^2)</f>
        <v/>
      </c>
      <c r="M155" s="92" t="inlineStr">
        <is>
          <t>Marginal 10-14k/45-60k</t>
        </is>
      </c>
      <c r="N155" s="92" t="inlineStr">
        <is>
          <t>C</t>
        </is>
      </c>
      <c r="O155" s="92" t="inlineStr">
        <is>
          <t>Elongated .035-.045</t>
        </is>
      </c>
      <c r="P155" s="92" t="inlineStr">
        <is>
          <t>Low</t>
        </is>
      </c>
      <c r="Q155" s="92" t="inlineStr">
        <is>
          <t>Out-of-city KY</t>
        </is>
      </c>
      <c r="R155" s="92" t="inlineStr">
        <is>
          <t>Passive vehicle</t>
        </is>
      </c>
      <c r="S155" s="92" t="n">
        <v>1</v>
      </c>
      <c r="T155" s="96">
        <f>INDEX('Scoring Method'!$B$6:$B$9,MATCH(M155,'Scoring Method'!$A$6:$A$9,0))+INDEX('Scoring Method'!$B$12:$B$16,MATCH(N155,'Scoring Method'!$A$12:$A$16,0))+INDEX('Scoring Method'!$B$19:$B$22,MATCH(O155,'Scoring Method'!$A$19:$A$22,0))+INDEX('Scoring Method'!$B$25:$B$27,MATCH(P155,'Scoring Method'!$A$25:$A$27,0))</f>
        <v/>
      </c>
      <c r="U155" s="96">
        <f>(INDEX('Scoring Method'!$B$30:$B$33,MATCH(Q155,'Scoring Method'!$A$30:$A$33,0))+INDEX('Scoring Method'!$B$36:$B$42,MATCH(R155,'Scoring Method'!$A$36:$A$42,0))+INDEX('Scoring Method'!$B$45:$B$47,MATCH(IF(S155=1,"1",IF(S155=2,"2","3+")),'Scoring Method'!$A$45:$A$47,0)))/90*100</f>
        <v/>
      </c>
      <c r="V155" s="96">
        <f>T155*U155/100</f>
        <v/>
      </c>
      <c r="W155" s="93" t="n">
        <v>3910</v>
      </c>
      <c r="X155" s="92" t="inlineStr">
        <is>
          <t>X (minimal hazard)</t>
        </is>
      </c>
      <c r="Y155" s="93" t="n">
        <v>4350</v>
      </c>
      <c r="Z155" s="97" t="n"/>
      <c r="AA155" s="98">
        <f>MAX(0,(Y155-5000)/300)</f>
        <v/>
      </c>
      <c r="AB155" s="92" t="n"/>
      <c r="AC155" s="92" t="n"/>
      <c r="AD155" s="92" t="n"/>
      <c r="AE155" s="92" t="inlineStr">
        <is>
          <t>Above 2.5-4k</t>
        </is>
      </c>
      <c r="AF155" s="96">
        <f>INDEX('Scoring Method'!$B$63:$B$71,MATCH(AE155,'Scoring Method'!$A$63:$A$71,0))+INDEX('Scoring Method'!$B$75:$B$79,MATCH("Tight 2-5k",'Scoring Method'!$A$75:$A$79,0))+INDEX('Scoring Method'!$B$343:$B$347,MATCH(X155,'Scoring Method'!$A$343:$A$347,0))+INDEX('Scoring Method'!$B$25:$B$27,MATCH(P155,'Scoring Method'!$A$25:$A$27,0))</f>
        <v/>
      </c>
      <c r="AG155" s="96">
        <f>AF155*U155/100</f>
        <v/>
      </c>
      <c r="AH155" s="92" t="inlineStr">
        <is>
          <t>LINK-GIS + LoopNet (2026-08-03)</t>
        </is>
      </c>
      <c r="AI155" s="99" t="n">
        <v>39.04817</v>
      </c>
      <c r="AJ155" s="99" t="n">
        <v>-84.50418999999999</v>
      </c>
      <c r="AK155" s="94" t="n">
        <v>2.61</v>
      </c>
      <c r="AL155" s="94" t="n">
        <v>2.96</v>
      </c>
      <c r="AM155" s="94" t="n">
        <v>3.71</v>
      </c>
      <c r="AN155" s="94" t="n">
        <v>2.5</v>
      </c>
      <c r="AO155" s="92" t="inlineStr">
        <is>
          <t>Distant 2-3mi</t>
        </is>
      </c>
      <c r="AP155" s="92" t="inlineStr">
        <is>
          <t>Assembly hall</t>
        </is>
      </c>
      <c r="AQ155" s="92" t="inlineStr">
        <is>
          <t>Tight 2-5k</t>
        </is>
      </c>
      <c r="AR155" s="100" t="n"/>
      <c r="AS155" s="96">
        <f>ROUND(INDEX('Scoring Method'!$B$63:$B$70,MATCH(AE155,'Scoring Method'!$A$63:$A$70,0))*0.625+INDEX('Scoring Method'!$B$105:$B$113,MATCH(AP155,'Scoring Method'!$A$105:$A$113,0))+INDEX('Scoring Method'!$B$74:$B$78,MATCH(AQ155,'Scoring Method'!$A$74:$A$78,0))*0.6667+INDEX('Scoring Method'!$B$96:$B$101,MATCH(AO155,'Scoring Method'!$A$96:$A$101,0))+INDEX('Scoring Method'!$B$343:$B$347,MATCH(X155,'Scoring Method'!$A$343:$A$347,0))*0.3333+INDEX('Scoring Method'!$B$25:$B$27,MATCH(P155,'Scoring Method'!$A$25:$A$27,0))*0.3333,1)</f>
        <v/>
      </c>
      <c r="AT155" s="96">
        <f>AS155*U155/100</f>
        <v/>
      </c>
      <c r="AU155" s="92" t="inlineStr">
        <is>
          <t>Latonia</t>
        </is>
      </c>
      <c r="AV155" s="92" t="n">
        <v>78</v>
      </c>
      <c r="AW155" s="92" t="inlineStr">
        <is>
          <t>Sourced</t>
        </is>
      </c>
      <c r="AX155" s="92" t="inlineStr">
        <is>
          <t>Safe 70-79</t>
        </is>
      </c>
      <c r="AY155" s="96">
        <f>ROUND(INDEX('Scoring Method'!$B$132:$B$140,MATCH(AE155,'Scoring Method'!$A$132:$A$140,0))+INDEX('Scoring Method'!$B$144:$B$152,MATCH(AP155,'Scoring Method'!$A$144:$A$152,0))+INDEX('Scoring Method'!$B$156:$B$160,MATCH(AQ155,'Scoring Method'!$A$156:$A$160,0))+INDEX('Scoring Method'!$B$164:$B$169,MATCH(AO155,'Scoring Method'!$A$164:$A$169,0))+INDEX('Scoring Method'!$B$173:$B$178,MATCH(AX155,'Scoring Method'!$A$173:$A$178,0))+INDEX('Scoring Method'!$B$349:$B$353,MATCH(X155,'Scoring Method'!$A$349:$A$353,0))+INDEX('Scoring Method'!$B$188:$B$190,MATCH(P155,'Scoring Method'!$A$188:$A$190,0)),1)</f>
        <v/>
      </c>
      <c r="AZ155" s="96">
        <f>AY155*U155/100</f>
        <v/>
      </c>
      <c r="BA155" s="92" t="inlineStr">
        <is>
          <t>No chain signal</t>
        </is>
      </c>
      <c r="BB155" s="94" t="n">
        <v>1</v>
      </c>
      <c r="BC155" s="102" t="inlineStr">
        <is>
          <t>Small 0.25-0.35 AC</t>
        </is>
      </c>
      <c r="BD155" s="94" t="n">
        <v>0.9</v>
      </c>
      <c r="BE155" s="96">
        <f>ROUND(INDEX('Scoring Method'!$B$268:$B$276,MATCH(AE155,'Scoring Method'!$A$268:$A$276,0))+INDEX('Scoring Method'!$B$280:$B$288,MATCH(AP155,'Scoring Method'!$A$280:$A$288,0))+INDEX('Scoring Method'!$B$292:$B$296,MATCH(AQ155,'Scoring Method'!$A$292:$A$296,0))+INDEX('Scoring Method'!$B$300:$B$305,MATCH(AO155,'Scoring Method'!$A$300:$A$305,0))+INDEX('Scoring Method'!$B$309:$B$314,MATCH(AX155,'Scoring Method'!$A$309:$A$314,0))+INDEX('Scoring Method'!$B$337:$B$341,MATCH(X155,'Scoring Method'!$A$337:$A$341,0))+INDEX('Scoring Method'!$B$324:$B$326,MATCH(P155,'Scoring Method'!$A$324:$A$326,0)),1)</f>
        <v/>
      </c>
      <c r="BF155" s="96">
        <f>ROUND(INDEX('Scoring Method'!$B$268:$B$276,MATCH(AE155,'Scoring Method'!$A$268:$A$276,0))*BB155*BD155+INDEX('Scoring Method'!$B$280:$B$288,MATCH(AP155,'Scoring Method'!$A$280:$A$288,0))*BM155*BB155*BD155+INDEX('Scoring Method'!$B$292:$B$296,MATCH(AQ155,'Scoring Method'!$A$292:$A$296,0))*BD155+INDEX('Scoring Method'!$B$300:$B$305,MATCH(AO155,'Scoring Method'!$A$300:$A$305,0))*BM155*BB155+INDEX('Scoring Method'!$B$309:$B$314,MATCH(AX155,'Scoring Method'!$A$309:$A$314,0))+INDEX('Scoring Method'!$B$337:$B$341,MATCH(X155,'Scoring Method'!$A$337:$A$341,0))+INDEX('Scoring Method'!$B$324:$B$326,MATCH(P155,'Scoring Method'!$A$324:$A$326,0)),1)</f>
        <v/>
      </c>
      <c r="BG155" s="92" t="inlineStr">
        <is>
          <t>Fits (~$3,584/mo)</t>
        </is>
      </c>
      <c r="BH155" s="61" t="inlineStr">
        <is>
          <t>SU</t>
        </is>
      </c>
      <c r="BI155" s="61" t="inlineStr">
        <is>
          <t>Semi-Urban Residential</t>
        </is>
      </c>
      <c r="BJ155" s="61" t="inlineStr"/>
      <c r="BK155" s="61" t="inlineStr"/>
      <c r="BL155" s="61" t="inlineStr">
        <is>
          <t>SU corner unverified</t>
        </is>
      </c>
      <c r="BM155" s="61">
        <f>INDEX('Scoring Method'!$B$358:$B$363,MATCH(BL155,'Scoring Method'!$A$358:$A$363,0))</f>
        <v/>
      </c>
    </row>
    <row r="156" ht="15" customHeight="1" s="62">
      <c r="A156" s="92" t="n">
        <v>155</v>
      </c>
      <c r="B156" s="92" t="inlineStr">
        <is>
          <t>040-44-18-005.00</t>
        </is>
      </c>
      <c r="C156" s="92" t="inlineStr">
        <is>
          <t>510 KEENE ST</t>
        </is>
      </c>
      <c r="D156" s="92" t="inlineStr">
        <is>
          <t>MACKE JAMES E</t>
        </is>
      </c>
      <c r="E156" s="92" t="inlineStr">
        <is>
          <t>1616 BULEVAR MENOR</t>
        </is>
      </c>
      <c r="F156" s="92" t="inlineStr">
        <is>
          <t>PENSACOLA BEACH</t>
        </is>
      </c>
      <c r="G156" s="92" t="inlineStr">
        <is>
          <t>FL</t>
        </is>
      </c>
      <c r="H156" s="92" t="inlineStr">
        <is>
          <t>DAY CARE CENTER</t>
        </is>
      </c>
      <c r="I156" s="93" t="n">
        <v>9113</v>
      </c>
      <c r="J156" s="94">
        <f>I156/43560</f>
        <v/>
      </c>
      <c r="K156" s="93" t="n">
        <v>503.7</v>
      </c>
      <c r="L156" s="95">
        <f>I156/(K156^2)</f>
        <v/>
      </c>
      <c r="M156" s="92" t="inlineStr">
        <is>
          <t>Poor &lt;10k/&gt;60k</t>
        </is>
      </c>
      <c r="N156" s="92" t="inlineStr">
        <is>
          <t>C</t>
        </is>
      </c>
      <c r="O156" s="92" t="inlineStr">
        <is>
          <t>Elongated .035-.045</t>
        </is>
      </c>
      <c r="P156" s="92" t="inlineStr">
        <is>
          <t>Low</t>
        </is>
      </c>
      <c r="Q156" s="92" t="inlineStr">
        <is>
          <t>Out-of-state</t>
        </is>
      </c>
      <c r="R156" s="92" t="inlineStr">
        <is>
          <t>Individual</t>
        </is>
      </c>
      <c r="S156" s="92" t="n">
        <v>1</v>
      </c>
      <c r="T156" s="96">
        <f>INDEX('Scoring Method'!$B$6:$B$9,MATCH(M156,'Scoring Method'!$A$6:$A$9,0))+INDEX('Scoring Method'!$B$12:$B$16,MATCH(N156,'Scoring Method'!$A$12:$A$16,0))+INDEX('Scoring Method'!$B$19:$B$22,MATCH(O156,'Scoring Method'!$A$19:$A$22,0))+INDEX('Scoring Method'!$B$25:$B$27,MATCH(P156,'Scoring Method'!$A$25:$A$27,0))</f>
        <v/>
      </c>
      <c r="U156" s="96">
        <f>(INDEX('Scoring Method'!$B$30:$B$33,MATCH(Q156,'Scoring Method'!$A$30:$A$33,0))+INDEX('Scoring Method'!$B$36:$B$42,MATCH(R156,'Scoring Method'!$A$36:$A$42,0))+INDEX('Scoring Method'!$B$45:$B$47,MATCH(IF(S156=1,"1",IF(S156=2,"2","3+")),'Scoring Method'!$A$45:$A$47,0)))/90*100</f>
        <v/>
      </c>
      <c r="V156" s="96">
        <f>T156*U156/100</f>
        <v/>
      </c>
      <c r="W156" s="93" t="n">
        <v>5666</v>
      </c>
      <c r="X156" s="92" t="inlineStr">
        <is>
          <t>X (minimal hazard)</t>
        </is>
      </c>
      <c r="Y156" s="93" t="n">
        <v>2750</v>
      </c>
      <c r="Z156" s="97" t="n"/>
      <c r="AA156" s="98">
        <f>MAX(0,(Y156-5000)/300)</f>
        <v/>
      </c>
      <c r="AB156" s="92" t="n"/>
      <c r="AC156" s="92" t="n"/>
      <c r="AD156" s="92" t="n"/>
      <c r="AE156" s="92" t="inlineStr">
        <is>
          <t>Large 4-6k</t>
        </is>
      </c>
      <c r="AF156" s="96">
        <f>INDEX('Scoring Method'!$B$63:$B$71,MATCH(AE156,'Scoring Method'!$A$63:$A$71,0))+INDEX('Scoring Method'!$B$75:$B$79,MATCH("Tight 2-5k",'Scoring Method'!$A$75:$A$79,0))+INDEX('Scoring Method'!$B$343:$B$347,MATCH(X156,'Scoring Method'!$A$343:$A$347,0))+INDEX('Scoring Method'!$B$25:$B$27,MATCH(P156,'Scoring Method'!$A$25:$A$27,0))</f>
        <v/>
      </c>
      <c r="AG156" s="96">
        <f>AF156*U156/100</f>
        <v/>
      </c>
      <c r="AH156" s="92" t="inlineStr">
        <is>
          <t>LINK-GIS + LoopNet (2026-08-03)</t>
        </is>
      </c>
      <c r="AI156" s="99" t="n">
        <v>39.07878</v>
      </c>
      <c r="AJ156" s="99" t="n">
        <v>-84.51828</v>
      </c>
      <c r="AK156" s="94" t="n">
        <v>0.39</v>
      </c>
      <c r="AL156" s="94" t="n">
        <v>0.99</v>
      </c>
      <c r="AM156" s="94" t="n">
        <v>1.6</v>
      </c>
      <c r="AN156" s="94" t="n">
        <v>0.39</v>
      </c>
      <c r="AO156" s="92" t="inlineStr">
        <is>
          <t>Near 0.35-0.75mi</t>
        </is>
      </c>
      <c r="AP156" s="92" t="inlineStr">
        <is>
          <t>Cellular</t>
        </is>
      </c>
      <c r="AQ156" s="92" t="inlineStr">
        <is>
          <t>Tight 2-5k</t>
        </is>
      </c>
      <c r="AR156" s="100" t="n"/>
      <c r="AS156" s="96">
        <f>ROUND(INDEX('Scoring Method'!$B$63:$B$70,MATCH(AE156,'Scoring Method'!$A$63:$A$70,0))*0.625+INDEX('Scoring Method'!$B$105:$B$113,MATCH(AP156,'Scoring Method'!$A$105:$A$113,0))+INDEX('Scoring Method'!$B$74:$B$78,MATCH(AQ156,'Scoring Method'!$A$74:$A$78,0))*0.6667+INDEX('Scoring Method'!$B$96:$B$101,MATCH(AO156,'Scoring Method'!$A$96:$A$101,0))+INDEX('Scoring Method'!$B$343:$B$347,MATCH(X156,'Scoring Method'!$A$343:$A$347,0))*0.3333+INDEX('Scoring Method'!$B$25:$B$27,MATCH(P156,'Scoring Method'!$A$25:$A$27,0))*0.3333,1)</f>
        <v/>
      </c>
      <c r="AT156" s="96">
        <f>AS156*U156/100</f>
        <v/>
      </c>
      <c r="AU156" s="92" t="inlineStr">
        <is>
          <t>Old Seminary Square</t>
        </is>
      </c>
      <c r="AV156" s="92" t="n">
        <v>35</v>
      </c>
      <c r="AW156" s="101" t="inlineStr">
        <is>
          <t>ESTIMATED</t>
        </is>
      </c>
      <c r="AX156" s="92" t="inlineStr">
        <is>
          <t>Elevated 35-44</t>
        </is>
      </c>
      <c r="AY156" s="96">
        <f>ROUND(INDEX('Scoring Method'!$B$132:$B$140,MATCH(AE156,'Scoring Method'!$A$132:$A$140,0))+INDEX('Scoring Method'!$B$144:$B$152,MATCH(AP156,'Scoring Method'!$A$144:$A$152,0))+INDEX('Scoring Method'!$B$156:$B$160,MATCH(AQ156,'Scoring Method'!$A$156:$A$160,0))+INDEX('Scoring Method'!$B$164:$B$169,MATCH(AO156,'Scoring Method'!$A$164:$A$169,0))+INDEX('Scoring Method'!$B$173:$B$178,MATCH(AX156,'Scoring Method'!$A$173:$A$178,0))+INDEX('Scoring Method'!$B$349:$B$353,MATCH(X156,'Scoring Method'!$A$349:$A$353,0))+INDEX('Scoring Method'!$B$188:$B$190,MATCH(P156,'Scoring Method'!$A$188:$A$190,0)),1)</f>
        <v/>
      </c>
      <c r="AZ156" s="96">
        <f>AY156*U156/100</f>
        <v/>
      </c>
      <c r="BA156" s="92" t="inlineStr">
        <is>
          <t>No chain signal</t>
        </is>
      </c>
      <c r="BB156" s="94" t="n">
        <v>1</v>
      </c>
      <c r="BC156" s="103" t="inlineStr">
        <is>
          <t>Extra small 0.15-0.25 AC</t>
        </is>
      </c>
      <c r="BD156" s="94" t="n">
        <v>0.8</v>
      </c>
      <c r="BE156" s="96">
        <f>ROUND(INDEX('Scoring Method'!$B$268:$B$276,MATCH(AE156,'Scoring Method'!$A$268:$A$276,0))+INDEX('Scoring Method'!$B$280:$B$288,MATCH(AP156,'Scoring Method'!$A$280:$A$288,0))+INDEX('Scoring Method'!$B$292:$B$296,MATCH(AQ156,'Scoring Method'!$A$292:$A$296,0))+INDEX('Scoring Method'!$B$300:$B$305,MATCH(AO156,'Scoring Method'!$A$300:$A$305,0))+INDEX('Scoring Method'!$B$309:$B$314,MATCH(AX156,'Scoring Method'!$A$309:$A$314,0))+INDEX('Scoring Method'!$B$337:$B$341,MATCH(X156,'Scoring Method'!$A$337:$A$341,0))+INDEX('Scoring Method'!$B$324:$B$326,MATCH(P156,'Scoring Method'!$A$324:$A$326,0)),1)</f>
        <v/>
      </c>
      <c r="BF156" s="96">
        <f>ROUND(INDEX('Scoring Method'!$B$268:$B$276,MATCH(AE156,'Scoring Method'!$A$268:$A$276,0))*BB156*BD156+INDEX('Scoring Method'!$B$280:$B$288,MATCH(AP156,'Scoring Method'!$A$280:$A$288,0))*BM156*BB156*BD156+INDEX('Scoring Method'!$B$292:$B$296,MATCH(AQ156,'Scoring Method'!$A$292:$A$296,0))*BD156+INDEX('Scoring Method'!$B$300:$B$305,MATCH(AO156,'Scoring Method'!$A$300:$A$305,0))*BM156*BB156+INDEX('Scoring Method'!$B$309:$B$314,MATCH(AX156,'Scoring Method'!$A$309:$A$314,0))+INDEX('Scoring Method'!$B$337:$B$341,MATCH(X156,'Scoring Method'!$A$337:$A$341,0))+INDEX('Scoring Method'!$B$324:$B$326,MATCH(P156,'Scoring Method'!$A$324:$A$326,0)),1)</f>
        <v/>
      </c>
      <c r="BG156" s="92" t="inlineStr">
        <is>
          <t>Fits (~$5,194/mo)</t>
        </is>
      </c>
      <c r="BH156" s="61" t="inlineStr">
        <is>
          <t>TUR (HP)</t>
        </is>
      </c>
      <c r="BI156" s="61" t="inlineStr">
        <is>
          <t>Traditional Urban Residential</t>
        </is>
      </c>
      <c r="BJ156" s="61" t="inlineStr">
        <is>
          <t>HP</t>
        </is>
      </c>
      <c r="BK156" s="61" t="inlineStr"/>
      <c r="BL156" s="61" t="inlineStr">
        <is>
          <t>Bar prohibited, alt-path</t>
        </is>
      </c>
      <c r="BM156" s="61">
        <f>INDEX('Scoring Method'!$B$358:$B$363,MATCH(BL156,'Scoring Method'!$A$358:$A$363,0))</f>
        <v/>
      </c>
    </row>
    <row r="157" ht="15" customHeight="1" s="62">
      <c r="A157" s="92" t="n">
        <v>156</v>
      </c>
      <c r="B157" s="92" t="inlineStr">
        <is>
          <t>054-22-07-011.00</t>
        </is>
      </c>
      <c r="C157" s="92" t="inlineStr">
        <is>
          <t>322 W PIKE ST</t>
        </is>
      </c>
      <c r="D157" s="92" t="inlineStr">
        <is>
          <t>BEAGLE REAL ESTATE</t>
        </is>
      </c>
      <c r="E157" s="92" t="inlineStr">
        <is>
          <t>8535 WINDY HOLW</t>
        </is>
      </c>
      <c r="F157" s="92" t="inlineStr">
        <is>
          <t>CINCINNATI</t>
        </is>
      </c>
      <c r="G157" s="92" t="inlineStr">
        <is>
          <t>OH</t>
        </is>
      </c>
      <c r="H157" s="92" t="inlineStr">
        <is>
          <t>OTHER RETAIL</t>
        </is>
      </c>
      <c r="I157" s="93" t="n">
        <v>8530</v>
      </c>
      <c r="J157" s="94">
        <f>I157/43560</f>
        <v/>
      </c>
      <c r="K157" s="93" t="n">
        <v>444.4</v>
      </c>
      <c r="L157" s="95">
        <f>I157/(K157^2)</f>
        <v/>
      </c>
      <c r="M157" s="92" t="inlineStr">
        <is>
          <t>Poor &lt;10k/&gt;60k</t>
        </is>
      </c>
      <c r="N157" s="92" t="inlineStr">
        <is>
          <t>C</t>
        </is>
      </c>
      <c r="O157" s="92" t="inlineStr">
        <is>
          <t>Elongated .035-.045</t>
        </is>
      </c>
      <c r="P157" s="92" t="inlineStr">
        <is>
          <t>Low</t>
        </is>
      </c>
      <c r="Q157" s="92" t="inlineStr">
        <is>
          <t>Out-of-state</t>
        </is>
      </c>
      <c r="R157" s="92" t="inlineStr">
        <is>
          <t>Individual</t>
        </is>
      </c>
      <c r="S157" s="92" t="n">
        <v>1</v>
      </c>
      <c r="T157" s="96">
        <f>INDEX('Scoring Method'!$B$6:$B$9,MATCH(M157,'Scoring Method'!$A$6:$A$9,0))+INDEX('Scoring Method'!$B$12:$B$16,MATCH(N157,'Scoring Method'!$A$12:$A$16,0))+INDEX('Scoring Method'!$B$19:$B$22,MATCH(O157,'Scoring Method'!$A$19:$A$22,0))+INDEX('Scoring Method'!$B$25:$B$27,MATCH(P157,'Scoring Method'!$A$25:$A$27,0))</f>
        <v/>
      </c>
      <c r="U157" s="96">
        <f>(INDEX('Scoring Method'!$B$30:$B$33,MATCH(Q157,'Scoring Method'!$A$30:$A$33,0))+INDEX('Scoring Method'!$B$36:$B$42,MATCH(R157,'Scoring Method'!$A$36:$A$42,0))+INDEX('Scoring Method'!$B$45:$B$47,MATCH(IF(S157=1,"1",IF(S157=2,"2","3+")),'Scoring Method'!$A$45:$A$47,0)))/90*100</f>
        <v/>
      </c>
      <c r="V157" s="96">
        <f>T157*U157/100</f>
        <v/>
      </c>
      <c r="W157" s="93" t="n">
        <v>4149</v>
      </c>
      <c r="X157" s="92" t="inlineStr">
        <is>
          <t>X (minimal hazard)</t>
        </is>
      </c>
      <c r="Y157" s="93" t="n">
        <v>4575</v>
      </c>
      <c r="Z157" s="97">
        <f>W157/I157</f>
        <v/>
      </c>
      <c r="AA157" s="98">
        <f>MAX(0,(Y157-5000)/300)</f>
        <v/>
      </c>
      <c r="AB157" s="92" t="n"/>
      <c r="AC157" s="92" t="n">
        <v>0.19</v>
      </c>
      <c r="AD157" s="92" t="inlineStr">
        <is>
          <t>ok</t>
        </is>
      </c>
      <c r="AE157" s="92" t="inlineStr">
        <is>
          <t>Large 4-6k</t>
        </is>
      </c>
      <c r="AF157" s="96">
        <f>INDEX('Scoring Method'!$B$63:$B$71,MATCH(AE157,'Scoring Method'!$A$63:$A$71,0))+INDEX('Scoring Method'!$B$75:$B$79,MATCH("Tight 2-5k",'Scoring Method'!$A$75:$A$79,0))+INDEX('Scoring Method'!$B$343:$B$347,MATCH(X157,'Scoring Method'!$A$343:$A$347,0))+INDEX('Scoring Method'!$B$25:$B$27,MATCH(P157,'Scoring Method'!$A$25:$A$27,0))</f>
        <v/>
      </c>
      <c r="AG157" s="96">
        <f>AF157*U157/100</f>
        <v/>
      </c>
      <c r="AH157" s="92" t="inlineStr">
        <is>
          <t>LINK-GIS + LoopNet</t>
        </is>
      </c>
      <c r="AI157" s="99" t="n">
        <v>39.08022</v>
      </c>
      <c r="AJ157" s="99" t="n">
        <v>-84.51579</v>
      </c>
      <c r="AK157" s="94" t="n">
        <v>0.31</v>
      </c>
      <c r="AL157" s="94" t="n">
        <v>0.84</v>
      </c>
      <c r="AM157" s="94" t="n">
        <v>1.48</v>
      </c>
      <c r="AN157" s="94" t="n">
        <v>0.31</v>
      </c>
      <c r="AO157" s="92" t="inlineStr">
        <is>
          <t>Core &lt;=0.35mi</t>
        </is>
      </c>
      <c r="AP157" s="92" t="inlineStr">
        <is>
          <t>Retail shell</t>
        </is>
      </c>
      <c r="AQ157" s="92" t="inlineStr">
        <is>
          <t>Tight 2-5k</t>
        </is>
      </c>
      <c r="AR157" s="100" t="n"/>
      <c r="AS157" s="96">
        <f>ROUND(INDEX('Scoring Method'!$B$63:$B$70,MATCH(AE157,'Scoring Method'!$A$63:$A$70,0))*0.625+INDEX('Scoring Method'!$B$105:$B$113,MATCH(AP157,'Scoring Method'!$A$105:$A$113,0))+INDEX('Scoring Method'!$B$74:$B$78,MATCH(AQ157,'Scoring Method'!$A$74:$A$78,0))*0.6667+INDEX('Scoring Method'!$B$96:$B$101,MATCH(AO157,'Scoring Method'!$A$96:$A$101,0))+INDEX('Scoring Method'!$B$343:$B$347,MATCH(X157,'Scoring Method'!$A$343:$A$347,0))*0.3333+INDEX('Scoring Method'!$B$25:$B$27,MATCH(P157,'Scoring Method'!$A$25:$A$27,0))*0.3333,1)</f>
        <v/>
      </c>
      <c r="AT157" s="96">
        <f>AS157*U157/100</f>
        <v/>
      </c>
      <c r="AU157" s="92" t="inlineStr">
        <is>
          <t>MainStrasse</t>
        </is>
      </c>
      <c r="AV157" s="92" t="n">
        <v>75</v>
      </c>
      <c r="AW157" s="92" t="inlineStr">
        <is>
          <t>Sourced</t>
        </is>
      </c>
      <c r="AX157" s="92" t="inlineStr">
        <is>
          <t>Safe 70-79</t>
        </is>
      </c>
      <c r="AY157" s="96">
        <f>ROUND(INDEX('Scoring Method'!$B$132:$B$140,MATCH(AE157,'Scoring Method'!$A$132:$A$140,0))+INDEX('Scoring Method'!$B$144:$B$152,MATCH(AP157,'Scoring Method'!$A$144:$A$152,0))+INDEX('Scoring Method'!$B$156:$B$160,MATCH(AQ157,'Scoring Method'!$A$156:$A$160,0))+INDEX('Scoring Method'!$B$164:$B$169,MATCH(AO157,'Scoring Method'!$A$164:$A$169,0))+INDEX('Scoring Method'!$B$173:$B$178,MATCH(AX157,'Scoring Method'!$A$173:$A$178,0))+INDEX('Scoring Method'!$B$349:$B$353,MATCH(X157,'Scoring Method'!$A$349:$A$353,0))+INDEX('Scoring Method'!$B$188:$B$190,MATCH(P157,'Scoring Method'!$A$188:$A$190,0)),1)</f>
        <v/>
      </c>
      <c r="AZ157" s="96">
        <f>AY157*U157/100</f>
        <v/>
      </c>
      <c r="BA157" s="92" t="inlineStr">
        <is>
          <t>No chain signal</t>
        </is>
      </c>
      <c r="BB157" s="94" t="n">
        <v>1</v>
      </c>
      <c r="BC157" s="103" t="inlineStr">
        <is>
          <t>Extra small 0.15-0.25 AC</t>
        </is>
      </c>
      <c r="BD157" s="94" t="n">
        <v>0.8</v>
      </c>
      <c r="BE157" s="96">
        <f>ROUND(INDEX('Scoring Method'!$B$268:$B$276,MATCH(AE157,'Scoring Method'!$A$268:$A$276,0))+INDEX('Scoring Method'!$B$280:$B$288,MATCH(AP157,'Scoring Method'!$A$280:$A$288,0))+INDEX('Scoring Method'!$B$292:$B$296,MATCH(AQ157,'Scoring Method'!$A$292:$A$296,0))+INDEX('Scoring Method'!$B$300:$B$305,MATCH(AO157,'Scoring Method'!$A$300:$A$305,0))+INDEX('Scoring Method'!$B$309:$B$314,MATCH(AX157,'Scoring Method'!$A$309:$A$314,0))+INDEX('Scoring Method'!$B$337:$B$341,MATCH(X157,'Scoring Method'!$A$337:$A$341,0))+INDEX('Scoring Method'!$B$324:$B$326,MATCH(P157,'Scoring Method'!$A$324:$A$326,0)),1)</f>
        <v/>
      </c>
      <c r="BF157" s="96">
        <f>ROUND(INDEX('Scoring Method'!$B$268:$B$276,MATCH(AE157,'Scoring Method'!$A$268:$A$276,0))*BB157*BD157+INDEX('Scoring Method'!$B$280:$B$288,MATCH(AP157,'Scoring Method'!$A$280:$A$288,0))*BM157*BB157*BD157+INDEX('Scoring Method'!$B$292:$B$296,MATCH(AQ157,'Scoring Method'!$A$292:$A$296,0))*BD157+INDEX('Scoring Method'!$B$300:$B$305,MATCH(AO157,'Scoring Method'!$A$300:$A$305,0))*BM157*BB157+INDEX('Scoring Method'!$B$309:$B$314,MATCH(AX157,'Scoring Method'!$A$309:$A$314,0))+INDEX('Scoring Method'!$B$337:$B$341,MATCH(X157,'Scoring Method'!$A$337:$A$341,0))+INDEX('Scoring Method'!$B$324:$B$326,MATCH(P157,'Scoring Method'!$A$324:$A$326,0)),1)</f>
        <v/>
      </c>
      <c r="BG157" s="92" t="inlineStr">
        <is>
          <t>Fits (~$3,803/mo)</t>
        </is>
      </c>
      <c r="BH157" s="61" t="inlineStr">
        <is>
          <t>DTC (HP)</t>
        </is>
      </c>
      <c r="BI157" s="61" t="inlineStr">
        <is>
          <t>Downtown Core</t>
        </is>
      </c>
      <c r="BJ157" s="61" t="inlineStr">
        <is>
          <t>HP</t>
        </is>
      </c>
      <c r="BK157" s="61" t="inlineStr"/>
      <c r="BL157" s="61" t="inlineStr">
        <is>
          <t>Bar permitted</t>
        </is>
      </c>
      <c r="BM157" s="61">
        <f>INDEX('Scoring Method'!$B$358:$B$363,MATCH(BL157,'Scoring Method'!$A$358:$A$363,0))</f>
        <v/>
      </c>
    </row>
    <row r="158" ht="15" customHeight="1" s="62">
      <c r="A158" s="92" t="n">
        <v>157</v>
      </c>
      <c r="B158" s="92" t="inlineStr">
        <is>
          <t>056-32-14-009.05</t>
        </is>
      </c>
      <c r="C158" s="92" t="inlineStr">
        <is>
          <t>215 E SOUTHERN AVE</t>
        </is>
      </c>
      <c r="D158" s="92" t="inlineStr">
        <is>
          <t>ST MARK UNITED CHURCH OF</t>
        </is>
      </c>
      <c r="E158" s="92" t="inlineStr">
        <is>
          <t>PO BOX 15141</t>
        </is>
      </c>
      <c r="F158" s="92" t="inlineStr">
        <is>
          <t>COVINGTON</t>
        </is>
      </c>
      <c r="G158" s="92" t="inlineStr">
        <is>
          <t>KY</t>
        </is>
      </c>
      <c r="H158" s="92" t="inlineStr">
        <is>
          <t>PAVED LOT</t>
        </is>
      </c>
      <c r="I158" s="93" t="n">
        <v>20108</v>
      </c>
      <c r="J158" s="94">
        <f>I158/43560</f>
        <v/>
      </c>
      <c r="K158" s="93" t="n">
        <v>601.4</v>
      </c>
      <c r="L158" s="95">
        <f>I158/(K158^2)</f>
        <v/>
      </c>
      <c r="M158" s="92" t="inlineStr">
        <is>
          <t>Ideal 18-32k</t>
        </is>
      </c>
      <c r="N158" s="92" t="inlineStr">
        <is>
          <t>D</t>
        </is>
      </c>
      <c r="O158" s="92" t="inlineStr">
        <is>
          <t>Compact &gt;=.055</t>
        </is>
      </c>
      <c r="P158" s="92" t="inlineStr">
        <is>
          <t>Low</t>
        </is>
      </c>
      <c r="Q158" s="92" t="inlineStr">
        <is>
          <t>Local absentee</t>
        </is>
      </c>
      <c r="R158" s="92" t="inlineStr">
        <is>
          <t>Religious</t>
        </is>
      </c>
      <c r="S158" s="92" t="n">
        <v>1</v>
      </c>
      <c r="T158" s="96">
        <f>INDEX('Scoring Method'!$B$6:$B$9,MATCH(M158,'Scoring Method'!$A$6:$A$9,0))+INDEX('Scoring Method'!$B$12:$B$16,MATCH(N158,'Scoring Method'!$A$12:$A$16,0))+INDEX('Scoring Method'!$B$19:$B$22,MATCH(O158,'Scoring Method'!$A$19:$A$22,0))+INDEX('Scoring Method'!$B$25:$B$27,MATCH(P158,'Scoring Method'!$A$25:$A$27,0))</f>
        <v/>
      </c>
      <c r="U158" s="96">
        <f>(INDEX('Scoring Method'!$B$30:$B$33,MATCH(Q158,'Scoring Method'!$A$30:$A$33,0))+INDEX('Scoring Method'!$B$36:$B$42,MATCH(R158,'Scoring Method'!$A$36:$A$42,0))+INDEX('Scoring Method'!$B$45:$B$47,MATCH(IF(S158=1,"1",IF(S158=2,"2","3+")),'Scoring Method'!$A$45:$A$47,0)))/90*100</f>
        <v/>
      </c>
      <c r="V158" s="96">
        <f>T158*U158/100</f>
        <v/>
      </c>
      <c r="W158" s="93" t="n"/>
      <c r="X158" s="92" t="inlineStr">
        <is>
          <t>Unknown</t>
        </is>
      </c>
      <c r="Y158" s="93" t="n"/>
      <c r="Z158" s="97" t="n"/>
      <c r="AA158" s="98" t="n"/>
      <c r="AB158" s="92" t="n"/>
      <c r="AC158" s="92" t="n"/>
      <c r="AD158" s="92" t="n"/>
      <c r="AE158" s="92" t="n"/>
      <c r="AF158" s="96" t="n"/>
      <c r="AG158" s="96" t="n"/>
      <c r="AH158" s="92" t="inlineStr">
        <is>
          <t>LINK-GIS only</t>
        </is>
      </c>
      <c r="AI158" s="99" t="n">
        <v>39.04705</v>
      </c>
      <c r="AJ158" s="99" t="n">
        <v>-84.49959</v>
      </c>
      <c r="AK158" s="94" t="n">
        <v>2.76</v>
      </c>
      <c r="AL158" s="94" t="n">
        <v>3.06</v>
      </c>
      <c r="AM158" s="94" t="n">
        <v>3.82</v>
      </c>
      <c r="AN158" s="94" t="n">
        <v>2.62</v>
      </c>
      <c r="AO158" s="92" t="inlineStr">
        <is>
          <t>Distant 2-3mi</t>
        </is>
      </c>
      <c r="AP158" s="92" t="inlineStr">
        <is>
          <t>Lot / minimal bldg</t>
        </is>
      </c>
      <c r="AQ158" s="92" t="n"/>
      <c r="AR158" s="100" t="n"/>
      <c r="AS158" s="96" t="n"/>
      <c r="AT158" s="96" t="n"/>
      <c r="AU158" s="92" t="inlineStr">
        <is>
          <t>Latonia</t>
        </is>
      </c>
      <c r="AV158" s="92" t="n">
        <v>78</v>
      </c>
      <c r="AW158" s="92" t="inlineStr">
        <is>
          <t>Sourced</t>
        </is>
      </c>
      <c r="AX158" s="92" t="inlineStr">
        <is>
          <t>Safe 70-79</t>
        </is>
      </c>
      <c r="AY158" s="96" t="n"/>
      <c r="AZ158" s="96" t="n"/>
      <c r="BA158" s="92" t="inlineStr">
        <is>
          <t>No chain signal</t>
        </is>
      </c>
      <c r="BB158" s="94" t="n">
        <v>1</v>
      </c>
      <c r="BC158" s="92" t="inlineStr">
        <is>
          <t>Right-sized 0.35-0.75 AC</t>
        </is>
      </c>
      <c r="BD158" s="94" t="n">
        <v>1</v>
      </c>
      <c r="BE158" s="96" t="n"/>
      <c r="BF158" s="96" t="n"/>
      <c r="BG158" s="92" t="n"/>
      <c r="BH158" s="61" t="inlineStr">
        <is>
          <t>Not joined</t>
        </is>
      </c>
      <c r="BL158" s="61" t="inlineStr">
        <is>
          <t>Not joined</t>
        </is>
      </c>
      <c r="BM158" s="61" t="n">
        <v>1</v>
      </c>
    </row>
    <row r="159" ht="15" customHeight="1" s="62">
      <c r="A159" s="92" t="n">
        <v>158</v>
      </c>
      <c r="B159" s="92" t="inlineStr">
        <is>
          <t>055-14-20-004.00</t>
        </is>
      </c>
      <c r="C159" s="92" t="inlineStr">
        <is>
          <t>2020 MADISON AVE</t>
        </is>
      </c>
      <c r="D159" s="92" t="inlineStr">
        <is>
          <t>FRIENDS OF THE ROSE GARDEN</t>
        </is>
      </c>
      <c r="E159" s="92" t="inlineStr">
        <is>
          <t>PO BOX 122089</t>
        </is>
      </c>
      <c r="F159" s="92" t="inlineStr">
        <is>
          <t>COVINGTON</t>
        </is>
      </c>
      <c r="G159" s="92" t="inlineStr">
        <is>
          <t>KY</t>
        </is>
      </c>
      <c r="H159" s="92" t="inlineStr">
        <is>
          <t>MEDICAL OFFICE</t>
        </is>
      </c>
      <c r="I159" s="93" t="n">
        <v>40146</v>
      </c>
      <c r="J159" s="94">
        <f>I159/43560</f>
        <v/>
      </c>
      <c r="K159" s="93" t="n">
        <v>892</v>
      </c>
      <c r="L159" s="95">
        <f>I159/(K159^2)</f>
        <v/>
      </c>
      <c r="M159" s="92" t="inlineStr">
        <is>
          <t>Near 14-18k/32-45k</t>
        </is>
      </c>
      <c r="N159" s="92" t="inlineStr">
        <is>
          <t>E</t>
        </is>
      </c>
      <c r="O159" s="92" t="inlineStr">
        <is>
          <t>Regular .045-.055</t>
        </is>
      </c>
      <c r="P159" s="92" t="inlineStr">
        <is>
          <t>Low</t>
        </is>
      </c>
      <c r="Q159" s="92" t="inlineStr">
        <is>
          <t>Local absentee</t>
        </is>
      </c>
      <c r="R159" s="92" t="inlineStr">
        <is>
          <t>Individual</t>
        </is>
      </c>
      <c r="S159" s="92" t="n">
        <v>1</v>
      </c>
      <c r="T159" s="96">
        <f>INDEX('Scoring Method'!$B$6:$B$9,MATCH(M159,'Scoring Method'!$A$6:$A$9,0))+INDEX('Scoring Method'!$B$12:$B$16,MATCH(N159,'Scoring Method'!$A$12:$A$16,0))+INDEX('Scoring Method'!$B$19:$B$22,MATCH(O159,'Scoring Method'!$A$19:$A$22,0))+INDEX('Scoring Method'!$B$25:$B$27,MATCH(P159,'Scoring Method'!$A$25:$A$27,0))</f>
        <v/>
      </c>
      <c r="U159" s="96">
        <f>(INDEX('Scoring Method'!$B$30:$B$33,MATCH(Q159,'Scoring Method'!$A$30:$A$33,0))+INDEX('Scoring Method'!$B$36:$B$42,MATCH(R159,'Scoring Method'!$A$36:$A$42,0))+INDEX('Scoring Method'!$B$45:$B$47,MATCH(IF(S159=1,"1",IF(S159=2,"2","3+")),'Scoring Method'!$A$45:$A$47,0)))/90*100</f>
        <v/>
      </c>
      <c r="V159" s="96">
        <f>T159*U159/100</f>
        <v/>
      </c>
      <c r="W159" s="93" t="n">
        <v>16871</v>
      </c>
      <c r="X159" s="92" t="inlineStr">
        <is>
          <t>X (minimal hazard)</t>
        </is>
      </c>
      <c r="Y159" s="93" t="n">
        <v>20375</v>
      </c>
      <c r="Z159" s="97" t="n"/>
      <c r="AA159" s="98">
        <f>MAX(0,(Y159-5000)/300)</f>
        <v/>
      </c>
      <c r="AB159" s="92" t="n"/>
      <c r="AC159" s="92" t="n"/>
      <c r="AD159" s="92" t="n"/>
      <c r="AE159" s="92" t="inlineStr">
        <is>
          <t>Far oversize &gt;12k</t>
        </is>
      </c>
      <c r="AF159" s="96">
        <f>INDEX('Scoring Method'!$B$63:$B$71,MATCH(AE159,'Scoring Method'!$A$63:$A$71,0))+INDEX('Scoring Method'!$B$75:$B$79,MATCH("Ample &gt;=15k",'Scoring Method'!$A$75:$A$79,0))+INDEX('Scoring Method'!$B$343:$B$347,MATCH(X159,'Scoring Method'!$A$343:$A$347,0))+INDEX('Scoring Method'!$B$25:$B$27,MATCH(P159,'Scoring Method'!$A$25:$A$27,0))</f>
        <v/>
      </c>
      <c r="AG159" s="96">
        <f>AF159*U159/100</f>
        <v/>
      </c>
      <c r="AH159" s="92" t="inlineStr">
        <is>
          <t>LINK-GIS only</t>
        </is>
      </c>
      <c r="AI159" s="99" t="n">
        <v>39.06618</v>
      </c>
      <c r="AJ159" s="99" t="n">
        <v>-84.50514</v>
      </c>
      <c r="AK159" s="94" t="n">
        <v>1.43</v>
      </c>
      <c r="AL159" s="94" t="n">
        <v>1.71</v>
      </c>
      <c r="AM159" s="94" t="n">
        <v>2.47</v>
      </c>
      <c r="AN159" s="94" t="n">
        <v>1.27</v>
      </c>
      <c r="AO159" s="92" t="inlineStr">
        <is>
          <t>Outer 1.25-2mi</t>
        </is>
      </c>
      <c r="AP159" s="92" t="inlineStr">
        <is>
          <t>Office/institutional</t>
        </is>
      </c>
      <c r="AQ159" s="92" t="inlineStr">
        <is>
          <t>Ample &gt;=15k</t>
        </is>
      </c>
      <c r="AR159" s="100" t="n"/>
      <c r="AS159" s="96">
        <f>ROUND(INDEX('Scoring Method'!$B$63:$B$70,MATCH(AE159,'Scoring Method'!$A$63:$A$70,0))*0.625+INDEX('Scoring Method'!$B$105:$B$113,MATCH(AP159,'Scoring Method'!$A$105:$A$113,0))+INDEX('Scoring Method'!$B$74:$B$78,MATCH(AQ159,'Scoring Method'!$A$74:$A$78,0))*0.6667+INDEX('Scoring Method'!$B$96:$B$101,MATCH(AO159,'Scoring Method'!$A$96:$A$101,0))+INDEX('Scoring Method'!$B$343:$B$347,MATCH(X159,'Scoring Method'!$A$343:$A$347,0))*0.3333+INDEX('Scoring Method'!$B$25:$B$27,MATCH(P159,'Scoring Method'!$A$25:$A$27,0))*0.3333,1)</f>
        <v/>
      </c>
      <c r="AT159" s="96">
        <f>AS159*U159/100</f>
        <v/>
      </c>
      <c r="AU159" s="92" t="inlineStr">
        <is>
          <t>Levassor Park</t>
        </is>
      </c>
      <c r="AV159" s="92" t="n">
        <v>42</v>
      </c>
      <c r="AW159" s="101" t="inlineStr">
        <is>
          <t>ESTIMATED</t>
        </is>
      </c>
      <c r="AX159" s="92" t="inlineStr">
        <is>
          <t>Elevated 35-44</t>
        </is>
      </c>
      <c r="AY159" s="96">
        <f>ROUND(INDEX('Scoring Method'!$B$132:$B$140,MATCH(AE159,'Scoring Method'!$A$132:$A$140,0))+INDEX('Scoring Method'!$B$144:$B$152,MATCH(AP159,'Scoring Method'!$A$144:$A$152,0))+INDEX('Scoring Method'!$B$156:$B$160,MATCH(AQ159,'Scoring Method'!$A$156:$A$160,0))+INDEX('Scoring Method'!$B$164:$B$169,MATCH(AO159,'Scoring Method'!$A$164:$A$169,0))+INDEX('Scoring Method'!$B$173:$B$178,MATCH(AX159,'Scoring Method'!$A$173:$A$178,0))+INDEX('Scoring Method'!$B$349:$B$353,MATCH(X159,'Scoring Method'!$A$349:$A$353,0))+INDEX('Scoring Method'!$B$188:$B$190,MATCH(P159,'Scoring Method'!$A$188:$A$190,0)),1)</f>
        <v/>
      </c>
      <c r="AZ159" s="96">
        <f>AY159*U159/100</f>
        <v/>
      </c>
      <c r="BA159" s="92" t="inlineStr">
        <is>
          <t>No chain signal</t>
        </is>
      </c>
      <c r="BB159" s="94" t="n">
        <v>1</v>
      </c>
      <c r="BC159" s="102" t="inlineStr">
        <is>
          <t>Large 0.75-1.25 AC</t>
        </is>
      </c>
      <c r="BD159" s="94" t="n">
        <v>0.9</v>
      </c>
      <c r="BE159" s="96">
        <f>ROUND(INDEX('Scoring Method'!$B$268:$B$276,MATCH(AE159,'Scoring Method'!$A$268:$A$276,0))+INDEX('Scoring Method'!$B$280:$B$288,MATCH(AP159,'Scoring Method'!$A$280:$A$288,0))+INDEX('Scoring Method'!$B$292:$B$296,MATCH(AQ159,'Scoring Method'!$A$292:$A$296,0))+INDEX('Scoring Method'!$B$300:$B$305,MATCH(AO159,'Scoring Method'!$A$300:$A$305,0))+INDEX('Scoring Method'!$B$309:$B$314,MATCH(AX159,'Scoring Method'!$A$309:$A$314,0))+INDEX('Scoring Method'!$B$337:$B$341,MATCH(X159,'Scoring Method'!$A$337:$A$341,0))+INDEX('Scoring Method'!$B$324:$B$326,MATCH(P159,'Scoring Method'!$A$324:$A$326,0)),1)</f>
        <v/>
      </c>
      <c r="BF159" s="96">
        <f>ROUND(INDEX('Scoring Method'!$B$268:$B$276,MATCH(AE159,'Scoring Method'!$A$268:$A$276,0))*BB159*BD159+INDEX('Scoring Method'!$B$280:$B$288,MATCH(AP159,'Scoring Method'!$A$280:$A$288,0))*BM159*BB159*BD159+INDEX('Scoring Method'!$B$292:$B$296,MATCH(AQ159,'Scoring Method'!$A$292:$A$296,0))*BD159+INDEX('Scoring Method'!$B$300:$B$305,MATCH(AO159,'Scoring Method'!$A$300:$A$305,0))*BM159*BB159+INDEX('Scoring Method'!$B$309:$B$314,MATCH(AX159,'Scoring Method'!$A$309:$A$314,0))+INDEX('Scoring Method'!$B$337:$B$341,MATCH(X159,'Scoring Method'!$A$337:$A$341,0))+INDEX('Scoring Method'!$B$324:$B$326,MATCH(P159,'Scoring Method'!$A$324:$A$326,0)),1)</f>
        <v/>
      </c>
      <c r="BG159" s="102" t="inlineStr">
        <is>
          <t>Over (~$15,465/mo)</t>
        </is>
      </c>
      <c r="BH159" s="61" t="inlineStr">
        <is>
          <t>AUC</t>
        </is>
      </c>
      <c r="BI159" s="61" t="inlineStr">
        <is>
          <t>Auto-Urban Commercial</t>
        </is>
      </c>
      <c r="BJ159" s="61" t="inlineStr"/>
      <c r="BK159" s="61" t="inlineStr"/>
      <c r="BL159" s="61" t="inlineStr">
        <is>
          <t>Bar permitted</t>
        </is>
      </c>
      <c r="BM159" s="61">
        <f>INDEX('Scoring Method'!$B$358:$B$363,MATCH(BL159,'Scoring Method'!$A$358:$A$363,0))</f>
        <v/>
      </c>
    </row>
    <row r="160" ht="15" customHeight="1" s="62">
      <c r="A160" s="92" t="n">
        <v>159</v>
      </c>
      <c r="B160" s="92" t="inlineStr">
        <is>
          <t>044-20-00-055.08</t>
        </is>
      </c>
      <c r="C160" s="92" t="inlineStr">
        <is>
          <t>1020 HANDS PIKE</t>
        </is>
      </c>
      <c r="D160" s="92" t="inlineStr">
        <is>
          <t>LITTLE TREEHOUSE LEARNING</t>
        </is>
      </c>
      <c r="E160" s="92" t="inlineStr">
        <is>
          <t>1020 HANDS PK</t>
        </is>
      </c>
      <c r="F160" s="92" t="inlineStr">
        <is>
          <t>COVINGTON</t>
        </is>
      </c>
      <c r="G160" s="92" t="inlineStr">
        <is>
          <t>KY</t>
        </is>
      </c>
      <c r="H160" s="92" t="inlineStr">
        <is>
          <t>DAY CARE CENTER</t>
        </is>
      </c>
      <c r="I160" s="93" t="n">
        <v>43852</v>
      </c>
      <c r="J160" s="94">
        <f>I160/43560</f>
        <v/>
      </c>
      <c r="K160" s="93" t="n">
        <v>850</v>
      </c>
      <c r="L160" s="95">
        <f>I160/(K160^2)</f>
        <v/>
      </c>
      <c r="M160" s="92" t="inlineStr">
        <is>
          <t>Near 14-18k/32-45k</t>
        </is>
      </c>
      <c r="N160" s="92" t="inlineStr">
        <is>
          <t>C</t>
        </is>
      </c>
      <c r="O160" s="92" t="inlineStr">
        <is>
          <t>Compact &gt;=.055</t>
        </is>
      </c>
      <c r="P160" s="92" t="inlineStr">
        <is>
          <t>Low</t>
        </is>
      </c>
      <c r="Q160" s="92" t="inlineStr">
        <is>
          <t>Owner-occupied</t>
        </is>
      </c>
      <c r="R160" s="92" t="inlineStr">
        <is>
          <t>Individual</t>
        </is>
      </c>
      <c r="S160" s="92" t="n">
        <v>1</v>
      </c>
      <c r="T160" s="96">
        <f>INDEX('Scoring Method'!$B$6:$B$9,MATCH(M160,'Scoring Method'!$A$6:$A$9,0))+INDEX('Scoring Method'!$B$12:$B$16,MATCH(N160,'Scoring Method'!$A$12:$A$16,0))+INDEX('Scoring Method'!$B$19:$B$22,MATCH(O160,'Scoring Method'!$A$19:$A$22,0))+INDEX('Scoring Method'!$B$25:$B$27,MATCH(P160,'Scoring Method'!$A$25:$A$27,0))</f>
        <v/>
      </c>
      <c r="U160" s="96">
        <f>(INDEX('Scoring Method'!$B$30:$B$33,MATCH(Q160,'Scoring Method'!$A$30:$A$33,0))+INDEX('Scoring Method'!$B$36:$B$42,MATCH(R160,'Scoring Method'!$A$36:$A$42,0))+INDEX('Scoring Method'!$B$45:$B$47,MATCH(IF(S160=1,"1",IF(S160=2,"2","3+")),'Scoring Method'!$A$45:$A$47,0)))/90*100</f>
        <v/>
      </c>
      <c r="V160" s="96">
        <f>T160*U160/100</f>
        <v/>
      </c>
      <c r="W160" s="93" t="n">
        <v>4918</v>
      </c>
      <c r="X160" s="92" t="inlineStr">
        <is>
          <t>X (minimal hazard)</t>
        </is>
      </c>
      <c r="Y160" s="93" t="n">
        <v>37375</v>
      </c>
      <c r="Z160" s="97" t="n"/>
      <c r="AA160" s="98">
        <f>MAX(0,(Y160-5000)/300)</f>
        <v/>
      </c>
      <c r="AB160" s="92" t="n"/>
      <c r="AC160" s="92" t="n"/>
      <c r="AD160" s="92" t="n"/>
      <c r="AE160" s="92" t="inlineStr">
        <is>
          <t>Large 4-6k</t>
        </is>
      </c>
      <c r="AF160" s="96">
        <f>INDEX('Scoring Method'!$B$63:$B$71,MATCH(AE160,'Scoring Method'!$A$63:$A$71,0))+INDEX('Scoring Method'!$B$75:$B$79,MATCH("Ample &gt;=15k",'Scoring Method'!$A$75:$A$79,0))+INDEX('Scoring Method'!$B$343:$B$347,MATCH(X160,'Scoring Method'!$A$343:$A$347,0))+INDEX('Scoring Method'!$B$25:$B$27,MATCH(P160,'Scoring Method'!$A$25:$A$27,0))</f>
        <v/>
      </c>
      <c r="AG160" s="96">
        <f>AF160*U160/100</f>
        <v/>
      </c>
      <c r="AH160" s="92" t="inlineStr">
        <is>
          <t>LINK-GIS + LoopNet (2026-08-03)</t>
        </is>
      </c>
      <c r="AI160" s="99" t="n">
        <v>38.9913</v>
      </c>
      <c r="AJ160" s="99" t="n">
        <v>-84.53108</v>
      </c>
      <c r="AK160" s="94" t="n">
        <v>6.47</v>
      </c>
      <c r="AL160" s="94" t="n">
        <v>6.99</v>
      </c>
      <c r="AM160" s="94" t="n">
        <v>7.68</v>
      </c>
      <c r="AN160" s="94" t="n">
        <v>6.47</v>
      </c>
      <c r="AO160" s="92" t="inlineStr">
        <is>
          <t>Remote &gt;3mi</t>
        </is>
      </c>
      <c r="AP160" s="92" t="inlineStr">
        <is>
          <t>Cellular</t>
        </is>
      </c>
      <c r="AQ160" s="92" t="inlineStr">
        <is>
          <t>Ample &gt;=15k</t>
        </is>
      </c>
      <c r="AR160" s="100" t="n"/>
      <c r="AS160" s="96">
        <f>ROUND(INDEX('Scoring Method'!$B$63:$B$70,MATCH(AE160,'Scoring Method'!$A$63:$A$70,0))*0.625+INDEX('Scoring Method'!$B$105:$B$113,MATCH(AP160,'Scoring Method'!$A$105:$A$113,0))+INDEX('Scoring Method'!$B$74:$B$78,MATCH(AQ160,'Scoring Method'!$A$74:$A$78,0))*0.6667+INDEX('Scoring Method'!$B$96:$B$101,MATCH(AO160,'Scoring Method'!$A$96:$A$101,0))+INDEX('Scoring Method'!$B$343:$B$347,MATCH(X160,'Scoring Method'!$A$343:$A$347,0))*0.3333+INDEX('Scoring Method'!$B$25:$B$27,MATCH(P160,'Scoring Method'!$A$25:$A$27,0))*0.3333,1)</f>
        <v/>
      </c>
      <c r="AT160" s="96">
        <f>AS160*U160/100</f>
        <v/>
      </c>
      <c r="AU160" s="92" t="inlineStr">
        <is>
          <t>South Covington</t>
        </is>
      </c>
      <c r="AV160" s="92" t="n">
        <v>88</v>
      </c>
      <c r="AW160" s="92" t="inlineStr">
        <is>
          <t>Sourced</t>
        </is>
      </c>
      <c r="AX160" s="92" t="inlineStr">
        <is>
          <t>Very safe 80+</t>
        </is>
      </c>
      <c r="AY160" s="96">
        <f>ROUND(INDEX('Scoring Method'!$B$132:$B$140,MATCH(AE160,'Scoring Method'!$A$132:$A$140,0))+INDEX('Scoring Method'!$B$144:$B$152,MATCH(AP160,'Scoring Method'!$A$144:$A$152,0))+INDEX('Scoring Method'!$B$156:$B$160,MATCH(AQ160,'Scoring Method'!$A$156:$A$160,0))+INDEX('Scoring Method'!$B$164:$B$169,MATCH(AO160,'Scoring Method'!$A$164:$A$169,0))+INDEX('Scoring Method'!$B$173:$B$178,MATCH(AX160,'Scoring Method'!$A$173:$A$178,0))+INDEX('Scoring Method'!$B$349:$B$353,MATCH(X160,'Scoring Method'!$A$349:$A$353,0))+INDEX('Scoring Method'!$B$188:$B$190,MATCH(P160,'Scoring Method'!$A$188:$A$190,0)),1)</f>
        <v/>
      </c>
      <c r="AZ160" s="96">
        <f>AY160*U160/100</f>
        <v/>
      </c>
      <c r="BA160" s="92" t="inlineStr">
        <is>
          <t>Owner-occupied operator</t>
        </is>
      </c>
      <c r="BB160" s="94" t="n">
        <v>0.8</v>
      </c>
      <c r="BC160" s="102" t="inlineStr">
        <is>
          <t>Large 0.75-1.25 AC</t>
        </is>
      </c>
      <c r="BD160" s="94" t="n">
        <v>0.9</v>
      </c>
      <c r="BE160" s="96">
        <f>ROUND(INDEX('Scoring Method'!$B$268:$B$276,MATCH(AE160,'Scoring Method'!$A$268:$A$276,0))+INDEX('Scoring Method'!$B$280:$B$288,MATCH(AP160,'Scoring Method'!$A$280:$A$288,0))+INDEX('Scoring Method'!$B$292:$B$296,MATCH(AQ160,'Scoring Method'!$A$292:$A$296,0))+INDEX('Scoring Method'!$B$300:$B$305,MATCH(AO160,'Scoring Method'!$A$300:$A$305,0))+INDEX('Scoring Method'!$B$309:$B$314,MATCH(AX160,'Scoring Method'!$A$309:$A$314,0))+INDEX('Scoring Method'!$B$337:$B$341,MATCH(X160,'Scoring Method'!$A$337:$A$341,0))+INDEX('Scoring Method'!$B$324:$B$326,MATCH(P160,'Scoring Method'!$A$324:$A$326,0)),1)</f>
        <v/>
      </c>
      <c r="BF160" s="96">
        <f>ROUND(INDEX('Scoring Method'!$B$268:$B$276,MATCH(AE160,'Scoring Method'!$A$268:$A$276,0))*BB160*BD160+INDEX('Scoring Method'!$B$280:$B$288,MATCH(AP160,'Scoring Method'!$A$280:$A$288,0))*BM160*BB160*BD160+INDEX('Scoring Method'!$B$292:$B$296,MATCH(AQ160,'Scoring Method'!$A$292:$A$296,0))*BD160+INDEX('Scoring Method'!$B$300:$B$305,MATCH(AO160,'Scoring Method'!$A$300:$A$305,0))*BM160*BB160+INDEX('Scoring Method'!$B$309:$B$314,MATCH(AX160,'Scoring Method'!$A$309:$A$314,0))+INDEX('Scoring Method'!$B$337:$B$341,MATCH(X160,'Scoring Method'!$A$337:$A$341,0))+INDEX('Scoring Method'!$B$324:$B$326,MATCH(P160,'Scoring Method'!$A$324:$A$326,0)),1)</f>
        <v/>
      </c>
      <c r="BG160" s="92" t="inlineStr">
        <is>
          <t>Fits (~$4,508/mo)</t>
        </is>
      </c>
      <c r="BH160" s="61" t="inlineStr">
        <is>
          <t>SR</t>
        </is>
      </c>
      <c r="BI160" s="61" t="inlineStr">
        <is>
          <t>Suburban Residential</t>
        </is>
      </c>
      <c r="BJ160" s="61" t="inlineStr"/>
      <c r="BK160" s="61" t="inlineStr"/>
      <c r="BL160" s="61" t="inlineStr">
        <is>
          <t>No path</t>
        </is>
      </c>
      <c r="BM160" s="61">
        <f>INDEX('Scoring Method'!$B$358:$B$363,MATCH(BL160,'Scoring Method'!$A$358:$A$363,0))</f>
        <v/>
      </c>
    </row>
    <row r="161" ht="15" customHeight="1" s="62">
      <c r="A161" s="92" t="n">
        <v>160</v>
      </c>
      <c r="B161" s="92" t="inlineStr">
        <is>
          <t>044-20-00-011.00</t>
        </is>
      </c>
      <c r="C161" s="92" t="inlineStr">
        <is>
          <t>4096 OLD MADISON PIKE</t>
        </is>
      </c>
      <c r="D161" s="92" t="inlineStr">
        <is>
          <t>CORBIN KAY &amp; RICKIE W</t>
        </is>
      </c>
      <c r="E161" s="92" t="inlineStr">
        <is>
          <t>4096 OLD MADISON PK</t>
        </is>
      </c>
      <c r="F161" s="92" t="inlineStr">
        <is>
          <t>COVINGTON</t>
        </is>
      </c>
      <c r="G161" s="92" t="inlineStr">
        <is>
          <t>KY</t>
        </is>
      </c>
      <c r="H161" s="92" t="inlineStr">
        <is>
          <t>RES W/MINIMAL COMMERCIAL</t>
        </is>
      </c>
      <c r="I161" s="93" t="n">
        <v>15329</v>
      </c>
      <c r="J161" s="94">
        <f>I161/43560</f>
        <v/>
      </c>
      <c r="K161" s="93" t="n">
        <v>501</v>
      </c>
      <c r="L161" s="95">
        <f>I161/(K161^2)</f>
        <v/>
      </c>
      <c r="M161" s="92" t="inlineStr">
        <is>
          <t>Near 14-18k/32-45k</t>
        </is>
      </c>
      <c r="N161" s="92" t="inlineStr">
        <is>
          <t>C</t>
        </is>
      </c>
      <c r="O161" s="92" t="inlineStr">
        <is>
          <t>Compact &gt;=.055</t>
        </is>
      </c>
      <c r="P161" s="92" t="inlineStr">
        <is>
          <t>Low</t>
        </is>
      </c>
      <c r="Q161" s="92" t="inlineStr">
        <is>
          <t>Owner-occupied</t>
        </is>
      </c>
      <c r="R161" s="92" t="inlineStr">
        <is>
          <t>Individual</t>
        </is>
      </c>
      <c r="S161" s="92" t="n">
        <v>1</v>
      </c>
      <c r="T161" s="96">
        <f>INDEX('Scoring Method'!$B$6:$B$9,MATCH(M161,'Scoring Method'!$A$6:$A$9,0))+INDEX('Scoring Method'!$B$12:$B$16,MATCH(N161,'Scoring Method'!$A$12:$A$16,0))+INDEX('Scoring Method'!$B$19:$B$22,MATCH(O161,'Scoring Method'!$A$19:$A$22,0))+INDEX('Scoring Method'!$B$25:$B$27,MATCH(P161,'Scoring Method'!$A$25:$A$27,0))</f>
        <v/>
      </c>
      <c r="U161" s="96">
        <f>(INDEX('Scoring Method'!$B$30:$B$33,MATCH(Q161,'Scoring Method'!$A$30:$A$33,0))+INDEX('Scoring Method'!$B$36:$B$42,MATCH(R161,'Scoring Method'!$A$36:$A$42,0))+INDEX('Scoring Method'!$B$45:$B$47,MATCH(IF(S161=1,"1",IF(S161=2,"2","3+")),'Scoring Method'!$A$45:$A$47,0)))/90*100</f>
        <v/>
      </c>
      <c r="V161" s="96">
        <f>T161*U161/100</f>
        <v/>
      </c>
      <c r="W161" s="93" t="n">
        <v>2113</v>
      </c>
      <c r="X161" s="92" t="inlineStr">
        <is>
          <t>X (minimal hazard)</t>
        </is>
      </c>
      <c r="Y161" s="93" t="n">
        <v>9300</v>
      </c>
      <c r="Z161" s="97">
        <f>W161/I161</f>
        <v/>
      </c>
      <c r="AA161" s="98">
        <f>MAX(0,(Y161-5000)/300)</f>
        <v/>
      </c>
      <c r="AB161" s="92" t="n"/>
      <c r="AC161" s="92" t="n">
        <v>0.34</v>
      </c>
      <c r="AD161" s="92" t="inlineStr">
        <is>
          <t>ok</t>
        </is>
      </c>
      <c r="AE161" s="92" t="inlineStr">
        <is>
          <t>Target 1.5-2.5k</t>
        </is>
      </c>
      <c r="AF161" s="96">
        <f>INDEX('Scoring Method'!$B$63:$B$71,MATCH(AE161,'Scoring Method'!$A$63:$A$71,0))+INDEX('Scoring Method'!$B$75:$B$79,MATCH("Good 8-15k",'Scoring Method'!$A$75:$A$79,0))+INDEX('Scoring Method'!$B$343:$B$347,MATCH(X161,'Scoring Method'!$A$343:$A$347,0))+INDEX('Scoring Method'!$B$25:$B$27,MATCH(P161,'Scoring Method'!$A$25:$A$27,0))</f>
        <v/>
      </c>
      <c r="AG161" s="96">
        <f>AF161*U161/100</f>
        <v/>
      </c>
      <c r="AH161" s="92" t="inlineStr">
        <is>
          <t>LINK-GIS + LoopNet</t>
        </is>
      </c>
      <c r="AI161" s="99" t="n">
        <v>38.99575</v>
      </c>
      <c r="AJ161" s="99" t="n">
        <v>-84.53724</v>
      </c>
      <c r="AK161" s="94" t="n">
        <v>6.21</v>
      </c>
      <c r="AL161" s="94" t="n">
        <v>6.75</v>
      </c>
      <c r="AM161" s="94" t="n">
        <v>7.43</v>
      </c>
      <c r="AN161" s="94" t="n">
        <v>6.21</v>
      </c>
      <c r="AO161" s="92" t="inlineStr">
        <is>
          <t>Remote &gt;3mi</t>
        </is>
      </c>
      <c r="AP161" s="92" t="inlineStr">
        <is>
          <t>Cellular</t>
        </is>
      </c>
      <c r="AQ161" s="92" t="inlineStr">
        <is>
          <t>Good 8-15k</t>
        </is>
      </c>
      <c r="AR161" s="100" t="n"/>
      <c r="AS161" s="96">
        <f>ROUND(INDEX('Scoring Method'!$B$63:$B$70,MATCH(AE161,'Scoring Method'!$A$63:$A$70,0))*0.625+INDEX('Scoring Method'!$B$105:$B$113,MATCH(AP161,'Scoring Method'!$A$105:$A$113,0))+INDEX('Scoring Method'!$B$74:$B$78,MATCH(AQ161,'Scoring Method'!$A$74:$A$78,0))*0.6667+INDEX('Scoring Method'!$B$96:$B$101,MATCH(AO161,'Scoring Method'!$A$96:$A$101,0))+INDEX('Scoring Method'!$B$343:$B$347,MATCH(X161,'Scoring Method'!$A$343:$A$347,0))*0.3333+INDEX('Scoring Method'!$B$25:$B$27,MATCH(P161,'Scoring Method'!$A$25:$A$27,0))*0.3333,1)</f>
        <v/>
      </c>
      <c r="AT161" s="96">
        <f>AS161*U161/100</f>
        <v/>
      </c>
      <c r="AU161" s="92" t="inlineStr">
        <is>
          <t>South Covington</t>
        </is>
      </c>
      <c r="AV161" s="92" t="n">
        <v>88</v>
      </c>
      <c r="AW161" s="92" t="inlineStr">
        <is>
          <t>Sourced</t>
        </is>
      </c>
      <c r="AX161" s="92" t="inlineStr">
        <is>
          <t>Very safe 80+</t>
        </is>
      </c>
      <c r="AY161" s="96">
        <f>ROUND(INDEX('Scoring Method'!$B$132:$B$140,MATCH(AE161,'Scoring Method'!$A$132:$A$140,0))+INDEX('Scoring Method'!$B$144:$B$152,MATCH(AP161,'Scoring Method'!$A$144:$A$152,0))+INDEX('Scoring Method'!$B$156:$B$160,MATCH(AQ161,'Scoring Method'!$A$156:$A$160,0))+INDEX('Scoring Method'!$B$164:$B$169,MATCH(AO161,'Scoring Method'!$A$164:$A$169,0))+INDEX('Scoring Method'!$B$173:$B$178,MATCH(AX161,'Scoring Method'!$A$173:$A$178,0))+INDEX('Scoring Method'!$B$349:$B$353,MATCH(X161,'Scoring Method'!$A$349:$A$353,0))+INDEX('Scoring Method'!$B$188:$B$190,MATCH(P161,'Scoring Method'!$A$188:$A$190,0)),1)</f>
        <v/>
      </c>
      <c r="AZ161" s="96">
        <f>AY161*U161/100</f>
        <v/>
      </c>
      <c r="BA161" s="92" t="inlineStr">
        <is>
          <t>Owner-occupied operator</t>
        </is>
      </c>
      <c r="BB161" s="94" t="n">
        <v>0.8</v>
      </c>
      <c r="BC161" s="92" t="inlineStr">
        <is>
          <t>Right-sized 0.35-0.75 AC</t>
        </is>
      </c>
      <c r="BD161" s="94" t="n">
        <v>1</v>
      </c>
      <c r="BE161" s="96">
        <f>ROUND(INDEX('Scoring Method'!$B$268:$B$276,MATCH(AE161,'Scoring Method'!$A$268:$A$276,0))+INDEX('Scoring Method'!$B$280:$B$288,MATCH(AP161,'Scoring Method'!$A$280:$A$288,0))+INDEX('Scoring Method'!$B$292:$B$296,MATCH(AQ161,'Scoring Method'!$A$292:$A$296,0))+INDEX('Scoring Method'!$B$300:$B$305,MATCH(AO161,'Scoring Method'!$A$300:$A$305,0))+INDEX('Scoring Method'!$B$309:$B$314,MATCH(AX161,'Scoring Method'!$A$309:$A$314,0))+INDEX('Scoring Method'!$B$337:$B$341,MATCH(X161,'Scoring Method'!$A$337:$A$341,0))+INDEX('Scoring Method'!$B$324:$B$326,MATCH(P161,'Scoring Method'!$A$324:$A$326,0)),1)</f>
        <v/>
      </c>
      <c r="BF161" s="96">
        <f>ROUND(INDEX('Scoring Method'!$B$268:$B$276,MATCH(AE161,'Scoring Method'!$A$268:$A$276,0))*BB161*BD161+INDEX('Scoring Method'!$B$280:$B$288,MATCH(AP161,'Scoring Method'!$A$280:$A$288,0))*BM161*BB161*BD161+INDEX('Scoring Method'!$B$292:$B$296,MATCH(AQ161,'Scoring Method'!$A$292:$A$296,0))*BD161+INDEX('Scoring Method'!$B$300:$B$305,MATCH(AO161,'Scoring Method'!$A$300:$A$305,0))*BM161*BB161+INDEX('Scoring Method'!$B$309:$B$314,MATCH(AX161,'Scoring Method'!$A$309:$A$314,0))+INDEX('Scoring Method'!$B$337:$B$341,MATCH(X161,'Scoring Method'!$A$337:$A$341,0))+INDEX('Scoring Method'!$B$324:$B$326,MATCH(P161,'Scoring Method'!$A$324:$A$326,0)),1)</f>
        <v/>
      </c>
      <c r="BG161" s="92" t="inlineStr">
        <is>
          <t>Fits (~$1,937/mo)</t>
        </is>
      </c>
      <c r="BH161" s="61" t="inlineStr">
        <is>
          <t>SR</t>
        </is>
      </c>
      <c r="BI161" s="61" t="inlineStr">
        <is>
          <t>Suburban Residential</t>
        </is>
      </c>
      <c r="BJ161" s="61" t="inlineStr"/>
      <c r="BK161" s="61" t="inlineStr"/>
      <c r="BL161" s="61" t="inlineStr">
        <is>
          <t>No path</t>
        </is>
      </c>
      <c r="BM161" s="61">
        <f>INDEX('Scoring Method'!$B$358:$B$363,MATCH(BL161,'Scoring Method'!$A$358:$A$363,0))</f>
        <v/>
      </c>
    </row>
    <row r="162" ht="15" customHeight="1" s="62">
      <c r="A162" s="92" t="n">
        <v>161</v>
      </c>
      <c r="B162" s="92" t="inlineStr">
        <is>
          <t>054-22-29-002.00</t>
        </is>
      </c>
      <c r="C162" s="92" t="inlineStr">
        <is>
          <t>805 RUSSELL ST</t>
        </is>
      </c>
      <c r="D162" s="92" t="inlineStr">
        <is>
          <t>SEMINARY SQUARE II LLC</t>
        </is>
      </c>
      <c r="E162" s="92" t="inlineStr">
        <is>
          <t>5905 E GALBRAITH RD STE 4100</t>
        </is>
      </c>
      <c r="F162" s="92" t="inlineStr">
        <is>
          <t>CINCINNATI</t>
        </is>
      </c>
      <c r="G162" s="92" t="inlineStr">
        <is>
          <t>OH</t>
        </is>
      </c>
      <c r="H162" s="92" t="inlineStr">
        <is>
          <t>GARAGE/PARKING SPACE</t>
        </is>
      </c>
      <c r="I162" s="93" t="n">
        <v>30970</v>
      </c>
      <c r="J162" s="94">
        <f>I162/43560</f>
        <v/>
      </c>
      <c r="K162" s="93" t="n">
        <v>959.4</v>
      </c>
      <c r="L162" s="95">
        <f>I162/(K162^2)</f>
        <v/>
      </c>
      <c r="M162" s="92" t="inlineStr">
        <is>
          <t>Ideal 18-32k</t>
        </is>
      </c>
      <c r="N162" s="92" t="inlineStr">
        <is>
          <t>D</t>
        </is>
      </c>
      <c r="O162" s="92" t="inlineStr">
        <is>
          <t>Irregular &lt;.035</t>
        </is>
      </c>
      <c r="P162" s="92" t="inlineStr">
        <is>
          <t>Low</t>
        </is>
      </c>
      <c r="Q162" s="92" t="inlineStr">
        <is>
          <t>Out-of-state</t>
        </is>
      </c>
      <c r="R162" s="92" t="inlineStr">
        <is>
          <t>Operating entity</t>
        </is>
      </c>
      <c r="S162" s="92" t="n">
        <v>1</v>
      </c>
      <c r="T162" s="96">
        <f>INDEX('Scoring Method'!$B$6:$B$9,MATCH(M162,'Scoring Method'!$A$6:$A$9,0))+INDEX('Scoring Method'!$B$12:$B$16,MATCH(N162,'Scoring Method'!$A$12:$A$16,0))+INDEX('Scoring Method'!$B$19:$B$22,MATCH(O162,'Scoring Method'!$A$19:$A$22,0))+INDEX('Scoring Method'!$B$25:$B$27,MATCH(P162,'Scoring Method'!$A$25:$A$27,0))</f>
        <v/>
      </c>
      <c r="U162" s="96">
        <f>(INDEX('Scoring Method'!$B$30:$B$33,MATCH(Q162,'Scoring Method'!$A$30:$A$33,0))+INDEX('Scoring Method'!$B$36:$B$42,MATCH(R162,'Scoring Method'!$A$36:$A$42,0))+INDEX('Scoring Method'!$B$45:$B$47,MATCH(IF(S162=1,"1",IF(S162=2,"2","3+")),'Scoring Method'!$A$45:$A$47,0)))/90*100</f>
        <v/>
      </c>
      <c r="V162" s="96">
        <f>T162*U162/100</f>
        <v/>
      </c>
      <c r="W162" s="93" t="n"/>
      <c r="X162" s="92" t="inlineStr">
        <is>
          <t>X (minimal hazard)</t>
        </is>
      </c>
      <c r="Y162" s="93" t="n">
        <v>30375</v>
      </c>
      <c r="Z162" s="97" t="n"/>
      <c r="AA162" s="98" t="n"/>
      <c r="AB162" s="92" t="n"/>
      <c r="AC162" s="92" t="n">
        <v>0.7</v>
      </c>
      <c r="AD162" s="92" t="inlineStr">
        <is>
          <t>ok</t>
        </is>
      </c>
      <c r="AE162" s="92" t="inlineStr">
        <is>
          <t>No building</t>
        </is>
      </c>
      <c r="AF162" s="96">
        <f>INDEX('Scoring Method'!$B$63:$B$71,MATCH(AE162,'Scoring Method'!$A$63:$A$71,0))+INDEX('Scoring Method'!$B$75:$B$79,MATCH("Ample &gt;=15k",'Scoring Method'!$A$75:$A$79,0))+INDEX('Scoring Method'!$B$343:$B$347,MATCH(X162,'Scoring Method'!$A$343:$A$347,0))+INDEX('Scoring Method'!$B$25:$B$27,MATCH(P162,'Scoring Method'!$A$25:$A$27,0))</f>
        <v/>
      </c>
      <c r="AG162" s="96">
        <f>AF162*U162/100</f>
        <v/>
      </c>
      <c r="AH162" s="92" t="inlineStr">
        <is>
          <t>LINK-GIS + LoopNet</t>
        </is>
      </c>
      <c r="AI162" s="99" t="n">
        <v>39.08113</v>
      </c>
      <c r="AJ162" s="99" t="n">
        <v>-84.51302</v>
      </c>
      <c r="AK162" s="94" t="n">
        <v>0.34</v>
      </c>
      <c r="AL162" s="94" t="n">
        <v>0.72</v>
      </c>
      <c r="AM162" s="94" t="n">
        <v>1.41</v>
      </c>
      <c r="AN162" s="94" t="n">
        <v>0.22</v>
      </c>
      <c r="AO162" s="92" t="inlineStr">
        <is>
          <t>Core &lt;=0.35mi</t>
        </is>
      </c>
      <c r="AP162" s="92" t="inlineStr">
        <is>
          <t>Lot / minimal bldg</t>
        </is>
      </c>
      <c r="AQ162" s="92" t="inlineStr">
        <is>
          <t>Ample &gt;=15k</t>
        </is>
      </c>
      <c r="AR162" s="100" t="n"/>
      <c r="AS162" s="96">
        <f>ROUND(INDEX('Scoring Method'!$B$63:$B$70,MATCH(AE162,'Scoring Method'!$A$63:$A$70,0))*0.625+INDEX('Scoring Method'!$B$105:$B$113,MATCH(AP162,'Scoring Method'!$A$105:$A$113,0))+INDEX('Scoring Method'!$B$74:$B$78,MATCH(AQ162,'Scoring Method'!$A$74:$A$78,0))*0.6667+INDEX('Scoring Method'!$B$96:$B$101,MATCH(AO162,'Scoring Method'!$A$96:$A$101,0))+INDEX('Scoring Method'!$B$343:$B$347,MATCH(X162,'Scoring Method'!$A$343:$A$347,0))*0.3333+INDEX('Scoring Method'!$B$25:$B$27,MATCH(P162,'Scoring Method'!$A$25:$A$27,0))*0.3333,1)</f>
        <v/>
      </c>
      <c r="AT162" s="96">
        <f>AS162*U162/100</f>
        <v/>
      </c>
      <c r="AU162" s="92" t="inlineStr">
        <is>
          <t>MainStrasse</t>
        </is>
      </c>
      <c r="AV162" s="92" t="n">
        <v>75</v>
      </c>
      <c r="AW162" s="92" t="inlineStr">
        <is>
          <t>Sourced</t>
        </is>
      </c>
      <c r="AX162" s="92" t="inlineStr">
        <is>
          <t>Safe 70-79</t>
        </is>
      </c>
      <c r="AY162" s="96">
        <f>ROUND(INDEX('Scoring Method'!$B$132:$B$140,MATCH(AE162,'Scoring Method'!$A$132:$A$140,0))+INDEX('Scoring Method'!$B$144:$B$152,MATCH(AP162,'Scoring Method'!$A$144:$A$152,0))+INDEX('Scoring Method'!$B$156:$B$160,MATCH(AQ162,'Scoring Method'!$A$156:$A$160,0))+INDEX('Scoring Method'!$B$164:$B$169,MATCH(AO162,'Scoring Method'!$A$164:$A$169,0))+INDEX('Scoring Method'!$B$173:$B$178,MATCH(AX162,'Scoring Method'!$A$173:$A$178,0))+INDEX('Scoring Method'!$B$349:$B$353,MATCH(X162,'Scoring Method'!$A$349:$A$353,0))+INDEX('Scoring Method'!$B$188:$B$190,MATCH(P162,'Scoring Method'!$A$188:$A$190,0)),1)</f>
        <v/>
      </c>
      <c r="AZ162" s="96">
        <f>AY162*U162/100</f>
        <v/>
      </c>
      <c r="BA162" s="92" t="inlineStr">
        <is>
          <t>No chain signal</t>
        </is>
      </c>
      <c r="BB162" s="94" t="n">
        <v>1</v>
      </c>
      <c r="BC162" s="92" t="inlineStr">
        <is>
          <t>Right-sized 0.35-0.75 AC</t>
        </is>
      </c>
      <c r="BD162" s="94" t="n">
        <v>1</v>
      </c>
      <c r="BE162" s="96">
        <f>ROUND(INDEX('Scoring Method'!$B$268:$B$276,MATCH(AE162,'Scoring Method'!$A$268:$A$276,0))+INDEX('Scoring Method'!$B$280:$B$288,MATCH(AP162,'Scoring Method'!$A$280:$A$288,0))+INDEX('Scoring Method'!$B$292:$B$296,MATCH(AQ162,'Scoring Method'!$A$292:$A$296,0))+INDEX('Scoring Method'!$B$300:$B$305,MATCH(AO162,'Scoring Method'!$A$300:$A$305,0))+INDEX('Scoring Method'!$B$309:$B$314,MATCH(AX162,'Scoring Method'!$A$309:$A$314,0))+INDEX('Scoring Method'!$B$337:$B$341,MATCH(X162,'Scoring Method'!$A$337:$A$341,0))+INDEX('Scoring Method'!$B$324:$B$326,MATCH(P162,'Scoring Method'!$A$324:$A$326,0)),1)</f>
        <v/>
      </c>
      <c r="BF162" s="96">
        <f>ROUND(INDEX('Scoring Method'!$B$268:$B$276,MATCH(AE162,'Scoring Method'!$A$268:$A$276,0))*BB162*BD162+INDEX('Scoring Method'!$B$280:$B$288,MATCH(AP162,'Scoring Method'!$A$280:$A$288,0))*BM162*BB162*BD162+INDEX('Scoring Method'!$B$292:$B$296,MATCH(AQ162,'Scoring Method'!$A$292:$A$296,0))*BD162+INDEX('Scoring Method'!$B$300:$B$305,MATCH(AO162,'Scoring Method'!$A$300:$A$305,0))*BM162*BB162+INDEX('Scoring Method'!$B$309:$B$314,MATCH(AX162,'Scoring Method'!$A$309:$A$314,0))+INDEX('Scoring Method'!$B$337:$B$341,MATCH(X162,'Scoring Method'!$A$337:$A$341,0))+INDEX('Scoring Method'!$B$324:$B$326,MATCH(P162,'Scoring Method'!$A$324:$A$326,0)),1)</f>
        <v/>
      </c>
      <c r="BG162" s="92" t="n"/>
      <c r="BH162" s="61" t="inlineStr">
        <is>
          <t>DTC (HP)</t>
        </is>
      </c>
      <c r="BI162" s="61" t="inlineStr">
        <is>
          <t>Downtown Core</t>
        </is>
      </c>
      <c r="BJ162" s="61" t="inlineStr">
        <is>
          <t>HP</t>
        </is>
      </c>
      <c r="BK162" s="61" t="inlineStr"/>
      <c r="BL162" s="61" t="inlineStr">
        <is>
          <t>Bar permitted</t>
        </is>
      </c>
      <c r="BM162" s="61">
        <f>INDEX('Scoring Method'!$B$358:$B$363,MATCH(BL162,'Scoring Method'!$A$358:$A$363,0))</f>
        <v/>
      </c>
    </row>
    <row r="163" ht="15" customHeight="1" s="62">
      <c r="A163" s="92" t="n">
        <v>162</v>
      </c>
      <c r="B163" s="92" t="inlineStr">
        <is>
          <t>054-23-05-017.00</t>
        </is>
      </c>
      <c r="C163" s="92" t="inlineStr">
        <is>
          <t>530 MADISON AVE</t>
        </is>
      </c>
      <c r="D163" s="92" t="inlineStr">
        <is>
          <t>HUNTINGTON BANK INC</t>
        </is>
      </c>
      <c r="E163" s="92" t="inlineStr">
        <is>
          <t>PO BOX 182390</t>
        </is>
      </c>
      <c r="F163" s="92" t="inlineStr">
        <is>
          <t>COLUMBUS</t>
        </is>
      </c>
      <c r="G163" s="92" t="inlineStr">
        <is>
          <t>OH</t>
        </is>
      </c>
      <c r="H163" s="92" t="inlineStr">
        <is>
          <t>OFFICE BLDG 1 OR 2 STORY</t>
        </is>
      </c>
      <c r="I163" s="93" t="n">
        <v>25544</v>
      </c>
      <c r="J163" s="94">
        <f>I163/43560</f>
        <v/>
      </c>
      <c r="K163" s="93" t="n">
        <v>765</v>
      </c>
      <c r="L163" s="95">
        <f>I163/(K163^2)</f>
        <v/>
      </c>
      <c r="M163" s="92" t="inlineStr">
        <is>
          <t>Ideal 18-32k</t>
        </is>
      </c>
      <c r="N163" s="92" t="inlineStr">
        <is>
          <t>E</t>
        </is>
      </c>
      <c r="O163" s="92" t="inlineStr">
        <is>
          <t>Elongated .035-.045</t>
        </is>
      </c>
      <c r="P163" s="92" t="inlineStr">
        <is>
          <t>Low</t>
        </is>
      </c>
      <c r="Q163" s="92" t="inlineStr">
        <is>
          <t>Out-of-state</t>
        </is>
      </c>
      <c r="R163" s="92" t="inlineStr">
        <is>
          <t>Operating entity</t>
        </is>
      </c>
      <c r="S163" s="92" t="n">
        <v>1</v>
      </c>
      <c r="T163" s="96">
        <f>INDEX('Scoring Method'!$B$6:$B$9,MATCH(M163,'Scoring Method'!$A$6:$A$9,0))+INDEX('Scoring Method'!$B$12:$B$16,MATCH(N163,'Scoring Method'!$A$12:$A$16,0))+INDEX('Scoring Method'!$B$19:$B$22,MATCH(O163,'Scoring Method'!$A$19:$A$22,0))+INDEX('Scoring Method'!$B$25:$B$27,MATCH(P163,'Scoring Method'!$A$25:$A$27,0))</f>
        <v/>
      </c>
      <c r="U163" s="96">
        <f>(INDEX('Scoring Method'!$B$30:$B$33,MATCH(Q163,'Scoring Method'!$A$30:$A$33,0))+INDEX('Scoring Method'!$B$36:$B$42,MATCH(R163,'Scoring Method'!$A$36:$A$42,0))+INDEX('Scoring Method'!$B$45:$B$47,MATCH(IF(S163=1,"1",IF(S163=2,"2","3+")),'Scoring Method'!$A$45:$A$47,0)))/90*100</f>
        <v/>
      </c>
      <c r="V163" s="96">
        <f>T163*U163/100</f>
        <v/>
      </c>
      <c r="W163" s="93" t="n">
        <v>8360</v>
      </c>
      <c r="X163" s="92" t="inlineStr">
        <is>
          <t>X (minimal hazard)</t>
        </is>
      </c>
      <c r="Y163" s="93" t="n">
        <v>9775</v>
      </c>
      <c r="Z163" s="97" t="n"/>
      <c r="AA163" s="98">
        <f>MAX(0,(Y163-5000)/300)</f>
        <v/>
      </c>
      <c r="AB163" s="92" t="n"/>
      <c r="AC163" s="92" t="n"/>
      <c r="AD163" s="92" t="n"/>
      <c r="AE163" s="92" t="inlineStr">
        <is>
          <t>Oversize 6-12k</t>
        </is>
      </c>
      <c r="AF163" s="96">
        <f>INDEX('Scoring Method'!$B$63:$B$71,MATCH(AE163,'Scoring Method'!$A$63:$A$71,0))+INDEX('Scoring Method'!$B$75:$B$79,MATCH("Good 8-15k",'Scoring Method'!$A$75:$A$79,0))+INDEX('Scoring Method'!$B$343:$B$347,MATCH(X163,'Scoring Method'!$A$343:$A$347,0))+INDEX('Scoring Method'!$B$25:$B$27,MATCH(P163,'Scoring Method'!$A$25:$A$27,0))</f>
        <v/>
      </c>
      <c r="AG163" s="96">
        <f>AF163*U163/100</f>
        <v/>
      </c>
      <c r="AH163" s="92" t="inlineStr">
        <is>
          <t>LINK-GIS + LoopNet (2026-08-03)</t>
        </is>
      </c>
      <c r="AI163" s="99" t="n">
        <v>39.08503</v>
      </c>
      <c r="AJ163" s="99" t="n">
        <v>-84.51004</v>
      </c>
      <c r="AK163" s="94" t="n">
        <v>0.42</v>
      </c>
      <c r="AL163" s="94" t="n">
        <v>0.41</v>
      </c>
      <c r="AM163" s="94" t="n">
        <v>1.14</v>
      </c>
      <c r="AN163" s="94" t="n">
        <v>0.09</v>
      </c>
      <c r="AO163" s="92" t="inlineStr">
        <is>
          <t>Core &lt;=0.35mi</t>
        </is>
      </c>
      <c r="AP163" s="92" t="inlineStr">
        <is>
          <t>Office/institutional</t>
        </is>
      </c>
      <c r="AQ163" s="92" t="inlineStr">
        <is>
          <t>Good 8-15k</t>
        </is>
      </c>
      <c r="AR163" s="100" t="n"/>
      <c r="AS163" s="96">
        <f>ROUND(INDEX('Scoring Method'!$B$63:$B$70,MATCH(AE163,'Scoring Method'!$A$63:$A$70,0))*0.625+INDEX('Scoring Method'!$B$105:$B$113,MATCH(AP163,'Scoring Method'!$A$105:$A$113,0))+INDEX('Scoring Method'!$B$74:$B$78,MATCH(AQ163,'Scoring Method'!$A$74:$A$78,0))*0.6667+INDEX('Scoring Method'!$B$96:$B$101,MATCH(AO163,'Scoring Method'!$A$96:$A$101,0))+INDEX('Scoring Method'!$B$343:$B$347,MATCH(X163,'Scoring Method'!$A$343:$A$347,0))*0.3333+INDEX('Scoring Method'!$B$25:$B$27,MATCH(P163,'Scoring Method'!$A$25:$A$27,0))*0.3333,1)</f>
        <v/>
      </c>
      <c r="AT163" s="96">
        <f>AS163*U163/100</f>
        <v/>
      </c>
      <c r="AU163" s="92" t="inlineStr">
        <is>
          <t>Central Business District</t>
        </is>
      </c>
      <c r="AV163" s="92" t="n">
        <v>48</v>
      </c>
      <c r="AW163" s="101" t="inlineStr">
        <is>
          <t>ESTIMATED</t>
        </is>
      </c>
      <c r="AX163" s="92" t="inlineStr">
        <is>
          <t>Mixed 45-59</t>
        </is>
      </c>
      <c r="AY163" s="96">
        <f>ROUND(INDEX('Scoring Method'!$B$132:$B$140,MATCH(AE163,'Scoring Method'!$A$132:$A$140,0))+INDEX('Scoring Method'!$B$144:$B$152,MATCH(AP163,'Scoring Method'!$A$144:$A$152,0))+INDEX('Scoring Method'!$B$156:$B$160,MATCH(AQ163,'Scoring Method'!$A$156:$A$160,0))+INDEX('Scoring Method'!$B$164:$B$169,MATCH(AO163,'Scoring Method'!$A$164:$A$169,0))+INDEX('Scoring Method'!$B$173:$B$178,MATCH(AX163,'Scoring Method'!$A$173:$A$178,0))+INDEX('Scoring Method'!$B$349:$B$353,MATCH(X163,'Scoring Method'!$A$349:$A$353,0))+INDEX('Scoring Method'!$B$188:$B$190,MATCH(P163,'Scoring Method'!$A$188:$A$190,0)),1)</f>
        <v/>
      </c>
      <c r="AZ163" s="96">
        <f>AY163*U163/100</f>
        <v/>
      </c>
      <c r="BA163" s="103" t="inlineStr">
        <is>
          <t>Brand-owned / net lease</t>
        </is>
      </c>
      <c r="BB163" s="94" t="n">
        <v>0.3</v>
      </c>
      <c r="BC163" s="92" t="inlineStr">
        <is>
          <t>Right-sized 0.35-0.75 AC</t>
        </is>
      </c>
      <c r="BD163" s="94" t="n">
        <v>1</v>
      </c>
      <c r="BE163" s="96">
        <f>ROUND(INDEX('Scoring Method'!$B$268:$B$276,MATCH(AE163,'Scoring Method'!$A$268:$A$276,0))+INDEX('Scoring Method'!$B$280:$B$288,MATCH(AP163,'Scoring Method'!$A$280:$A$288,0))+INDEX('Scoring Method'!$B$292:$B$296,MATCH(AQ163,'Scoring Method'!$A$292:$A$296,0))+INDEX('Scoring Method'!$B$300:$B$305,MATCH(AO163,'Scoring Method'!$A$300:$A$305,0))+INDEX('Scoring Method'!$B$309:$B$314,MATCH(AX163,'Scoring Method'!$A$309:$A$314,0))+INDEX('Scoring Method'!$B$337:$B$341,MATCH(X163,'Scoring Method'!$A$337:$A$341,0))+INDEX('Scoring Method'!$B$324:$B$326,MATCH(P163,'Scoring Method'!$A$324:$A$326,0)),1)</f>
        <v/>
      </c>
      <c r="BF163" s="96">
        <f>ROUND(INDEX('Scoring Method'!$B$268:$B$276,MATCH(AE163,'Scoring Method'!$A$268:$A$276,0))*BB163*BD163+INDEX('Scoring Method'!$B$280:$B$288,MATCH(AP163,'Scoring Method'!$A$280:$A$288,0))*BM163*BB163*BD163+INDEX('Scoring Method'!$B$292:$B$296,MATCH(AQ163,'Scoring Method'!$A$292:$A$296,0))*BD163+INDEX('Scoring Method'!$B$300:$B$305,MATCH(AO163,'Scoring Method'!$A$300:$A$305,0))*BM163*BB163+INDEX('Scoring Method'!$B$309:$B$314,MATCH(AX163,'Scoring Method'!$A$309:$A$314,0))+INDEX('Scoring Method'!$B$337:$B$341,MATCH(X163,'Scoring Method'!$A$337:$A$341,0))+INDEX('Scoring Method'!$B$324:$B$326,MATCH(P163,'Scoring Method'!$A$324:$A$326,0)),1)</f>
        <v/>
      </c>
      <c r="BG163" s="102" t="inlineStr">
        <is>
          <t>Fits (~$7,663/mo)</t>
        </is>
      </c>
      <c r="BH163" s="61" t="inlineStr">
        <is>
          <t>DTC (HP)</t>
        </is>
      </c>
      <c r="BI163" s="61" t="inlineStr">
        <is>
          <t>Downtown Core</t>
        </is>
      </c>
      <c r="BJ163" s="61" t="inlineStr">
        <is>
          <t>HP</t>
        </is>
      </c>
      <c r="BK163" s="61" t="inlineStr"/>
      <c r="BL163" s="61" t="inlineStr">
        <is>
          <t>Bar permitted</t>
        </is>
      </c>
      <c r="BM163" s="61">
        <f>INDEX('Scoring Method'!$B$358:$B$363,MATCH(BL163,'Scoring Method'!$A$358:$A$363,0))</f>
        <v/>
      </c>
    </row>
    <row r="164" ht="15" customHeight="1" s="62">
      <c r="A164" s="92" t="n">
        <v>163</v>
      </c>
      <c r="B164" s="92" t="inlineStr">
        <is>
          <t>040-34-07-001.00</t>
        </is>
      </c>
      <c r="C164" s="92" t="inlineStr">
        <is>
          <t>420 W 4TH ST</t>
        </is>
      </c>
      <c r="D164" s="92" t="inlineStr">
        <is>
          <t>MALONE JULIA SIKOS TRUSTEE</t>
        </is>
      </c>
      <c r="E164" s="92" t="inlineStr">
        <is>
          <t>PO BOX 54257</t>
        </is>
      </c>
      <c r="F164" s="92" t="inlineStr">
        <is>
          <t>LEXINGTON</t>
        </is>
      </c>
      <c r="G164" s="92" t="inlineStr">
        <is>
          <t>KY</t>
        </is>
      </c>
      <c r="H164" s="92" t="inlineStr">
        <is>
          <t>FAST FOOD-DRIVE THRU REST</t>
        </is>
      </c>
      <c r="I164" s="93" t="n">
        <v>44506</v>
      </c>
      <c r="J164" s="94">
        <f>I164/43560</f>
        <v/>
      </c>
      <c r="K164" s="93" t="n">
        <v>985</v>
      </c>
      <c r="L164" s="95">
        <f>I164/(K164^2)</f>
        <v/>
      </c>
      <c r="M164" s="92" t="inlineStr">
        <is>
          <t>Near 14-18k/32-45k</t>
        </is>
      </c>
      <c r="N164" s="92" t="inlineStr">
        <is>
          <t>C</t>
        </is>
      </c>
      <c r="O164" s="92" t="inlineStr">
        <is>
          <t>Regular .045-.055</t>
        </is>
      </c>
      <c r="P164" s="92" t="inlineStr">
        <is>
          <t>Low</t>
        </is>
      </c>
      <c r="Q164" s="92" t="inlineStr">
        <is>
          <t>Out-of-city KY</t>
        </is>
      </c>
      <c r="R164" s="92" t="inlineStr">
        <is>
          <t>Operating entity</t>
        </is>
      </c>
      <c r="S164" s="92" t="n">
        <v>1</v>
      </c>
      <c r="T164" s="96">
        <f>INDEX('Scoring Method'!$B$6:$B$9,MATCH(M164,'Scoring Method'!$A$6:$A$9,0))+INDEX('Scoring Method'!$B$12:$B$16,MATCH(N164,'Scoring Method'!$A$12:$A$16,0))+INDEX('Scoring Method'!$B$19:$B$22,MATCH(O164,'Scoring Method'!$A$19:$A$22,0))+INDEX('Scoring Method'!$B$25:$B$27,MATCH(P164,'Scoring Method'!$A$25:$A$27,0))</f>
        <v/>
      </c>
      <c r="U164" s="96">
        <f>(INDEX('Scoring Method'!$B$30:$B$33,MATCH(Q164,'Scoring Method'!$A$30:$A$33,0))+INDEX('Scoring Method'!$B$36:$B$42,MATCH(R164,'Scoring Method'!$A$36:$A$42,0))+INDEX('Scoring Method'!$B$45:$B$47,MATCH(IF(S164=1,"1",IF(S164=2,"2","3+")),'Scoring Method'!$A$45:$A$47,0)))/90*100</f>
        <v/>
      </c>
      <c r="V164" s="96">
        <f>T164*U164/100</f>
        <v/>
      </c>
      <c r="W164" s="93" t="n">
        <v>2223</v>
      </c>
      <c r="X164" s="92" t="inlineStr">
        <is>
          <t>X (minimal hazard)</t>
        </is>
      </c>
      <c r="Y164" s="93" t="n">
        <v>40575</v>
      </c>
      <c r="Z164" s="97">
        <f>W164/I164</f>
        <v/>
      </c>
      <c r="AA164" s="98">
        <f>MAX(0,(Y164-5000)/300)</f>
        <v/>
      </c>
      <c r="AB164" s="92" t="n"/>
      <c r="AC164" s="92" t="n">
        <v>1.02</v>
      </c>
      <c r="AD164" s="92" t="inlineStr">
        <is>
          <t>ok</t>
        </is>
      </c>
      <c r="AE164" s="92" t="inlineStr">
        <is>
          <t>Target 1.5-2.5k</t>
        </is>
      </c>
      <c r="AF164" s="96">
        <f>INDEX('Scoring Method'!$B$63:$B$71,MATCH(AE164,'Scoring Method'!$A$63:$A$71,0))+INDEX('Scoring Method'!$B$75:$B$79,MATCH("Ample &gt;=15k",'Scoring Method'!$A$75:$A$79,0))+INDEX('Scoring Method'!$B$343:$B$347,MATCH(X164,'Scoring Method'!$A$343:$A$347,0))+INDEX('Scoring Method'!$B$25:$B$27,MATCH(P164,'Scoring Method'!$A$25:$A$27,0))</f>
        <v/>
      </c>
      <c r="AG164" s="96">
        <f>AF164*U164/100</f>
        <v/>
      </c>
      <c r="AH164" s="92" t="inlineStr">
        <is>
          <t>LINK-GIS + LoopNet</t>
        </is>
      </c>
      <c r="AI164" s="99" t="n">
        <v>39.08703</v>
      </c>
      <c r="AJ164" s="99" t="n">
        <v>-84.51832</v>
      </c>
      <c r="AK164" s="94" t="n">
        <v>0.18</v>
      </c>
      <c r="AL164" s="94" t="n">
        <v>0.6</v>
      </c>
      <c r="AM164" s="94" t="n">
        <v>1.05</v>
      </c>
      <c r="AN164" s="94" t="n">
        <v>0.18</v>
      </c>
      <c r="AO164" s="92" t="inlineStr">
        <is>
          <t>Core &lt;=0.35mi</t>
        </is>
      </c>
      <c r="AP164" s="92" t="inlineStr">
        <is>
          <t>Built-out kitchen</t>
        </is>
      </c>
      <c r="AQ164" s="92" t="inlineStr">
        <is>
          <t>Ample &gt;=15k</t>
        </is>
      </c>
      <c r="AR164" s="100" t="n"/>
      <c r="AS164" s="96">
        <f>ROUND(INDEX('Scoring Method'!$B$63:$B$70,MATCH(AE164,'Scoring Method'!$A$63:$A$70,0))*0.625+INDEX('Scoring Method'!$B$105:$B$113,MATCH(AP164,'Scoring Method'!$A$105:$A$113,0))+INDEX('Scoring Method'!$B$74:$B$78,MATCH(AQ164,'Scoring Method'!$A$74:$A$78,0))*0.6667+INDEX('Scoring Method'!$B$96:$B$101,MATCH(AO164,'Scoring Method'!$A$96:$A$101,0))+INDEX('Scoring Method'!$B$343:$B$347,MATCH(X164,'Scoring Method'!$A$343:$A$347,0))*0.3333+INDEX('Scoring Method'!$B$25:$B$27,MATCH(P164,'Scoring Method'!$A$25:$A$27,0))*0.3333,1)</f>
        <v/>
      </c>
      <c r="AT164" s="96">
        <f>AS164*U164/100</f>
        <v/>
      </c>
      <c r="AU164" s="92" t="inlineStr">
        <is>
          <t>Botany Hills / Riverfront West</t>
        </is>
      </c>
      <c r="AV164" s="92" t="n">
        <v>45</v>
      </c>
      <c r="AW164" s="101" t="inlineStr">
        <is>
          <t>ESTIMATED</t>
        </is>
      </c>
      <c r="AX164" s="92" t="inlineStr">
        <is>
          <t>Mixed 45-59</t>
        </is>
      </c>
      <c r="AY164" s="96">
        <f>ROUND(INDEX('Scoring Method'!$B$132:$B$140,MATCH(AE164,'Scoring Method'!$A$132:$A$140,0))+INDEX('Scoring Method'!$B$144:$B$152,MATCH(AP164,'Scoring Method'!$A$144:$A$152,0))+INDEX('Scoring Method'!$B$156:$B$160,MATCH(AQ164,'Scoring Method'!$A$156:$A$160,0))+INDEX('Scoring Method'!$B$164:$B$169,MATCH(AO164,'Scoring Method'!$A$164:$A$169,0))+INDEX('Scoring Method'!$B$173:$B$178,MATCH(AX164,'Scoring Method'!$A$173:$A$178,0))+INDEX('Scoring Method'!$B$349:$B$353,MATCH(X164,'Scoring Method'!$A$349:$A$353,0))+INDEX('Scoring Method'!$B$188:$B$190,MATCH(P164,'Scoring Method'!$A$188:$A$190,0)),1)</f>
        <v/>
      </c>
      <c r="AZ164" s="96">
        <f>AY164*U164/100</f>
        <v/>
      </c>
      <c r="BA164" s="102" t="inlineStr">
        <is>
          <t>Chain format + local owner</t>
        </is>
      </c>
      <c r="BB164" s="94" t="n">
        <v>0.7</v>
      </c>
      <c r="BC164" s="102" t="inlineStr">
        <is>
          <t>Large 0.75-1.25 AC</t>
        </is>
      </c>
      <c r="BD164" s="94" t="n">
        <v>0.9</v>
      </c>
      <c r="BE164" s="96">
        <f>ROUND(INDEX('Scoring Method'!$B$268:$B$276,MATCH(AE164,'Scoring Method'!$A$268:$A$276,0))+INDEX('Scoring Method'!$B$280:$B$288,MATCH(AP164,'Scoring Method'!$A$280:$A$288,0))+INDEX('Scoring Method'!$B$292:$B$296,MATCH(AQ164,'Scoring Method'!$A$292:$A$296,0))+INDEX('Scoring Method'!$B$300:$B$305,MATCH(AO164,'Scoring Method'!$A$300:$A$305,0))+INDEX('Scoring Method'!$B$309:$B$314,MATCH(AX164,'Scoring Method'!$A$309:$A$314,0))+INDEX('Scoring Method'!$B$337:$B$341,MATCH(X164,'Scoring Method'!$A$337:$A$341,0))+INDEX('Scoring Method'!$B$324:$B$326,MATCH(P164,'Scoring Method'!$A$324:$A$326,0)),1)</f>
        <v/>
      </c>
      <c r="BF164" s="96">
        <f>ROUND(INDEX('Scoring Method'!$B$268:$B$276,MATCH(AE164,'Scoring Method'!$A$268:$A$276,0))*BB164*BD164+INDEX('Scoring Method'!$B$280:$B$288,MATCH(AP164,'Scoring Method'!$A$280:$A$288,0))*BM164*BB164*BD164+INDEX('Scoring Method'!$B$292:$B$296,MATCH(AQ164,'Scoring Method'!$A$292:$A$296,0))*BD164+INDEX('Scoring Method'!$B$300:$B$305,MATCH(AO164,'Scoring Method'!$A$300:$A$305,0))*BM164*BB164+INDEX('Scoring Method'!$B$309:$B$314,MATCH(AX164,'Scoring Method'!$A$309:$A$314,0))+INDEX('Scoring Method'!$B$337:$B$341,MATCH(X164,'Scoring Method'!$A$337:$A$341,0))+INDEX('Scoring Method'!$B$324:$B$326,MATCH(P164,'Scoring Method'!$A$324:$A$326,0)),1)</f>
        <v/>
      </c>
      <c r="BG164" s="92" t="inlineStr">
        <is>
          <t>Fits (~$2,038/mo)</t>
        </is>
      </c>
      <c r="BH164" s="61" t="inlineStr">
        <is>
          <t>AUC</t>
        </is>
      </c>
      <c r="BI164" s="61" t="inlineStr">
        <is>
          <t>Auto-Urban Commercial</t>
        </is>
      </c>
      <c r="BJ164" s="61" t="inlineStr"/>
      <c r="BK164" s="61" t="inlineStr"/>
      <c r="BL164" s="61" t="inlineStr">
        <is>
          <t>Bar permitted</t>
        </is>
      </c>
      <c r="BM164" s="61">
        <f>INDEX('Scoring Method'!$B$358:$B$363,MATCH(BL164,'Scoring Method'!$A$358:$A$363,0))</f>
        <v/>
      </c>
    </row>
    <row r="165" ht="15" customHeight="1" s="62">
      <c r="A165" s="92" t="n">
        <v>164</v>
      </c>
      <c r="B165" s="92" t="inlineStr">
        <is>
          <t>056-31-05-002.01</t>
        </is>
      </c>
      <c r="C165" s="92" t="inlineStr">
        <is>
          <t>3414 DECOURSEY AVE</t>
        </is>
      </c>
      <c r="D165" s="92" t="inlineStr">
        <is>
          <t>PROVINCIAL PROPERTIES II-3414</t>
        </is>
      </c>
      <c r="E165" s="92" t="inlineStr">
        <is>
          <t>3414 DECOURSEY AVE</t>
        </is>
      </c>
      <c r="F165" s="92" t="inlineStr">
        <is>
          <t>COVINGTON</t>
        </is>
      </c>
      <c r="G165" s="92" t="inlineStr">
        <is>
          <t>KY</t>
        </is>
      </c>
      <c r="H165" s="92" t="inlineStr">
        <is>
          <t>RETAIL OFFICE/WHSE</t>
        </is>
      </c>
      <c r="I165" s="93" t="n">
        <v>37705</v>
      </c>
      <c r="J165" s="94">
        <f>I165/43560</f>
        <v/>
      </c>
      <c r="K165" s="93" t="n">
        <v>802.5</v>
      </c>
      <c r="L165" s="95">
        <f>I165/(K165^2)</f>
        <v/>
      </c>
      <c r="M165" s="92" t="inlineStr">
        <is>
          <t>Near 14-18k/32-45k</t>
        </is>
      </c>
      <c r="N165" s="92" t="inlineStr">
        <is>
          <t>B</t>
        </is>
      </c>
      <c r="O165" s="92" t="inlineStr">
        <is>
          <t>Compact &gt;=.055</t>
        </is>
      </c>
      <c r="P165" s="92" t="inlineStr">
        <is>
          <t>Low</t>
        </is>
      </c>
      <c r="Q165" s="92" t="inlineStr">
        <is>
          <t>Owner-occupied</t>
        </is>
      </c>
      <c r="R165" s="92" t="inlineStr">
        <is>
          <t>Passive vehicle</t>
        </is>
      </c>
      <c r="S165" s="92" t="n">
        <v>1</v>
      </c>
      <c r="T165" s="96">
        <f>INDEX('Scoring Method'!$B$6:$B$9,MATCH(M165,'Scoring Method'!$A$6:$A$9,0))+INDEX('Scoring Method'!$B$12:$B$16,MATCH(N165,'Scoring Method'!$A$12:$A$16,0))+INDEX('Scoring Method'!$B$19:$B$22,MATCH(O165,'Scoring Method'!$A$19:$A$22,0))+INDEX('Scoring Method'!$B$25:$B$27,MATCH(P165,'Scoring Method'!$A$25:$A$27,0))</f>
        <v/>
      </c>
      <c r="U165" s="96">
        <f>(INDEX('Scoring Method'!$B$30:$B$33,MATCH(Q165,'Scoring Method'!$A$30:$A$33,0))+INDEX('Scoring Method'!$B$36:$B$42,MATCH(R165,'Scoring Method'!$A$36:$A$42,0))+INDEX('Scoring Method'!$B$45:$B$47,MATCH(IF(S165=1,"1",IF(S165=2,"2","3+")),'Scoring Method'!$A$45:$A$47,0)))/90*100</f>
        <v/>
      </c>
      <c r="V165" s="96">
        <f>T165*U165/100</f>
        <v/>
      </c>
      <c r="W165" s="93" t="n">
        <v>28380</v>
      </c>
      <c r="X165" s="92" t="inlineStr">
        <is>
          <t>X (minimal hazard)</t>
        </is>
      </c>
      <c r="Y165" s="93" t="n">
        <v>8225</v>
      </c>
      <c r="Z165" s="97" t="n"/>
      <c r="AA165" s="98">
        <f>MAX(0,(Y165-5000)/300)</f>
        <v/>
      </c>
      <c r="AB165" s="92" t="n"/>
      <c r="AC165" s="92" t="n"/>
      <c r="AD165" s="92" t="n"/>
      <c r="AE165" s="92" t="inlineStr">
        <is>
          <t>Far oversize &gt;12k</t>
        </is>
      </c>
      <c r="AF165" s="96">
        <f>INDEX('Scoring Method'!$B$63:$B$71,MATCH(AE165,'Scoring Method'!$A$63:$A$71,0))+INDEX('Scoring Method'!$B$75:$B$79,MATCH("Good 8-15k",'Scoring Method'!$A$75:$A$79,0))+INDEX('Scoring Method'!$B$343:$B$347,MATCH(X165,'Scoring Method'!$A$343:$A$347,0))+INDEX('Scoring Method'!$B$25:$B$27,MATCH(P165,'Scoring Method'!$A$25:$A$27,0))</f>
        <v/>
      </c>
      <c r="AG165" s="96">
        <f>AF165*U165/100</f>
        <v/>
      </c>
      <c r="AH165" s="92" t="inlineStr">
        <is>
          <t>LINK-GIS only</t>
        </is>
      </c>
      <c r="AI165" s="99" t="n">
        <v>39.05058</v>
      </c>
      <c r="AJ165" s="99" t="n">
        <v>-84.50270999999999</v>
      </c>
      <c r="AK165" s="94" t="n">
        <v>2.47</v>
      </c>
      <c r="AL165" s="94" t="n">
        <v>2.8</v>
      </c>
      <c r="AM165" s="94" t="n">
        <v>3.56</v>
      </c>
      <c r="AN165" s="94" t="n">
        <v>2.35</v>
      </c>
      <c r="AO165" s="92" t="inlineStr">
        <is>
          <t>Distant 2-3mi</t>
        </is>
      </c>
      <c r="AP165" s="92" t="inlineStr">
        <is>
          <t>Open span</t>
        </is>
      </c>
      <c r="AQ165" s="92" t="inlineStr">
        <is>
          <t>Good 8-15k</t>
        </is>
      </c>
      <c r="AR165" s="100" t="n"/>
      <c r="AS165" s="96">
        <f>ROUND(INDEX('Scoring Method'!$B$63:$B$70,MATCH(AE165,'Scoring Method'!$A$63:$A$70,0))*0.625+INDEX('Scoring Method'!$B$105:$B$113,MATCH(AP165,'Scoring Method'!$A$105:$A$113,0))+INDEX('Scoring Method'!$B$74:$B$78,MATCH(AQ165,'Scoring Method'!$A$74:$A$78,0))*0.6667+INDEX('Scoring Method'!$B$96:$B$101,MATCH(AO165,'Scoring Method'!$A$96:$A$101,0))+INDEX('Scoring Method'!$B$343:$B$347,MATCH(X165,'Scoring Method'!$A$343:$A$347,0))*0.3333+INDEX('Scoring Method'!$B$25:$B$27,MATCH(P165,'Scoring Method'!$A$25:$A$27,0))*0.3333,1)</f>
        <v/>
      </c>
      <c r="AT165" s="96">
        <f>AS165*U165/100</f>
        <v/>
      </c>
      <c r="AU165" s="92" t="inlineStr">
        <is>
          <t>Latonia</t>
        </is>
      </c>
      <c r="AV165" s="92" t="n">
        <v>78</v>
      </c>
      <c r="AW165" s="92" t="inlineStr">
        <is>
          <t>Sourced</t>
        </is>
      </c>
      <c r="AX165" s="92" t="inlineStr">
        <is>
          <t>Safe 70-79</t>
        </is>
      </c>
      <c r="AY165" s="96">
        <f>ROUND(INDEX('Scoring Method'!$B$132:$B$140,MATCH(AE165,'Scoring Method'!$A$132:$A$140,0))+INDEX('Scoring Method'!$B$144:$B$152,MATCH(AP165,'Scoring Method'!$A$144:$A$152,0))+INDEX('Scoring Method'!$B$156:$B$160,MATCH(AQ165,'Scoring Method'!$A$156:$A$160,0))+INDEX('Scoring Method'!$B$164:$B$169,MATCH(AO165,'Scoring Method'!$A$164:$A$169,0))+INDEX('Scoring Method'!$B$173:$B$178,MATCH(AX165,'Scoring Method'!$A$173:$A$178,0))+INDEX('Scoring Method'!$B$349:$B$353,MATCH(X165,'Scoring Method'!$A$349:$A$353,0))+INDEX('Scoring Method'!$B$188:$B$190,MATCH(P165,'Scoring Method'!$A$188:$A$190,0)),1)</f>
        <v/>
      </c>
      <c r="AZ165" s="96">
        <f>AY165*U165/100</f>
        <v/>
      </c>
      <c r="BA165" s="92" t="inlineStr">
        <is>
          <t>Owner-occupied operator</t>
        </is>
      </c>
      <c r="BB165" s="94" t="n">
        <v>0.8</v>
      </c>
      <c r="BC165" s="102" t="inlineStr">
        <is>
          <t>Large 0.75-1.25 AC</t>
        </is>
      </c>
      <c r="BD165" s="94" t="n">
        <v>0.9</v>
      </c>
      <c r="BE165" s="96">
        <f>ROUND(INDEX('Scoring Method'!$B$268:$B$276,MATCH(AE165,'Scoring Method'!$A$268:$A$276,0))+INDEX('Scoring Method'!$B$280:$B$288,MATCH(AP165,'Scoring Method'!$A$280:$A$288,0))+INDEX('Scoring Method'!$B$292:$B$296,MATCH(AQ165,'Scoring Method'!$A$292:$A$296,0))+INDEX('Scoring Method'!$B$300:$B$305,MATCH(AO165,'Scoring Method'!$A$300:$A$305,0))+INDEX('Scoring Method'!$B$309:$B$314,MATCH(AX165,'Scoring Method'!$A$309:$A$314,0))+INDEX('Scoring Method'!$B$337:$B$341,MATCH(X165,'Scoring Method'!$A$337:$A$341,0))+INDEX('Scoring Method'!$B$324:$B$326,MATCH(P165,'Scoring Method'!$A$324:$A$326,0)),1)</f>
        <v/>
      </c>
      <c r="BF165" s="96">
        <f>ROUND(INDEX('Scoring Method'!$B$268:$B$276,MATCH(AE165,'Scoring Method'!$A$268:$A$276,0))*BB165*BD165+INDEX('Scoring Method'!$B$280:$B$288,MATCH(AP165,'Scoring Method'!$A$280:$A$288,0))*BM165*BB165*BD165+INDEX('Scoring Method'!$B$292:$B$296,MATCH(AQ165,'Scoring Method'!$A$292:$A$296,0))*BD165+INDEX('Scoring Method'!$B$300:$B$305,MATCH(AO165,'Scoring Method'!$A$300:$A$305,0))*BM165*BB165+INDEX('Scoring Method'!$B$309:$B$314,MATCH(AX165,'Scoring Method'!$A$309:$A$314,0))+INDEX('Scoring Method'!$B$337:$B$341,MATCH(X165,'Scoring Method'!$A$337:$A$341,0))+INDEX('Scoring Method'!$B$324:$B$326,MATCH(P165,'Scoring Method'!$A$324:$A$326,0)),1)</f>
        <v/>
      </c>
      <c r="BG165" s="102" t="inlineStr">
        <is>
          <t>Over (~$26,015/mo)</t>
        </is>
      </c>
      <c r="BH165" s="61" t="inlineStr">
        <is>
          <t>TUMU</t>
        </is>
      </c>
      <c r="BI165" s="61" t="inlineStr">
        <is>
          <t>Traditional Urban Mixed Use</t>
        </is>
      </c>
      <c r="BJ165" s="61" t="inlineStr"/>
      <c r="BK165" s="61" t="inlineStr"/>
      <c r="BL165" s="61" t="inlineStr">
        <is>
          <t>Bar permitted</t>
        </is>
      </c>
      <c r="BM165" s="61">
        <f>INDEX('Scoring Method'!$B$358:$B$363,MATCH(BL165,'Scoring Method'!$A$358:$A$363,0))</f>
        <v/>
      </c>
    </row>
    <row r="166" ht="15" customHeight="1" s="62">
      <c r="A166" s="92" t="n">
        <v>165</v>
      </c>
      <c r="B166" s="92" t="inlineStr">
        <is>
          <t>055-32-01-023.00</t>
        </is>
      </c>
      <c r="C166" s="92" t="inlineStr">
        <is>
          <t>E 18TH ST</t>
        </is>
      </c>
      <c r="D166" s="92" t="inlineStr">
        <is>
          <t>SCHEITZ THOMAS M</t>
        </is>
      </c>
      <c r="E166" s="92" t="inlineStr">
        <is>
          <t>8122 PLEASANT VALLEY RD</t>
        </is>
      </c>
      <c r="F166" s="92" t="inlineStr">
        <is>
          <t>FLORENCE</t>
        </is>
      </c>
      <c r="G166" s="92" t="inlineStr">
        <is>
          <t>KY</t>
        </is>
      </c>
      <c r="H166" s="92" t="inlineStr">
        <is>
          <t>GARAGE/PARKING SPACE</t>
        </is>
      </c>
      <c r="I166" s="93" t="n">
        <v>9277</v>
      </c>
      <c r="J166" s="94">
        <f>I166/43560</f>
        <v/>
      </c>
      <c r="K166" s="93" t="n">
        <v>385.5</v>
      </c>
      <c r="L166" s="95">
        <f>I166/(K166^2)</f>
        <v/>
      </c>
      <c r="M166" s="92" t="inlineStr">
        <is>
          <t>Poor &lt;10k/&gt;60k</t>
        </is>
      </c>
      <c r="N166" s="92" t="inlineStr">
        <is>
          <t>D</t>
        </is>
      </c>
      <c r="O166" s="92" t="inlineStr">
        <is>
          <t>Compact &gt;=.055</t>
        </is>
      </c>
      <c r="P166" s="92" t="inlineStr">
        <is>
          <t>Low</t>
        </is>
      </c>
      <c r="Q166" s="92" t="inlineStr">
        <is>
          <t>Out-of-city KY</t>
        </is>
      </c>
      <c r="R166" s="92" t="inlineStr">
        <is>
          <t>Individual</t>
        </is>
      </c>
      <c r="S166" s="92" t="n">
        <v>1</v>
      </c>
      <c r="T166" s="96">
        <f>INDEX('Scoring Method'!$B$6:$B$9,MATCH(M166,'Scoring Method'!$A$6:$A$9,0))+INDEX('Scoring Method'!$B$12:$B$16,MATCH(N166,'Scoring Method'!$A$12:$A$16,0))+INDEX('Scoring Method'!$B$19:$B$22,MATCH(O166,'Scoring Method'!$A$19:$A$22,0))+INDEX('Scoring Method'!$B$25:$B$27,MATCH(P166,'Scoring Method'!$A$25:$A$27,0))</f>
        <v/>
      </c>
      <c r="U166" s="96">
        <f>(INDEX('Scoring Method'!$B$30:$B$33,MATCH(Q166,'Scoring Method'!$A$30:$A$33,0))+INDEX('Scoring Method'!$B$36:$B$42,MATCH(R166,'Scoring Method'!$A$36:$A$42,0))+INDEX('Scoring Method'!$B$45:$B$47,MATCH(IF(S166=1,"1",IF(S166=2,"2","3+")),'Scoring Method'!$A$45:$A$47,0)))/90*100</f>
        <v/>
      </c>
      <c r="V166" s="96">
        <f>T166*U166/100</f>
        <v/>
      </c>
      <c r="W166" s="93" t="n">
        <v>3766</v>
      </c>
      <c r="X166" s="92" t="inlineStr">
        <is>
          <t>X (minimal hazard)</t>
        </is>
      </c>
      <c r="Y166" s="93" t="n">
        <v>4000</v>
      </c>
      <c r="Z166" s="97" t="n"/>
      <c r="AA166" s="98">
        <f>MAX(0,(Y166-5000)/300)</f>
        <v/>
      </c>
      <c r="AB166" s="92" t="n"/>
      <c r="AC166" s="92" t="n"/>
      <c r="AD166" s="92" t="n"/>
      <c r="AE166" s="92" t="inlineStr">
        <is>
          <t>Above 2.5-4k</t>
        </is>
      </c>
      <c r="AF166" s="96">
        <f>INDEX('Scoring Method'!$B$63:$B$71,MATCH(AE166,'Scoring Method'!$A$63:$A$71,0))+INDEX('Scoring Method'!$B$75:$B$79,MATCH("Tight 2-5k",'Scoring Method'!$A$75:$A$79,0))+INDEX('Scoring Method'!$B$343:$B$347,MATCH(X166,'Scoring Method'!$A$343:$A$347,0))+INDEX('Scoring Method'!$B$25:$B$27,MATCH(P166,'Scoring Method'!$A$25:$A$27,0))</f>
        <v/>
      </c>
      <c r="AG166" s="96">
        <f>AF166*U166/100</f>
        <v/>
      </c>
      <c r="AH166" s="92" t="inlineStr">
        <is>
          <t>LINK-GIS + LoopNet (2026-08-02)</t>
        </is>
      </c>
      <c r="AI166" s="99" t="n">
        <v>39.0703</v>
      </c>
      <c r="AJ166" s="99" t="n">
        <v>-84.50270999999999</v>
      </c>
      <c r="AK166" s="94" t="n">
        <v>1.27</v>
      </c>
      <c r="AL166" s="94" t="n">
        <v>1.45</v>
      </c>
      <c r="AM166" s="94" t="n">
        <v>2.22</v>
      </c>
      <c r="AN166" s="94" t="n">
        <v>1.05</v>
      </c>
      <c r="AO166" s="92" t="inlineStr">
        <is>
          <t>Fringe 0.75-1.25mi</t>
        </is>
      </c>
      <c r="AP166" s="92" t="inlineStr">
        <is>
          <t>Lot / minimal bldg</t>
        </is>
      </c>
      <c r="AQ166" s="92" t="inlineStr">
        <is>
          <t>Tight 2-5k</t>
        </is>
      </c>
      <c r="AR166" s="100" t="n"/>
      <c r="AS166" s="96">
        <f>ROUND(INDEX('Scoring Method'!$B$63:$B$70,MATCH(AE166,'Scoring Method'!$A$63:$A$70,0))*0.625+INDEX('Scoring Method'!$B$105:$B$113,MATCH(AP166,'Scoring Method'!$A$105:$A$113,0))+INDEX('Scoring Method'!$B$74:$B$78,MATCH(AQ166,'Scoring Method'!$A$74:$A$78,0))*0.6667+INDEX('Scoring Method'!$B$96:$B$101,MATCH(AO166,'Scoring Method'!$A$96:$A$101,0))+INDEX('Scoring Method'!$B$343:$B$347,MATCH(X166,'Scoring Method'!$A$343:$A$347,0))*0.3333+INDEX('Scoring Method'!$B$25:$B$27,MATCH(P166,'Scoring Method'!$A$25:$A$27,0))*0.3333,1)</f>
        <v/>
      </c>
      <c r="AT166" s="96">
        <f>AS166*U166/100</f>
        <v/>
      </c>
      <c r="AU166" s="92" t="inlineStr">
        <is>
          <t>Austinburg</t>
        </is>
      </c>
      <c r="AV166" s="92" t="n">
        <v>32</v>
      </c>
      <c r="AW166" s="101" t="inlineStr">
        <is>
          <t>ESTIMATED</t>
        </is>
      </c>
      <c r="AX166" s="92" t="inlineStr">
        <is>
          <t>High &lt;35</t>
        </is>
      </c>
      <c r="AY166" s="96">
        <f>ROUND(INDEX('Scoring Method'!$B$132:$B$140,MATCH(AE166,'Scoring Method'!$A$132:$A$140,0))+INDEX('Scoring Method'!$B$144:$B$152,MATCH(AP166,'Scoring Method'!$A$144:$A$152,0))+INDEX('Scoring Method'!$B$156:$B$160,MATCH(AQ166,'Scoring Method'!$A$156:$A$160,0))+INDEX('Scoring Method'!$B$164:$B$169,MATCH(AO166,'Scoring Method'!$A$164:$A$169,0))+INDEX('Scoring Method'!$B$173:$B$178,MATCH(AX166,'Scoring Method'!$A$173:$A$178,0))+INDEX('Scoring Method'!$B$349:$B$353,MATCH(X166,'Scoring Method'!$A$349:$A$353,0))+INDEX('Scoring Method'!$B$188:$B$190,MATCH(P166,'Scoring Method'!$A$188:$A$190,0)),1)</f>
        <v/>
      </c>
      <c r="AZ166" s="96">
        <f>AY166*U166/100</f>
        <v/>
      </c>
      <c r="BA166" s="92" t="inlineStr">
        <is>
          <t>No chain signal</t>
        </is>
      </c>
      <c r="BB166" s="94" t="n">
        <v>1</v>
      </c>
      <c r="BC166" s="103" t="inlineStr">
        <is>
          <t>Extra small 0.15-0.25 AC</t>
        </is>
      </c>
      <c r="BD166" s="94" t="n">
        <v>0.8</v>
      </c>
      <c r="BE166" s="96">
        <f>ROUND(INDEX('Scoring Method'!$B$268:$B$276,MATCH(AE166,'Scoring Method'!$A$268:$A$276,0))+INDEX('Scoring Method'!$B$280:$B$288,MATCH(AP166,'Scoring Method'!$A$280:$A$288,0))+INDEX('Scoring Method'!$B$292:$B$296,MATCH(AQ166,'Scoring Method'!$A$292:$A$296,0))+INDEX('Scoring Method'!$B$300:$B$305,MATCH(AO166,'Scoring Method'!$A$300:$A$305,0))+INDEX('Scoring Method'!$B$309:$B$314,MATCH(AX166,'Scoring Method'!$A$309:$A$314,0))+INDEX('Scoring Method'!$B$337:$B$341,MATCH(X166,'Scoring Method'!$A$337:$A$341,0))+INDEX('Scoring Method'!$B$324:$B$326,MATCH(P166,'Scoring Method'!$A$324:$A$326,0)),1)</f>
        <v/>
      </c>
      <c r="BF166" s="96">
        <f>ROUND(INDEX('Scoring Method'!$B$268:$B$276,MATCH(AE166,'Scoring Method'!$A$268:$A$276,0))*BB166*BD166+INDEX('Scoring Method'!$B$280:$B$288,MATCH(AP166,'Scoring Method'!$A$280:$A$288,0))*BM166*BB166*BD166+INDEX('Scoring Method'!$B$292:$B$296,MATCH(AQ166,'Scoring Method'!$A$292:$A$296,0))*BD166+INDEX('Scoring Method'!$B$300:$B$305,MATCH(AO166,'Scoring Method'!$A$300:$A$305,0))*BM166*BB166+INDEX('Scoring Method'!$B$309:$B$314,MATCH(AX166,'Scoring Method'!$A$309:$A$314,0))+INDEX('Scoring Method'!$B$337:$B$341,MATCH(X166,'Scoring Method'!$A$337:$A$341,0))+INDEX('Scoring Method'!$B$324:$B$326,MATCH(P166,'Scoring Method'!$A$324:$A$326,0)),1)</f>
        <v/>
      </c>
      <c r="BG166" s="92" t="inlineStr">
        <is>
          <t>Fits (~$3,452/mo)</t>
        </is>
      </c>
      <c r="BH166" s="61" t="inlineStr">
        <is>
          <t>SU</t>
        </is>
      </c>
      <c r="BI166" s="61" t="inlineStr">
        <is>
          <t>Semi-Urban Residential</t>
        </is>
      </c>
      <c r="BJ166" s="61" t="inlineStr"/>
      <c r="BK166" s="61" t="inlineStr"/>
      <c r="BL166" s="61" t="inlineStr">
        <is>
          <t>SU corner unverified</t>
        </is>
      </c>
      <c r="BM166" s="61">
        <f>INDEX('Scoring Method'!$B$358:$B$363,MATCH(BL166,'Scoring Method'!$A$358:$A$363,0))</f>
        <v/>
      </c>
    </row>
    <row r="167" ht="15" customHeight="1" s="62">
      <c r="A167" s="92" t="n">
        <v>166</v>
      </c>
      <c r="B167" s="92" t="inlineStr">
        <is>
          <t>044-00-02-076.00</t>
        </is>
      </c>
      <c r="C167" s="92" t="inlineStr">
        <is>
          <t>3805 CIRCOLLO DR</t>
        </is>
      </c>
      <c r="D167" s="92" t="inlineStr">
        <is>
          <t>BF DEVELOPMENT ASSOCIATES INC</t>
        </is>
      </c>
      <c r="E167" s="92" t="inlineStr">
        <is>
          <t>3940 OLYMPIC BLVD STE 400</t>
        </is>
      </c>
      <c r="F167" s="92" t="inlineStr">
        <is>
          <t>ERLANGER</t>
        </is>
      </c>
      <c r="G167" s="92" t="inlineStr">
        <is>
          <t>KY</t>
        </is>
      </c>
      <c r="H167" s="92" t="inlineStr">
        <is>
          <t>GARAGE/PARKING SPACE</t>
        </is>
      </c>
      <c r="I167" s="93" t="n">
        <v>10956</v>
      </c>
      <c r="J167" s="94">
        <f>I167/43560</f>
        <v/>
      </c>
      <c r="K167" s="93" t="n">
        <v>476</v>
      </c>
      <c r="L167" s="95">
        <f>I167/(K167^2)</f>
        <v/>
      </c>
      <c r="M167" s="92" t="inlineStr">
        <is>
          <t>Marginal 10-14k/45-60k</t>
        </is>
      </c>
      <c r="N167" s="92" t="inlineStr">
        <is>
          <t>D</t>
        </is>
      </c>
      <c r="O167" s="92" t="inlineStr">
        <is>
          <t>Regular .045-.055</t>
        </is>
      </c>
      <c r="P167" s="92" t="inlineStr">
        <is>
          <t>Low</t>
        </is>
      </c>
      <c r="Q167" s="92" t="inlineStr">
        <is>
          <t>Out-of-city KY</t>
        </is>
      </c>
      <c r="R167" s="92" t="inlineStr">
        <is>
          <t>Passive vehicle</t>
        </is>
      </c>
      <c r="S167" s="92" t="n">
        <v>1</v>
      </c>
      <c r="T167" s="96">
        <f>INDEX('Scoring Method'!$B$6:$B$9,MATCH(M167,'Scoring Method'!$A$6:$A$9,0))+INDEX('Scoring Method'!$B$12:$B$16,MATCH(N167,'Scoring Method'!$A$12:$A$16,0))+INDEX('Scoring Method'!$B$19:$B$22,MATCH(O167,'Scoring Method'!$A$19:$A$22,0))+INDEX('Scoring Method'!$B$25:$B$27,MATCH(P167,'Scoring Method'!$A$25:$A$27,0))</f>
        <v/>
      </c>
      <c r="U167" s="96">
        <f>(INDEX('Scoring Method'!$B$30:$B$33,MATCH(Q167,'Scoring Method'!$A$30:$A$33,0))+INDEX('Scoring Method'!$B$36:$B$42,MATCH(R167,'Scoring Method'!$A$36:$A$42,0))+INDEX('Scoring Method'!$B$45:$B$47,MATCH(IF(S167=1,"1",IF(S167=2,"2","3+")),'Scoring Method'!$A$45:$A$47,0)))/90*100</f>
        <v/>
      </c>
      <c r="V167" s="96">
        <f>T167*U167/100</f>
        <v/>
      </c>
      <c r="W167" s="93" t="n">
        <v>31</v>
      </c>
      <c r="X167" s="92" t="inlineStr">
        <is>
          <t>X (minimal hazard)</t>
        </is>
      </c>
      <c r="Y167" s="93" t="n">
        <v>10750</v>
      </c>
      <c r="Z167" s="97" t="n"/>
      <c r="AA167" s="98">
        <f>MAX(0,(Y167-5000)/300)</f>
        <v/>
      </c>
      <c r="AB167" s="92" t="n"/>
      <c r="AC167" s="92" t="n"/>
      <c r="AD167" s="92" t="n"/>
      <c r="AE167" s="92" t="inlineStr">
        <is>
          <t>Too small &lt;1.2k</t>
        </is>
      </c>
      <c r="AF167" s="96">
        <f>INDEX('Scoring Method'!$B$63:$B$71,MATCH(AE167,'Scoring Method'!$A$63:$A$71,0))+INDEX('Scoring Method'!$B$75:$B$79,MATCH("Good 8-15k",'Scoring Method'!$A$75:$A$79,0))+INDEX('Scoring Method'!$B$343:$B$347,MATCH(X167,'Scoring Method'!$A$343:$A$347,0))+INDEX('Scoring Method'!$B$25:$B$27,MATCH(P167,'Scoring Method'!$A$25:$A$27,0))</f>
        <v/>
      </c>
      <c r="AG167" s="96">
        <f>AF167*U167/100</f>
        <v/>
      </c>
      <c r="AH167" s="92" t="inlineStr">
        <is>
          <t>LINK-GIS only</t>
        </is>
      </c>
      <c r="AI167" s="99" t="n">
        <v>39.00184</v>
      </c>
      <c r="AJ167" s="99" t="n">
        <v>-84.5243</v>
      </c>
      <c r="AK167" s="94" t="n">
        <v>5.71</v>
      </c>
      <c r="AL167" s="94" t="n">
        <v>6.21</v>
      </c>
      <c r="AM167" s="94" t="n">
        <v>6.92</v>
      </c>
      <c r="AN167" s="94" t="n">
        <v>5.71</v>
      </c>
      <c r="AO167" s="92" t="inlineStr">
        <is>
          <t>Remote &gt;3mi</t>
        </is>
      </c>
      <c r="AP167" s="92" t="inlineStr">
        <is>
          <t>Lot / minimal bldg</t>
        </is>
      </c>
      <c r="AQ167" s="92" t="inlineStr">
        <is>
          <t>Good 8-15k</t>
        </is>
      </c>
      <c r="AR167" s="100" t="n"/>
      <c r="AS167" s="96">
        <f>ROUND(INDEX('Scoring Method'!$B$63:$B$70,MATCH(AE167,'Scoring Method'!$A$63:$A$70,0))*0.625+INDEX('Scoring Method'!$B$105:$B$113,MATCH(AP167,'Scoring Method'!$A$105:$A$113,0))+INDEX('Scoring Method'!$B$74:$B$78,MATCH(AQ167,'Scoring Method'!$A$74:$A$78,0))*0.6667+INDEX('Scoring Method'!$B$96:$B$101,MATCH(AO167,'Scoring Method'!$A$96:$A$101,0))+INDEX('Scoring Method'!$B$343:$B$347,MATCH(X167,'Scoring Method'!$A$343:$A$347,0))*0.3333+INDEX('Scoring Method'!$B$25:$B$27,MATCH(P167,'Scoring Method'!$A$25:$A$27,0))*0.3333,1)</f>
        <v/>
      </c>
      <c r="AT167" s="96">
        <f>AS167*U167/100</f>
        <v/>
      </c>
      <c r="AU167" s="92" t="inlineStr">
        <is>
          <t>South Covington</t>
        </is>
      </c>
      <c r="AV167" s="92" t="n">
        <v>88</v>
      </c>
      <c r="AW167" s="92" t="inlineStr">
        <is>
          <t>Sourced</t>
        </is>
      </c>
      <c r="AX167" s="92" t="inlineStr">
        <is>
          <t>Very safe 80+</t>
        </is>
      </c>
      <c r="AY167" s="96">
        <f>ROUND(INDEX('Scoring Method'!$B$132:$B$140,MATCH(AE167,'Scoring Method'!$A$132:$A$140,0))+INDEX('Scoring Method'!$B$144:$B$152,MATCH(AP167,'Scoring Method'!$A$144:$A$152,0))+INDEX('Scoring Method'!$B$156:$B$160,MATCH(AQ167,'Scoring Method'!$A$156:$A$160,0))+INDEX('Scoring Method'!$B$164:$B$169,MATCH(AO167,'Scoring Method'!$A$164:$A$169,0))+INDEX('Scoring Method'!$B$173:$B$178,MATCH(AX167,'Scoring Method'!$A$173:$A$178,0))+INDEX('Scoring Method'!$B$349:$B$353,MATCH(X167,'Scoring Method'!$A$349:$A$353,0))+INDEX('Scoring Method'!$B$188:$B$190,MATCH(P167,'Scoring Method'!$A$188:$A$190,0)),1)</f>
        <v/>
      </c>
      <c r="AZ167" s="96">
        <f>AY167*U167/100</f>
        <v/>
      </c>
      <c r="BA167" s="92" t="inlineStr">
        <is>
          <t>No chain signal</t>
        </is>
      </c>
      <c r="BB167" s="94" t="n">
        <v>1</v>
      </c>
      <c r="BC167" s="102" t="inlineStr">
        <is>
          <t>Small 0.25-0.35 AC</t>
        </is>
      </c>
      <c r="BD167" s="94" t="n">
        <v>0.9</v>
      </c>
      <c r="BE167" s="96">
        <f>ROUND(INDEX('Scoring Method'!$B$268:$B$276,MATCH(AE167,'Scoring Method'!$A$268:$A$276,0))+INDEX('Scoring Method'!$B$280:$B$288,MATCH(AP167,'Scoring Method'!$A$280:$A$288,0))+INDEX('Scoring Method'!$B$292:$B$296,MATCH(AQ167,'Scoring Method'!$A$292:$A$296,0))+INDEX('Scoring Method'!$B$300:$B$305,MATCH(AO167,'Scoring Method'!$A$300:$A$305,0))+INDEX('Scoring Method'!$B$309:$B$314,MATCH(AX167,'Scoring Method'!$A$309:$A$314,0))+INDEX('Scoring Method'!$B$337:$B$341,MATCH(X167,'Scoring Method'!$A$337:$A$341,0))+INDEX('Scoring Method'!$B$324:$B$326,MATCH(P167,'Scoring Method'!$A$324:$A$326,0)),1)</f>
        <v/>
      </c>
      <c r="BF167" s="96">
        <f>ROUND(INDEX('Scoring Method'!$B$268:$B$276,MATCH(AE167,'Scoring Method'!$A$268:$A$276,0))*BB167*BD167+INDEX('Scoring Method'!$B$280:$B$288,MATCH(AP167,'Scoring Method'!$A$280:$A$288,0))*BM167*BB167*BD167+INDEX('Scoring Method'!$B$292:$B$296,MATCH(AQ167,'Scoring Method'!$A$292:$A$296,0))*BD167+INDEX('Scoring Method'!$B$300:$B$305,MATCH(AO167,'Scoring Method'!$A$300:$A$305,0))*BM167*BB167+INDEX('Scoring Method'!$B$309:$B$314,MATCH(AX167,'Scoring Method'!$A$309:$A$314,0))+INDEX('Scoring Method'!$B$337:$B$341,MATCH(X167,'Scoring Method'!$A$337:$A$341,0))+INDEX('Scoring Method'!$B$324:$B$326,MATCH(P167,'Scoring Method'!$A$324:$A$326,0)),1)</f>
        <v/>
      </c>
      <c r="BG167" s="92" t="inlineStr">
        <is>
          <t>Fits (~$28/mo)</t>
        </is>
      </c>
      <c r="BH167" s="61" t="inlineStr">
        <is>
          <t>SR</t>
        </is>
      </c>
      <c r="BI167" s="61" t="inlineStr">
        <is>
          <t>Suburban Residential</t>
        </is>
      </c>
      <c r="BJ167" s="61" t="inlineStr"/>
      <c r="BK167" s="61" t="inlineStr"/>
      <c r="BL167" s="61" t="inlineStr">
        <is>
          <t>No path</t>
        </is>
      </c>
      <c r="BM167" s="61">
        <f>INDEX('Scoring Method'!$B$358:$B$363,MATCH(BL167,'Scoring Method'!$A$358:$A$363,0))</f>
        <v/>
      </c>
    </row>
    <row r="168" ht="15" customHeight="1" s="62">
      <c r="A168" s="92" t="n">
        <v>167</v>
      </c>
      <c r="B168" s="92" t="inlineStr">
        <is>
          <t>045-10-00-003.00</t>
        </is>
      </c>
      <c r="C168" s="92" t="inlineStr">
        <is>
          <t>276 MADISON PIKE</t>
        </is>
      </c>
      <c r="D168" s="92" t="inlineStr">
        <is>
          <t>DVM ENTERPRISES LLC</t>
        </is>
      </c>
      <c r="E168" s="92" t="inlineStr">
        <is>
          <t>PO BOX 17166</t>
        </is>
      </c>
      <c r="F168" s="92" t="inlineStr">
        <is>
          <t>FT MITCHELL</t>
        </is>
      </c>
      <c r="G168" s="92" t="inlineStr">
        <is>
          <t>KY</t>
        </is>
      </c>
      <c r="H168" s="92" t="inlineStr">
        <is>
          <t>RETAIL OFFICE/WHSE</t>
        </is>
      </c>
      <c r="I168" s="93" t="n">
        <v>83315</v>
      </c>
      <c r="J168" s="94">
        <f>I168/43560</f>
        <v/>
      </c>
      <c r="K168" s="93" t="n">
        <v>1456.6</v>
      </c>
      <c r="L168" s="95">
        <f>I168/(K168^2)</f>
        <v/>
      </c>
      <c r="M168" s="92" t="inlineStr">
        <is>
          <t>Poor &lt;10k/&gt;60k</t>
        </is>
      </c>
      <c r="N168" s="92" t="inlineStr">
        <is>
          <t>B</t>
        </is>
      </c>
      <c r="O168" s="92" t="inlineStr">
        <is>
          <t>Elongated .035-.045</t>
        </is>
      </c>
      <c r="P168" s="92" t="inlineStr">
        <is>
          <t>Low</t>
        </is>
      </c>
      <c r="Q168" s="92" t="inlineStr">
        <is>
          <t>Out-of-city KY</t>
        </is>
      </c>
      <c r="R168" s="92" t="inlineStr">
        <is>
          <t>Passive vehicle</t>
        </is>
      </c>
      <c r="S168" s="92" t="n">
        <v>1</v>
      </c>
      <c r="T168" s="96">
        <f>INDEX('Scoring Method'!$B$6:$B$9,MATCH(M168,'Scoring Method'!$A$6:$A$9,0))+INDEX('Scoring Method'!$B$12:$B$16,MATCH(N168,'Scoring Method'!$A$12:$A$16,0))+INDEX('Scoring Method'!$B$19:$B$22,MATCH(O168,'Scoring Method'!$A$19:$A$22,0))+INDEX('Scoring Method'!$B$25:$B$27,MATCH(P168,'Scoring Method'!$A$25:$A$27,0))</f>
        <v/>
      </c>
      <c r="U168" s="96">
        <f>(INDEX('Scoring Method'!$B$30:$B$33,MATCH(Q168,'Scoring Method'!$A$30:$A$33,0))+INDEX('Scoring Method'!$B$36:$B$42,MATCH(R168,'Scoring Method'!$A$36:$A$42,0))+INDEX('Scoring Method'!$B$45:$B$47,MATCH(IF(S168=1,"1",IF(S168=2,"2","3+")),'Scoring Method'!$A$45:$A$47,0)))/90*100</f>
        <v/>
      </c>
      <c r="V168" s="96">
        <f>T168*U168/100</f>
        <v/>
      </c>
      <c r="W168" s="93" t="n">
        <v>4800</v>
      </c>
      <c r="X168" s="92" t="inlineStr">
        <is>
          <t>X (minimal hazard)</t>
        </is>
      </c>
      <c r="Y168" s="93" t="n">
        <v>76525</v>
      </c>
      <c r="Z168" s="97" t="n"/>
      <c r="AA168" s="98">
        <f>MAX(0,(Y168-5000)/300)</f>
        <v/>
      </c>
      <c r="AB168" s="92" t="n"/>
      <c r="AC168" s="92" t="n"/>
      <c r="AD168" s="92" t="n"/>
      <c r="AE168" s="92" t="inlineStr">
        <is>
          <t>Large 4-6k</t>
        </is>
      </c>
      <c r="AF168" s="96">
        <f>INDEX('Scoring Method'!$B$63:$B$71,MATCH(AE168,'Scoring Method'!$A$63:$A$71,0))+INDEX('Scoring Method'!$B$75:$B$79,MATCH("Ample &gt;=15k",'Scoring Method'!$A$75:$A$79,0))+INDEX('Scoring Method'!$B$343:$B$347,MATCH(X168,'Scoring Method'!$A$343:$A$347,0))+INDEX('Scoring Method'!$B$25:$B$27,MATCH(P168,'Scoring Method'!$A$25:$A$27,0))</f>
        <v/>
      </c>
      <c r="AG168" s="96">
        <f>AF168*U168/100</f>
        <v/>
      </c>
      <c r="AH168" s="92" t="inlineStr">
        <is>
          <t>LINK-GIS + LoopNet (2026-08-02)</t>
        </is>
      </c>
      <c r="AI168" s="99" t="n">
        <v>38.98078</v>
      </c>
      <c r="AJ168" s="99" t="n">
        <v>-84.53881</v>
      </c>
      <c r="AK168" s="94" t="n">
        <v>7.25</v>
      </c>
      <c r="AL168" s="94" t="n">
        <v>7.78</v>
      </c>
      <c r="AM168" s="94" t="n">
        <v>8.460000000000001</v>
      </c>
      <c r="AN168" s="94" t="n">
        <v>7.25</v>
      </c>
      <c r="AO168" s="92" t="inlineStr">
        <is>
          <t>Remote &gt;3mi</t>
        </is>
      </c>
      <c r="AP168" s="92" t="inlineStr">
        <is>
          <t>Open span</t>
        </is>
      </c>
      <c r="AQ168" s="92" t="inlineStr">
        <is>
          <t>Ample &gt;=15k</t>
        </is>
      </c>
      <c r="AR168" s="100" t="n"/>
      <c r="AS168" s="96">
        <f>ROUND(INDEX('Scoring Method'!$B$63:$B$70,MATCH(AE168,'Scoring Method'!$A$63:$A$70,0))*0.625+INDEX('Scoring Method'!$B$105:$B$113,MATCH(AP168,'Scoring Method'!$A$105:$A$113,0))+INDEX('Scoring Method'!$B$74:$B$78,MATCH(AQ168,'Scoring Method'!$A$74:$A$78,0))*0.6667+INDEX('Scoring Method'!$B$96:$B$101,MATCH(AO168,'Scoring Method'!$A$96:$A$101,0))+INDEX('Scoring Method'!$B$343:$B$347,MATCH(X168,'Scoring Method'!$A$343:$A$347,0))*0.3333+INDEX('Scoring Method'!$B$25:$B$27,MATCH(P168,'Scoring Method'!$A$25:$A$27,0))*0.3333,1)</f>
        <v/>
      </c>
      <c r="AT168" s="96">
        <f>AS168*U168/100</f>
        <v/>
      </c>
      <c r="AU168" s="92" t="inlineStr">
        <is>
          <t>South Covington</t>
        </is>
      </c>
      <c r="AV168" s="92" t="n">
        <v>88</v>
      </c>
      <c r="AW168" s="92" t="inlineStr">
        <is>
          <t>Sourced</t>
        </is>
      </c>
      <c r="AX168" s="92" t="inlineStr">
        <is>
          <t>Very safe 80+</t>
        </is>
      </c>
      <c r="AY168" s="96">
        <f>ROUND(INDEX('Scoring Method'!$B$132:$B$140,MATCH(AE168,'Scoring Method'!$A$132:$A$140,0))+INDEX('Scoring Method'!$B$144:$B$152,MATCH(AP168,'Scoring Method'!$A$144:$A$152,0))+INDEX('Scoring Method'!$B$156:$B$160,MATCH(AQ168,'Scoring Method'!$A$156:$A$160,0))+INDEX('Scoring Method'!$B$164:$B$169,MATCH(AO168,'Scoring Method'!$A$164:$A$169,0))+INDEX('Scoring Method'!$B$173:$B$178,MATCH(AX168,'Scoring Method'!$A$173:$A$178,0))+INDEX('Scoring Method'!$B$349:$B$353,MATCH(X168,'Scoring Method'!$A$349:$A$353,0))+INDEX('Scoring Method'!$B$188:$B$190,MATCH(P168,'Scoring Method'!$A$188:$A$190,0)),1)</f>
        <v/>
      </c>
      <c r="AZ168" s="96">
        <f>AY168*U168/100</f>
        <v/>
      </c>
      <c r="BA168" s="92" t="inlineStr">
        <is>
          <t>No chain signal</t>
        </is>
      </c>
      <c r="BB168" s="94" t="n">
        <v>1</v>
      </c>
      <c r="BC168" s="103" t="inlineStr">
        <is>
          <t>Oversized &gt;1.25 AC</t>
        </is>
      </c>
      <c r="BD168" s="94" t="n">
        <v>0.65</v>
      </c>
      <c r="BE168" s="96">
        <f>ROUND(INDEX('Scoring Method'!$B$268:$B$276,MATCH(AE168,'Scoring Method'!$A$268:$A$276,0))+INDEX('Scoring Method'!$B$280:$B$288,MATCH(AP168,'Scoring Method'!$A$280:$A$288,0))+INDEX('Scoring Method'!$B$292:$B$296,MATCH(AQ168,'Scoring Method'!$A$292:$A$296,0))+INDEX('Scoring Method'!$B$300:$B$305,MATCH(AO168,'Scoring Method'!$A$300:$A$305,0))+INDEX('Scoring Method'!$B$309:$B$314,MATCH(AX168,'Scoring Method'!$A$309:$A$314,0))+INDEX('Scoring Method'!$B$337:$B$341,MATCH(X168,'Scoring Method'!$A$337:$A$341,0))+INDEX('Scoring Method'!$B$324:$B$326,MATCH(P168,'Scoring Method'!$A$324:$A$326,0)),1)</f>
        <v/>
      </c>
      <c r="BF168" s="96">
        <f>ROUND(INDEX('Scoring Method'!$B$268:$B$276,MATCH(AE168,'Scoring Method'!$A$268:$A$276,0))*BB168*BD168+INDEX('Scoring Method'!$B$280:$B$288,MATCH(AP168,'Scoring Method'!$A$280:$A$288,0))*BM168*BB168*BD168+INDEX('Scoring Method'!$B$292:$B$296,MATCH(AQ168,'Scoring Method'!$A$292:$A$296,0))*BD168+INDEX('Scoring Method'!$B$300:$B$305,MATCH(AO168,'Scoring Method'!$A$300:$A$305,0))*BM168*BB168+INDEX('Scoring Method'!$B$309:$B$314,MATCH(AX168,'Scoring Method'!$A$309:$A$314,0))+INDEX('Scoring Method'!$B$337:$B$341,MATCH(X168,'Scoring Method'!$A$337:$A$341,0))+INDEX('Scoring Method'!$B$324:$B$326,MATCH(P168,'Scoring Method'!$A$324:$A$326,0)),1)</f>
        <v/>
      </c>
      <c r="BG168" s="92" t="inlineStr">
        <is>
          <t>Fits (~$4,400/mo)</t>
        </is>
      </c>
      <c r="BH168" s="61" t="inlineStr">
        <is>
          <t>SR</t>
        </is>
      </c>
      <c r="BI168" s="61" t="inlineStr">
        <is>
          <t>Suburban Residential</t>
        </is>
      </c>
      <c r="BJ168" s="61" t="inlineStr"/>
      <c r="BK168" s="61" t="inlineStr"/>
      <c r="BL168" s="61" t="inlineStr">
        <is>
          <t>No path</t>
        </is>
      </c>
      <c r="BM168" s="61">
        <f>INDEX('Scoring Method'!$B$358:$B$363,MATCH(BL168,'Scoring Method'!$A$358:$A$363,0))</f>
        <v/>
      </c>
    </row>
    <row r="169" ht="15" customHeight="1" s="62">
      <c r="A169" s="92" t="n">
        <v>168</v>
      </c>
      <c r="B169" s="92" t="inlineStr">
        <is>
          <t>044-20-00-003.00</t>
        </is>
      </c>
      <c r="C169" s="92" t="inlineStr">
        <is>
          <t>4129 MADISON PIKE</t>
        </is>
      </c>
      <c r="D169" s="92" t="inlineStr">
        <is>
          <t>WILSON JAMES V</t>
        </is>
      </c>
      <c r="E169" s="92" t="inlineStr">
        <is>
          <t>PO BOX 201808</t>
        </is>
      </c>
      <c r="F169" s="92" t="inlineStr">
        <is>
          <t>ARLINGTON</t>
        </is>
      </c>
      <c r="G169" s="92" t="inlineStr">
        <is>
          <t>TX</t>
        </is>
      </c>
      <c r="H169" s="92" t="inlineStr">
        <is>
          <t>MISCELLANEOUS IMPROVEMENT</t>
        </is>
      </c>
      <c r="I169" s="93" t="n">
        <v>8227</v>
      </c>
      <c r="J169" s="94">
        <f>I169/43560</f>
        <v/>
      </c>
      <c r="K169" s="93" t="n">
        <v>408.8</v>
      </c>
      <c r="L169" s="95">
        <f>I169/(K169^2)</f>
        <v/>
      </c>
      <c r="M169" s="92" t="inlineStr">
        <is>
          <t>Poor &lt;10k/&gt;60k</t>
        </is>
      </c>
      <c r="N169" s="92" t="inlineStr">
        <is>
          <t>D</t>
        </is>
      </c>
      <c r="O169" s="92" t="inlineStr">
        <is>
          <t>Regular .045-.055</t>
        </is>
      </c>
      <c r="P169" s="92" t="inlineStr">
        <is>
          <t>Low</t>
        </is>
      </c>
      <c r="Q169" s="92" t="inlineStr">
        <is>
          <t>Out-of-state</t>
        </is>
      </c>
      <c r="R169" s="92" t="inlineStr">
        <is>
          <t>Individual</t>
        </is>
      </c>
      <c r="S169" s="92" t="n">
        <v>1</v>
      </c>
      <c r="T169" s="96">
        <f>INDEX('Scoring Method'!$B$6:$B$9,MATCH(M169,'Scoring Method'!$A$6:$A$9,0))+INDEX('Scoring Method'!$B$12:$B$16,MATCH(N169,'Scoring Method'!$A$12:$A$16,0))+INDEX('Scoring Method'!$B$19:$B$22,MATCH(O169,'Scoring Method'!$A$19:$A$22,0))+INDEX('Scoring Method'!$B$25:$B$27,MATCH(P169,'Scoring Method'!$A$25:$A$27,0))</f>
        <v/>
      </c>
      <c r="U169" s="96">
        <f>(INDEX('Scoring Method'!$B$30:$B$33,MATCH(Q169,'Scoring Method'!$A$30:$A$33,0))+INDEX('Scoring Method'!$B$36:$B$42,MATCH(R169,'Scoring Method'!$A$36:$A$42,0))+INDEX('Scoring Method'!$B$45:$B$47,MATCH(IF(S169=1,"1",IF(S169=2,"2","3+")),'Scoring Method'!$A$45:$A$47,0)))/90*100</f>
        <v/>
      </c>
      <c r="V169" s="96">
        <f>T169*U169/100</f>
        <v/>
      </c>
      <c r="W169" s="93" t="n">
        <v>720</v>
      </c>
      <c r="X169" s="92" t="inlineStr">
        <is>
          <t>X (minimal hazard)</t>
        </is>
      </c>
      <c r="Y169" s="93" t="n">
        <v>6450</v>
      </c>
      <c r="Z169" s="97" t="n"/>
      <c r="AA169" s="98">
        <f>MAX(0,(Y169-5000)/300)</f>
        <v/>
      </c>
      <c r="AB169" s="92" t="n"/>
      <c r="AC169" s="92" t="n"/>
      <c r="AD169" s="92" t="n"/>
      <c r="AE169" s="92" t="inlineStr">
        <is>
          <t>Too small &lt;1.2k</t>
        </is>
      </c>
      <c r="AF169" s="96">
        <f>INDEX('Scoring Method'!$B$63:$B$71,MATCH(AE169,'Scoring Method'!$A$63:$A$71,0))+INDEX('Scoring Method'!$B$75:$B$79,MATCH("Adequate 5-8k",'Scoring Method'!$A$75:$A$79,0))+INDEX('Scoring Method'!$B$343:$B$347,MATCH(X169,'Scoring Method'!$A$343:$A$347,0))+INDEX('Scoring Method'!$B$25:$B$27,MATCH(P169,'Scoring Method'!$A$25:$A$27,0))</f>
        <v/>
      </c>
      <c r="AG169" s="96">
        <f>AF169*U169/100</f>
        <v/>
      </c>
      <c r="AH169" s="92" t="inlineStr">
        <is>
          <t>LINK-GIS + LoopNet (2026-08-03)</t>
        </is>
      </c>
      <c r="AI169" s="99" t="n">
        <v>38.99354</v>
      </c>
      <c r="AJ169" s="99" t="n">
        <v>-84.53399</v>
      </c>
      <c r="AK169" s="94" t="n">
        <v>6.34</v>
      </c>
      <c r="AL169" s="94" t="n">
        <v>6.86</v>
      </c>
      <c r="AM169" s="94" t="n">
        <v>7.55</v>
      </c>
      <c r="AN169" s="94" t="n">
        <v>6.34</v>
      </c>
      <c r="AO169" s="92" t="inlineStr">
        <is>
          <t>Remote &gt;3mi</t>
        </is>
      </c>
      <c r="AP169" s="92" t="inlineStr">
        <is>
          <t>Lot / minimal bldg</t>
        </is>
      </c>
      <c r="AQ169" s="92" t="inlineStr">
        <is>
          <t>Adequate 5-8k</t>
        </is>
      </c>
      <c r="AR169" s="100" t="n"/>
      <c r="AS169" s="96">
        <f>ROUND(INDEX('Scoring Method'!$B$63:$B$70,MATCH(AE169,'Scoring Method'!$A$63:$A$70,0))*0.625+INDEX('Scoring Method'!$B$105:$B$113,MATCH(AP169,'Scoring Method'!$A$105:$A$113,0))+INDEX('Scoring Method'!$B$74:$B$78,MATCH(AQ169,'Scoring Method'!$A$74:$A$78,0))*0.6667+INDEX('Scoring Method'!$B$96:$B$101,MATCH(AO169,'Scoring Method'!$A$96:$A$101,0))+INDEX('Scoring Method'!$B$343:$B$347,MATCH(X169,'Scoring Method'!$A$343:$A$347,0))*0.3333+INDEX('Scoring Method'!$B$25:$B$27,MATCH(P169,'Scoring Method'!$A$25:$A$27,0))*0.3333,1)</f>
        <v/>
      </c>
      <c r="AT169" s="96">
        <f>AS169*U169/100</f>
        <v/>
      </c>
      <c r="AU169" s="92" t="inlineStr">
        <is>
          <t>South Covington</t>
        </is>
      </c>
      <c r="AV169" s="92" t="n">
        <v>88</v>
      </c>
      <c r="AW169" s="92" t="inlineStr">
        <is>
          <t>Sourced</t>
        </is>
      </c>
      <c r="AX169" s="92" t="inlineStr">
        <is>
          <t>Very safe 80+</t>
        </is>
      </c>
      <c r="AY169" s="96">
        <f>ROUND(INDEX('Scoring Method'!$B$132:$B$140,MATCH(AE169,'Scoring Method'!$A$132:$A$140,0))+INDEX('Scoring Method'!$B$144:$B$152,MATCH(AP169,'Scoring Method'!$A$144:$A$152,0))+INDEX('Scoring Method'!$B$156:$B$160,MATCH(AQ169,'Scoring Method'!$A$156:$A$160,0))+INDEX('Scoring Method'!$B$164:$B$169,MATCH(AO169,'Scoring Method'!$A$164:$A$169,0))+INDEX('Scoring Method'!$B$173:$B$178,MATCH(AX169,'Scoring Method'!$A$173:$A$178,0))+INDEX('Scoring Method'!$B$349:$B$353,MATCH(X169,'Scoring Method'!$A$349:$A$353,0))+INDEX('Scoring Method'!$B$188:$B$190,MATCH(P169,'Scoring Method'!$A$188:$A$190,0)),1)</f>
        <v/>
      </c>
      <c r="AZ169" s="96">
        <f>AY169*U169/100</f>
        <v/>
      </c>
      <c r="BA169" s="92" t="inlineStr">
        <is>
          <t>No chain signal</t>
        </is>
      </c>
      <c r="BB169" s="94" t="n">
        <v>1</v>
      </c>
      <c r="BC169" s="103" t="inlineStr">
        <is>
          <t>Extra small 0.15-0.25 AC</t>
        </is>
      </c>
      <c r="BD169" s="94" t="n">
        <v>0.8</v>
      </c>
      <c r="BE169" s="96">
        <f>ROUND(INDEX('Scoring Method'!$B$268:$B$276,MATCH(AE169,'Scoring Method'!$A$268:$A$276,0))+INDEX('Scoring Method'!$B$280:$B$288,MATCH(AP169,'Scoring Method'!$A$280:$A$288,0))+INDEX('Scoring Method'!$B$292:$B$296,MATCH(AQ169,'Scoring Method'!$A$292:$A$296,0))+INDEX('Scoring Method'!$B$300:$B$305,MATCH(AO169,'Scoring Method'!$A$300:$A$305,0))+INDEX('Scoring Method'!$B$309:$B$314,MATCH(AX169,'Scoring Method'!$A$309:$A$314,0))+INDEX('Scoring Method'!$B$337:$B$341,MATCH(X169,'Scoring Method'!$A$337:$A$341,0))+INDEX('Scoring Method'!$B$324:$B$326,MATCH(P169,'Scoring Method'!$A$324:$A$326,0)),1)</f>
        <v/>
      </c>
      <c r="BF169" s="96">
        <f>ROUND(INDEX('Scoring Method'!$B$268:$B$276,MATCH(AE169,'Scoring Method'!$A$268:$A$276,0))*BB169*BD169+INDEX('Scoring Method'!$B$280:$B$288,MATCH(AP169,'Scoring Method'!$A$280:$A$288,0))*BM169*BB169*BD169+INDEX('Scoring Method'!$B$292:$B$296,MATCH(AQ169,'Scoring Method'!$A$292:$A$296,0))*BD169+INDEX('Scoring Method'!$B$300:$B$305,MATCH(AO169,'Scoring Method'!$A$300:$A$305,0))*BM169*BB169+INDEX('Scoring Method'!$B$309:$B$314,MATCH(AX169,'Scoring Method'!$A$309:$A$314,0))+INDEX('Scoring Method'!$B$337:$B$341,MATCH(X169,'Scoring Method'!$A$337:$A$341,0))+INDEX('Scoring Method'!$B$324:$B$326,MATCH(P169,'Scoring Method'!$A$324:$A$326,0)),1)</f>
        <v/>
      </c>
      <c r="BG169" s="92" t="inlineStr">
        <is>
          <t>Fits (~$660/mo)</t>
        </is>
      </c>
      <c r="BH169" s="61" t="inlineStr">
        <is>
          <t>SR</t>
        </is>
      </c>
      <c r="BI169" s="61" t="inlineStr">
        <is>
          <t>Suburban Residential</t>
        </is>
      </c>
      <c r="BJ169" s="61" t="inlineStr"/>
      <c r="BK169" s="61" t="inlineStr"/>
      <c r="BL169" s="61" t="inlineStr">
        <is>
          <t>No path</t>
        </is>
      </c>
      <c r="BM169" s="61">
        <f>INDEX('Scoring Method'!$B$358:$B$363,MATCH(BL169,'Scoring Method'!$A$358:$A$363,0))</f>
        <v/>
      </c>
    </row>
    <row r="170" ht="15" customHeight="1" s="62">
      <c r="A170" s="92" t="n">
        <v>169</v>
      </c>
      <c r="B170" s="92" t="inlineStr">
        <is>
          <t>054-14-14-023.00</t>
        </is>
      </c>
      <c r="C170" s="92" t="inlineStr">
        <is>
          <t>202 E 4TH ST</t>
        </is>
      </c>
      <c r="D170" s="92" t="inlineStr">
        <is>
          <t>STECHT RONALD O &amp; SHIRLEY J</t>
        </is>
      </c>
      <c r="E170" s="92" t="inlineStr">
        <is>
          <t>332 GREENUP ST</t>
        </is>
      </c>
      <c r="F170" s="92" t="inlineStr">
        <is>
          <t>COVINGTON</t>
        </is>
      </c>
      <c r="G170" s="92" t="inlineStr">
        <is>
          <t>KY</t>
        </is>
      </c>
      <c r="H170" s="92" t="inlineStr">
        <is>
          <t>GAS STATION/CONVENIENCE STORE</t>
        </is>
      </c>
      <c r="I170" s="93" t="n">
        <v>18180</v>
      </c>
      <c r="J170" s="94">
        <f>I170/43560</f>
        <v/>
      </c>
      <c r="K170" s="93" t="n">
        <v>552.7</v>
      </c>
      <c r="L170" s="95">
        <f>I170/(K170^2)</f>
        <v/>
      </c>
      <c r="M170" s="92" t="inlineStr">
        <is>
          <t>Ideal 18-32k</t>
        </is>
      </c>
      <c r="N170" s="92" t="inlineStr">
        <is>
          <t>E</t>
        </is>
      </c>
      <c r="O170" s="92" t="inlineStr">
        <is>
          <t>Compact &gt;=.055</t>
        </is>
      </c>
      <c r="P170" s="92" t="inlineStr">
        <is>
          <t>High</t>
        </is>
      </c>
      <c r="Q170" s="92" t="inlineStr">
        <is>
          <t>Local absentee</t>
        </is>
      </c>
      <c r="R170" s="92" t="inlineStr">
        <is>
          <t>Individual</t>
        </is>
      </c>
      <c r="S170" s="92" t="n">
        <v>1</v>
      </c>
      <c r="T170" s="96">
        <f>INDEX('Scoring Method'!$B$6:$B$9,MATCH(M170,'Scoring Method'!$A$6:$A$9,0))+INDEX('Scoring Method'!$B$12:$B$16,MATCH(N170,'Scoring Method'!$A$12:$A$16,0))+INDEX('Scoring Method'!$B$19:$B$22,MATCH(O170,'Scoring Method'!$A$19:$A$22,0))+INDEX('Scoring Method'!$B$25:$B$27,MATCH(P170,'Scoring Method'!$A$25:$A$27,0))</f>
        <v/>
      </c>
      <c r="U170" s="96">
        <f>(INDEX('Scoring Method'!$B$30:$B$33,MATCH(Q170,'Scoring Method'!$A$30:$A$33,0))+INDEX('Scoring Method'!$B$36:$B$42,MATCH(R170,'Scoring Method'!$A$36:$A$42,0))+INDEX('Scoring Method'!$B$45:$B$47,MATCH(IF(S170=1,"1",IF(S170=2,"2","3+")),'Scoring Method'!$A$45:$A$47,0)))/90*100</f>
        <v/>
      </c>
      <c r="V170" s="96">
        <f>T170*U170/100</f>
        <v/>
      </c>
      <c r="W170" s="93" t="n">
        <v>5092</v>
      </c>
      <c r="X170" s="92" t="inlineStr">
        <is>
          <t>X (minimal hazard)</t>
        </is>
      </c>
      <c r="Y170" s="93" t="n">
        <v>10300</v>
      </c>
      <c r="Z170" s="97" t="n"/>
      <c r="AA170" s="98">
        <f>MAX(0,(Y170-5000)/300)</f>
        <v/>
      </c>
      <c r="AB170" s="92" t="n"/>
      <c r="AC170" s="92" t="n"/>
      <c r="AD170" s="92" t="n"/>
      <c r="AE170" s="92" t="inlineStr">
        <is>
          <t>Large 4-6k</t>
        </is>
      </c>
      <c r="AF170" s="96">
        <f>INDEX('Scoring Method'!$B$63:$B$71,MATCH(AE170,'Scoring Method'!$A$63:$A$71,0))+INDEX('Scoring Method'!$B$75:$B$79,MATCH("Good 8-15k",'Scoring Method'!$A$75:$A$79,0))+INDEX('Scoring Method'!$B$343:$B$347,MATCH(X170,'Scoring Method'!$A$343:$A$347,0))+INDEX('Scoring Method'!$B$25:$B$27,MATCH(P170,'Scoring Method'!$A$25:$A$27,0))</f>
        <v/>
      </c>
      <c r="AG170" s="96">
        <f>AF170*U170/100</f>
        <v/>
      </c>
      <c r="AH170" s="92" t="inlineStr">
        <is>
          <t>LINK-GIS + LoopNet (2026-08-03)</t>
        </is>
      </c>
      <c r="AI170" s="99" t="n">
        <v>39.08791</v>
      </c>
      <c r="AJ170" s="99" t="n">
        <v>-84.50747</v>
      </c>
      <c r="AK170" s="94" t="n">
        <v>0.61</v>
      </c>
      <c r="AL170" s="94" t="n">
        <v>0.21</v>
      </c>
      <c r="AM170" s="94" t="n">
        <v>0.98</v>
      </c>
      <c r="AN170" s="94" t="n">
        <v>0.21</v>
      </c>
      <c r="AO170" s="92" t="inlineStr">
        <is>
          <t>Core &lt;=0.35mi</t>
        </is>
      </c>
      <c r="AP170" s="92" t="inlineStr">
        <is>
          <t>Built-out kitchen</t>
        </is>
      </c>
      <c r="AQ170" s="92" t="inlineStr">
        <is>
          <t>Good 8-15k</t>
        </is>
      </c>
      <c r="AR170" s="100" t="n"/>
      <c r="AS170" s="96">
        <f>ROUND(INDEX('Scoring Method'!$B$63:$B$70,MATCH(AE170,'Scoring Method'!$A$63:$A$70,0))*0.625+INDEX('Scoring Method'!$B$105:$B$113,MATCH(AP170,'Scoring Method'!$A$105:$A$113,0))+INDEX('Scoring Method'!$B$74:$B$78,MATCH(AQ170,'Scoring Method'!$A$74:$A$78,0))*0.6667+INDEX('Scoring Method'!$B$96:$B$101,MATCH(AO170,'Scoring Method'!$A$96:$A$101,0))+INDEX('Scoring Method'!$B$343:$B$347,MATCH(X170,'Scoring Method'!$A$343:$A$347,0))*0.3333+INDEX('Scoring Method'!$B$25:$B$27,MATCH(P170,'Scoring Method'!$A$25:$A$27,0))*0.3333,1)</f>
        <v/>
      </c>
      <c r="AT170" s="96">
        <f>AS170*U170/100</f>
        <v/>
      </c>
      <c r="AU170" s="92" t="inlineStr">
        <is>
          <t>Central Business District</t>
        </is>
      </c>
      <c r="AV170" s="92" t="n">
        <v>48</v>
      </c>
      <c r="AW170" s="101" t="inlineStr">
        <is>
          <t>ESTIMATED</t>
        </is>
      </c>
      <c r="AX170" s="92" t="inlineStr">
        <is>
          <t>Mixed 45-59</t>
        </is>
      </c>
      <c r="AY170" s="96">
        <f>ROUND(INDEX('Scoring Method'!$B$132:$B$140,MATCH(AE170,'Scoring Method'!$A$132:$A$140,0))+INDEX('Scoring Method'!$B$144:$B$152,MATCH(AP170,'Scoring Method'!$A$144:$A$152,0))+INDEX('Scoring Method'!$B$156:$B$160,MATCH(AQ170,'Scoring Method'!$A$156:$A$160,0))+INDEX('Scoring Method'!$B$164:$B$169,MATCH(AO170,'Scoring Method'!$A$164:$A$169,0))+INDEX('Scoring Method'!$B$173:$B$178,MATCH(AX170,'Scoring Method'!$A$173:$A$178,0))+INDEX('Scoring Method'!$B$349:$B$353,MATCH(X170,'Scoring Method'!$A$349:$A$353,0))+INDEX('Scoring Method'!$B$188:$B$190,MATCH(P170,'Scoring Method'!$A$188:$A$190,0)),1)</f>
        <v/>
      </c>
      <c r="AZ170" s="96">
        <f>AY170*U170/100</f>
        <v/>
      </c>
      <c r="BA170" s="102" t="inlineStr">
        <is>
          <t>Chain format + local owner</t>
        </is>
      </c>
      <c r="BB170" s="94" t="n">
        <v>0.7</v>
      </c>
      <c r="BC170" s="92" t="inlineStr">
        <is>
          <t>Right-sized 0.35-0.75 AC</t>
        </is>
      </c>
      <c r="BD170" s="94" t="n">
        <v>1</v>
      </c>
      <c r="BE170" s="96">
        <f>ROUND(INDEX('Scoring Method'!$B$268:$B$276,MATCH(AE170,'Scoring Method'!$A$268:$A$276,0))+INDEX('Scoring Method'!$B$280:$B$288,MATCH(AP170,'Scoring Method'!$A$280:$A$288,0))+INDEX('Scoring Method'!$B$292:$B$296,MATCH(AQ170,'Scoring Method'!$A$292:$A$296,0))+INDEX('Scoring Method'!$B$300:$B$305,MATCH(AO170,'Scoring Method'!$A$300:$A$305,0))+INDEX('Scoring Method'!$B$309:$B$314,MATCH(AX170,'Scoring Method'!$A$309:$A$314,0))+INDEX('Scoring Method'!$B$337:$B$341,MATCH(X170,'Scoring Method'!$A$337:$A$341,0))+INDEX('Scoring Method'!$B$324:$B$326,MATCH(P170,'Scoring Method'!$A$324:$A$326,0)),1)</f>
        <v/>
      </c>
      <c r="BF170" s="96">
        <f>ROUND(INDEX('Scoring Method'!$B$268:$B$276,MATCH(AE170,'Scoring Method'!$A$268:$A$276,0))*BB170*BD170+INDEX('Scoring Method'!$B$280:$B$288,MATCH(AP170,'Scoring Method'!$A$280:$A$288,0))*BM170*BB170*BD170+INDEX('Scoring Method'!$B$292:$B$296,MATCH(AQ170,'Scoring Method'!$A$292:$A$296,0))*BD170+INDEX('Scoring Method'!$B$300:$B$305,MATCH(AO170,'Scoring Method'!$A$300:$A$305,0))*BM170*BB170+INDEX('Scoring Method'!$B$309:$B$314,MATCH(AX170,'Scoring Method'!$A$309:$A$314,0))+INDEX('Scoring Method'!$B$337:$B$341,MATCH(X170,'Scoring Method'!$A$337:$A$341,0))+INDEX('Scoring Method'!$B$324:$B$326,MATCH(P170,'Scoring Method'!$A$324:$A$326,0)),1)</f>
        <v/>
      </c>
      <c r="BG170" s="92" t="inlineStr">
        <is>
          <t>Fits (~$4,668/mo)</t>
        </is>
      </c>
      <c r="BH170" s="61" t="inlineStr">
        <is>
          <t>DTC (HP)</t>
        </is>
      </c>
      <c r="BI170" s="61" t="inlineStr">
        <is>
          <t>Downtown Core</t>
        </is>
      </c>
      <c r="BJ170" s="61" t="inlineStr">
        <is>
          <t>HP</t>
        </is>
      </c>
      <c r="BK170" s="61" t="inlineStr"/>
      <c r="BL170" s="61" t="inlineStr">
        <is>
          <t>Bar permitted</t>
        </is>
      </c>
      <c r="BM170" s="61">
        <f>INDEX('Scoring Method'!$B$358:$B$363,MATCH(BL170,'Scoring Method'!$A$358:$A$363,0))</f>
        <v/>
      </c>
    </row>
    <row r="171" ht="15" customHeight="1" s="62">
      <c r="A171" s="92" t="n">
        <v>170</v>
      </c>
      <c r="B171" s="92" t="inlineStr">
        <is>
          <t>055-42-04-011.01</t>
        </is>
      </c>
      <c r="C171" s="92" t="inlineStr">
        <is>
          <t>2 E 30TH ST</t>
        </is>
      </c>
      <c r="D171" s="92" t="inlineStr">
        <is>
          <t>GSE INC</t>
        </is>
      </c>
      <c r="E171" s="92" t="inlineStr">
        <is>
          <t>13390 SERVICE RD</t>
        </is>
      </c>
      <c r="F171" s="92" t="inlineStr">
        <is>
          <t>WALTON</t>
        </is>
      </c>
      <c r="G171" s="92" t="inlineStr">
        <is>
          <t>KY</t>
        </is>
      </c>
      <c r="H171" s="92" t="inlineStr">
        <is>
          <t>GAS STATION/CONVENIENCE STORE</t>
        </is>
      </c>
      <c r="I171" s="93" t="n">
        <v>20743</v>
      </c>
      <c r="J171" s="94">
        <f>I171/43560</f>
        <v/>
      </c>
      <c r="K171" s="93" t="n">
        <v>605.5</v>
      </c>
      <c r="L171" s="95">
        <f>I171/(K171^2)</f>
        <v/>
      </c>
      <c r="M171" s="92" t="inlineStr">
        <is>
          <t>Ideal 18-32k</t>
        </is>
      </c>
      <c r="N171" s="92" t="inlineStr">
        <is>
          <t>E</t>
        </is>
      </c>
      <c r="O171" s="92" t="inlineStr">
        <is>
          <t>Compact &gt;=.055</t>
        </is>
      </c>
      <c r="P171" s="92" t="inlineStr">
        <is>
          <t>High</t>
        </is>
      </c>
      <c r="Q171" s="92" t="inlineStr">
        <is>
          <t>Out-of-city KY</t>
        </is>
      </c>
      <c r="R171" s="92" t="inlineStr">
        <is>
          <t>Operating entity</t>
        </is>
      </c>
      <c r="S171" s="92" t="n">
        <v>2</v>
      </c>
      <c r="T171" s="96">
        <f>INDEX('Scoring Method'!$B$6:$B$9,MATCH(M171,'Scoring Method'!$A$6:$A$9,0))+INDEX('Scoring Method'!$B$12:$B$16,MATCH(N171,'Scoring Method'!$A$12:$A$16,0))+INDEX('Scoring Method'!$B$19:$B$22,MATCH(O171,'Scoring Method'!$A$19:$A$22,0))+INDEX('Scoring Method'!$B$25:$B$27,MATCH(P171,'Scoring Method'!$A$25:$A$27,0))</f>
        <v/>
      </c>
      <c r="U171" s="96">
        <f>(INDEX('Scoring Method'!$B$30:$B$33,MATCH(Q171,'Scoring Method'!$A$30:$A$33,0))+INDEX('Scoring Method'!$B$36:$B$42,MATCH(R171,'Scoring Method'!$A$36:$A$42,0))+INDEX('Scoring Method'!$B$45:$B$47,MATCH(IF(S171=1,"1",IF(S171=2,"2","3+")),'Scoring Method'!$A$45:$A$47,0)))/90*100</f>
        <v/>
      </c>
      <c r="V171" s="96">
        <f>T171*U171/100</f>
        <v/>
      </c>
      <c r="W171" s="93" t="n">
        <v>2253</v>
      </c>
      <c r="X171" s="92" t="inlineStr">
        <is>
          <t>X (minimal hazard)</t>
        </is>
      </c>
      <c r="Y171" s="93" t="n">
        <v>10225</v>
      </c>
      <c r="Z171" s="97" t="n"/>
      <c r="AA171" s="98">
        <f>MAX(0,(Y171-5000)/300)</f>
        <v/>
      </c>
      <c r="AB171" s="92" t="n"/>
      <c r="AC171" s="92" t="n"/>
      <c r="AD171" s="92" t="n"/>
      <c r="AE171" s="92" t="inlineStr">
        <is>
          <t>Target 1.5-2.5k</t>
        </is>
      </c>
      <c r="AF171" s="96">
        <f>INDEX('Scoring Method'!$B$63:$B$71,MATCH(AE171,'Scoring Method'!$A$63:$A$71,0))+INDEX('Scoring Method'!$B$75:$B$79,MATCH("Good 8-15k",'Scoring Method'!$A$75:$A$79,0))+INDEX('Scoring Method'!$B$343:$B$347,MATCH(X171,'Scoring Method'!$A$343:$A$347,0))+INDEX('Scoring Method'!$B$25:$B$27,MATCH(P171,'Scoring Method'!$A$25:$A$27,0))</f>
        <v/>
      </c>
      <c r="AG171" s="96">
        <f>AF171*U171/100</f>
        <v/>
      </c>
      <c r="AH171" s="92" t="inlineStr">
        <is>
          <t>LINK-GIS + LoopNet (2026-08-03)</t>
        </is>
      </c>
      <c r="AI171" s="99" t="n">
        <v>39.0542</v>
      </c>
      <c r="AJ171" s="99" t="n">
        <v>-84.5029</v>
      </c>
      <c r="AK171" s="94" t="n">
        <v>2.24</v>
      </c>
      <c r="AL171" s="94" t="n">
        <v>2.55</v>
      </c>
      <c r="AM171" s="94" t="n">
        <v>3.31</v>
      </c>
      <c r="AN171" s="94" t="n">
        <v>2.1</v>
      </c>
      <c r="AO171" s="92" t="inlineStr">
        <is>
          <t>Distant 2-3mi</t>
        </is>
      </c>
      <c r="AP171" s="92" t="inlineStr">
        <is>
          <t>Built-out kitchen</t>
        </is>
      </c>
      <c r="AQ171" s="92" t="inlineStr">
        <is>
          <t>Good 8-15k</t>
        </is>
      </c>
      <c r="AR171" s="100" t="n"/>
      <c r="AS171" s="96">
        <f>ROUND(INDEX('Scoring Method'!$B$63:$B$70,MATCH(AE171,'Scoring Method'!$A$63:$A$70,0))*0.625+INDEX('Scoring Method'!$B$105:$B$113,MATCH(AP171,'Scoring Method'!$A$105:$A$113,0))+INDEX('Scoring Method'!$B$74:$B$78,MATCH(AQ171,'Scoring Method'!$A$74:$A$78,0))*0.6667+INDEX('Scoring Method'!$B$96:$B$101,MATCH(AO171,'Scoring Method'!$A$96:$A$101,0))+INDEX('Scoring Method'!$B$343:$B$347,MATCH(X171,'Scoring Method'!$A$343:$A$347,0))*0.3333+INDEX('Scoring Method'!$B$25:$B$27,MATCH(P171,'Scoring Method'!$A$25:$A$27,0))*0.3333,1)</f>
        <v/>
      </c>
      <c r="AT171" s="96">
        <f>AS171*U171/100</f>
        <v/>
      </c>
      <c r="AU171" s="92" t="inlineStr">
        <is>
          <t>Latonia</t>
        </is>
      </c>
      <c r="AV171" s="92" t="n">
        <v>78</v>
      </c>
      <c r="AW171" s="92" t="inlineStr">
        <is>
          <t>Sourced</t>
        </is>
      </c>
      <c r="AX171" s="92" t="inlineStr">
        <is>
          <t>Safe 70-79</t>
        </is>
      </c>
      <c r="AY171" s="96">
        <f>ROUND(INDEX('Scoring Method'!$B$132:$B$140,MATCH(AE171,'Scoring Method'!$A$132:$A$140,0))+INDEX('Scoring Method'!$B$144:$B$152,MATCH(AP171,'Scoring Method'!$A$144:$A$152,0))+INDEX('Scoring Method'!$B$156:$B$160,MATCH(AQ171,'Scoring Method'!$A$156:$A$160,0))+INDEX('Scoring Method'!$B$164:$B$169,MATCH(AO171,'Scoring Method'!$A$164:$A$169,0))+INDEX('Scoring Method'!$B$173:$B$178,MATCH(AX171,'Scoring Method'!$A$173:$A$178,0))+INDEX('Scoring Method'!$B$349:$B$353,MATCH(X171,'Scoring Method'!$A$349:$A$353,0))+INDEX('Scoring Method'!$B$188:$B$190,MATCH(P171,'Scoring Method'!$A$188:$A$190,0)),1)</f>
        <v/>
      </c>
      <c r="AZ171" s="96">
        <f>AY171*U171/100</f>
        <v/>
      </c>
      <c r="BA171" s="102" t="inlineStr">
        <is>
          <t>Chain format + local owner</t>
        </is>
      </c>
      <c r="BB171" s="94" t="n">
        <v>0.7</v>
      </c>
      <c r="BC171" s="92" t="inlineStr">
        <is>
          <t>Right-sized 0.35-0.75 AC</t>
        </is>
      </c>
      <c r="BD171" s="94" t="n">
        <v>1</v>
      </c>
      <c r="BE171" s="96">
        <f>ROUND(INDEX('Scoring Method'!$B$268:$B$276,MATCH(AE171,'Scoring Method'!$A$268:$A$276,0))+INDEX('Scoring Method'!$B$280:$B$288,MATCH(AP171,'Scoring Method'!$A$280:$A$288,0))+INDEX('Scoring Method'!$B$292:$B$296,MATCH(AQ171,'Scoring Method'!$A$292:$A$296,0))+INDEX('Scoring Method'!$B$300:$B$305,MATCH(AO171,'Scoring Method'!$A$300:$A$305,0))+INDEX('Scoring Method'!$B$309:$B$314,MATCH(AX171,'Scoring Method'!$A$309:$A$314,0))+INDEX('Scoring Method'!$B$337:$B$341,MATCH(X171,'Scoring Method'!$A$337:$A$341,0))+INDEX('Scoring Method'!$B$324:$B$326,MATCH(P171,'Scoring Method'!$A$324:$A$326,0)),1)</f>
        <v/>
      </c>
      <c r="BF171" s="96">
        <f>ROUND(INDEX('Scoring Method'!$B$268:$B$276,MATCH(AE171,'Scoring Method'!$A$268:$A$276,0))*BB171*BD171+INDEX('Scoring Method'!$B$280:$B$288,MATCH(AP171,'Scoring Method'!$A$280:$A$288,0))*BM171*BB171*BD171+INDEX('Scoring Method'!$B$292:$B$296,MATCH(AQ171,'Scoring Method'!$A$292:$A$296,0))*BD171+INDEX('Scoring Method'!$B$300:$B$305,MATCH(AO171,'Scoring Method'!$A$300:$A$305,0))*BM171*BB171+INDEX('Scoring Method'!$B$309:$B$314,MATCH(AX171,'Scoring Method'!$A$309:$A$314,0))+INDEX('Scoring Method'!$B$337:$B$341,MATCH(X171,'Scoring Method'!$A$337:$A$341,0))+INDEX('Scoring Method'!$B$324:$B$326,MATCH(P171,'Scoring Method'!$A$324:$A$326,0)),1)</f>
        <v/>
      </c>
      <c r="BG171" s="92" t="inlineStr">
        <is>
          <t>Fits (~$2,065/mo)</t>
        </is>
      </c>
      <c r="BH171" s="61" t="inlineStr">
        <is>
          <t>AUC</t>
        </is>
      </c>
      <c r="BI171" s="61" t="inlineStr">
        <is>
          <t>Auto-Urban Commercial</t>
        </is>
      </c>
      <c r="BJ171" s="61" t="inlineStr"/>
      <c r="BK171" s="61" t="inlineStr"/>
      <c r="BL171" s="61" t="inlineStr">
        <is>
          <t>Bar permitted</t>
        </is>
      </c>
      <c r="BM171" s="61">
        <f>INDEX('Scoring Method'!$B$358:$B$363,MATCH(BL171,'Scoring Method'!$A$358:$A$363,0))</f>
        <v/>
      </c>
    </row>
    <row r="172" ht="15" customHeight="1" s="62">
      <c r="A172" s="92" t="n">
        <v>171</v>
      </c>
      <c r="B172" s="92" t="inlineStr">
        <is>
          <t>056-14-13-021.00</t>
        </is>
      </c>
      <c r="C172" s="92" t="inlineStr">
        <is>
          <t>3920 WINSTON AVE</t>
        </is>
      </c>
      <c r="D172" s="92" t="inlineStr">
        <is>
          <t>SPEEDWAY SUPERAMERICA LLC</t>
        </is>
      </c>
      <c r="E172" s="92" t="inlineStr">
        <is>
          <t>PO BOX 2440</t>
        </is>
      </c>
      <c r="F172" s="92" t="inlineStr">
        <is>
          <t>SPOKANE</t>
        </is>
      </c>
      <c r="G172" s="92" t="inlineStr">
        <is>
          <t>WA</t>
        </is>
      </c>
      <c r="H172" s="92" t="inlineStr">
        <is>
          <t>GAS STATION/CONVENIENCE STORE</t>
        </is>
      </c>
      <c r="I172" s="93" t="n">
        <v>24314</v>
      </c>
      <c r="J172" s="94">
        <f>I172/43560</f>
        <v/>
      </c>
      <c r="K172" s="93" t="n">
        <v>621.7</v>
      </c>
      <c r="L172" s="95">
        <f>I172/(K172^2)</f>
        <v/>
      </c>
      <c r="M172" s="92" t="inlineStr">
        <is>
          <t>Ideal 18-32k</t>
        </is>
      </c>
      <c r="N172" s="92" t="inlineStr">
        <is>
          <t>E</t>
        </is>
      </c>
      <c r="O172" s="92" t="inlineStr">
        <is>
          <t>Compact &gt;=.055</t>
        </is>
      </c>
      <c r="P172" s="92" t="inlineStr">
        <is>
          <t>High</t>
        </is>
      </c>
      <c r="Q172" s="92" t="inlineStr">
        <is>
          <t>Out-of-state</t>
        </is>
      </c>
      <c r="R172" s="92" t="inlineStr">
        <is>
          <t>National corporate</t>
        </is>
      </c>
      <c r="S172" s="92" t="n">
        <v>2</v>
      </c>
      <c r="T172" s="96">
        <f>INDEX('Scoring Method'!$B$6:$B$9,MATCH(M172,'Scoring Method'!$A$6:$A$9,0))+INDEX('Scoring Method'!$B$12:$B$16,MATCH(N172,'Scoring Method'!$A$12:$A$16,0))+INDEX('Scoring Method'!$B$19:$B$22,MATCH(O172,'Scoring Method'!$A$19:$A$22,0))+INDEX('Scoring Method'!$B$25:$B$27,MATCH(P172,'Scoring Method'!$A$25:$A$27,0))</f>
        <v/>
      </c>
      <c r="U172" s="96">
        <f>(INDEX('Scoring Method'!$B$30:$B$33,MATCH(Q172,'Scoring Method'!$A$30:$A$33,0))+INDEX('Scoring Method'!$B$36:$B$42,MATCH(R172,'Scoring Method'!$A$36:$A$42,0))+INDEX('Scoring Method'!$B$45:$B$47,MATCH(IF(S172=1,"1",IF(S172=2,"2","3+")),'Scoring Method'!$A$45:$A$47,0)))/90*100</f>
        <v/>
      </c>
      <c r="V172" s="96">
        <f>T172*U172/100</f>
        <v/>
      </c>
      <c r="W172" s="93" t="n">
        <v>8814</v>
      </c>
      <c r="X172" s="92" t="inlineStr">
        <is>
          <t>X (minimal hazard)</t>
        </is>
      </c>
      <c r="Y172" s="93" t="n">
        <v>13300</v>
      </c>
      <c r="Z172" s="97" t="n"/>
      <c r="AA172" s="98">
        <f>MAX(0,(Y172-5000)/300)</f>
        <v/>
      </c>
      <c r="AB172" s="92" t="n"/>
      <c r="AC172" s="92" t="n"/>
      <c r="AD172" s="92" t="n"/>
      <c r="AE172" s="92" t="inlineStr">
        <is>
          <t>Oversize 6-12k</t>
        </is>
      </c>
      <c r="AF172" s="96">
        <f>INDEX('Scoring Method'!$B$63:$B$71,MATCH(AE172,'Scoring Method'!$A$63:$A$71,0))+INDEX('Scoring Method'!$B$75:$B$79,MATCH("Good 8-15k",'Scoring Method'!$A$75:$A$79,0))+INDEX('Scoring Method'!$B$343:$B$347,MATCH(X172,'Scoring Method'!$A$343:$A$347,0))+INDEX('Scoring Method'!$B$25:$B$27,MATCH(P172,'Scoring Method'!$A$25:$A$27,0))</f>
        <v/>
      </c>
      <c r="AG172" s="96">
        <f>AF172*U172/100</f>
        <v/>
      </c>
      <c r="AH172" s="92" t="inlineStr">
        <is>
          <t>LINK-GIS only</t>
        </is>
      </c>
      <c r="AI172" s="99" t="n">
        <v>39.04406</v>
      </c>
      <c r="AJ172" s="99" t="n">
        <v>-84.50472000000001</v>
      </c>
      <c r="AK172" s="94" t="n">
        <v>2.88</v>
      </c>
      <c r="AL172" s="94" t="n">
        <v>3.24</v>
      </c>
      <c r="AM172" s="94" t="n">
        <v>3.99</v>
      </c>
      <c r="AN172" s="94" t="n">
        <v>2.78</v>
      </c>
      <c r="AO172" s="92" t="inlineStr">
        <is>
          <t>Distant 2-3mi</t>
        </is>
      </c>
      <c r="AP172" s="92" t="inlineStr">
        <is>
          <t>Built-out kitchen</t>
        </is>
      </c>
      <c r="AQ172" s="92" t="inlineStr">
        <is>
          <t>Good 8-15k</t>
        </is>
      </c>
      <c r="AR172" s="100" t="n"/>
      <c r="AS172" s="96">
        <f>ROUND(INDEX('Scoring Method'!$B$63:$B$70,MATCH(AE172,'Scoring Method'!$A$63:$A$70,0))*0.625+INDEX('Scoring Method'!$B$105:$B$113,MATCH(AP172,'Scoring Method'!$A$105:$A$113,0))+INDEX('Scoring Method'!$B$74:$B$78,MATCH(AQ172,'Scoring Method'!$A$74:$A$78,0))*0.6667+INDEX('Scoring Method'!$B$96:$B$101,MATCH(AO172,'Scoring Method'!$A$96:$A$101,0))+INDEX('Scoring Method'!$B$343:$B$347,MATCH(X172,'Scoring Method'!$A$343:$A$347,0))*0.3333+INDEX('Scoring Method'!$B$25:$B$27,MATCH(P172,'Scoring Method'!$A$25:$A$27,0))*0.3333,1)</f>
        <v/>
      </c>
      <c r="AT172" s="96">
        <f>AS172*U172/100</f>
        <v/>
      </c>
      <c r="AU172" s="92" t="inlineStr">
        <is>
          <t>Rittes East / Winston Park</t>
        </is>
      </c>
      <c r="AV172" s="92" t="n">
        <v>82</v>
      </c>
      <c r="AW172" s="92" t="inlineStr">
        <is>
          <t>Sourced</t>
        </is>
      </c>
      <c r="AX172" s="92" t="inlineStr">
        <is>
          <t>Very safe 80+</t>
        </is>
      </c>
      <c r="AY172" s="96">
        <f>ROUND(INDEX('Scoring Method'!$B$132:$B$140,MATCH(AE172,'Scoring Method'!$A$132:$A$140,0))+INDEX('Scoring Method'!$B$144:$B$152,MATCH(AP172,'Scoring Method'!$A$144:$A$152,0))+INDEX('Scoring Method'!$B$156:$B$160,MATCH(AQ172,'Scoring Method'!$A$156:$A$160,0))+INDEX('Scoring Method'!$B$164:$B$169,MATCH(AO172,'Scoring Method'!$A$164:$A$169,0))+INDEX('Scoring Method'!$B$173:$B$178,MATCH(AX172,'Scoring Method'!$A$173:$A$178,0))+INDEX('Scoring Method'!$B$349:$B$353,MATCH(X172,'Scoring Method'!$A$349:$A$353,0))+INDEX('Scoring Method'!$B$188:$B$190,MATCH(P172,'Scoring Method'!$A$188:$A$190,0)),1)</f>
        <v/>
      </c>
      <c r="AZ172" s="96">
        <f>AY172*U172/100</f>
        <v/>
      </c>
      <c r="BA172" s="103" t="inlineStr">
        <is>
          <t>Brand-owned / net lease</t>
        </is>
      </c>
      <c r="BB172" s="94" t="n">
        <v>0.3</v>
      </c>
      <c r="BC172" s="92" t="inlineStr">
        <is>
          <t>Right-sized 0.35-0.75 AC</t>
        </is>
      </c>
      <c r="BD172" s="94" t="n">
        <v>1</v>
      </c>
      <c r="BE172" s="96">
        <f>ROUND(INDEX('Scoring Method'!$B$268:$B$276,MATCH(AE172,'Scoring Method'!$A$268:$A$276,0))+INDEX('Scoring Method'!$B$280:$B$288,MATCH(AP172,'Scoring Method'!$A$280:$A$288,0))+INDEX('Scoring Method'!$B$292:$B$296,MATCH(AQ172,'Scoring Method'!$A$292:$A$296,0))+INDEX('Scoring Method'!$B$300:$B$305,MATCH(AO172,'Scoring Method'!$A$300:$A$305,0))+INDEX('Scoring Method'!$B$309:$B$314,MATCH(AX172,'Scoring Method'!$A$309:$A$314,0))+INDEX('Scoring Method'!$B$337:$B$341,MATCH(X172,'Scoring Method'!$A$337:$A$341,0))+INDEX('Scoring Method'!$B$324:$B$326,MATCH(P172,'Scoring Method'!$A$324:$A$326,0)),1)</f>
        <v/>
      </c>
      <c r="BF172" s="96">
        <f>ROUND(INDEX('Scoring Method'!$B$268:$B$276,MATCH(AE172,'Scoring Method'!$A$268:$A$276,0))*BB172*BD172+INDEX('Scoring Method'!$B$280:$B$288,MATCH(AP172,'Scoring Method'!$A$280:$A$288,0))*BM172*BB172*BD172+INDEX('Scoring Method'!$B$292:$B$296,MATCH(AQ172,'Scoring Method'!$A$292:$A$296,0))*BD172+INDEX('Scoring Method'!$B$300:$B$305,MATCH(AO172,'Scoring Method'!$A$300:$A$305,0))*BM172*BB172+INDEX('Scoring Method'!$B$309:$B$314,MATCH(AX172,'Scoring Method'!$A$309:$A$314,0))+INDEX('Scoring Method'!$B$337:$B$341,MATCH(X172,'Scoring Method'!$A$337:$A$341,0))+INDEX('Scoring Method'!$B$324:$B$326,MATCH(P172,'Scoring Method'!$A$324:$A$326,0)),1)</f>
        <v/>
      </c>
      <c r="BG172" s="92" t="inlineStr">
        <is>
          <t>Fits (~$8,080/mo)</t>
        </is>
      </c>
      <c r="BH172" s="61" t="inlineStr">
        <is>
          <t>TUMU</t>
        </is>
      </c>
      <c r="BI172" s="61" t="inlineStr">
        <is>
          <t>Traditional Urban Mixed Use</t>
        </is>
      </c>
      <c r="BJ172" s="61" t="inlineStr"/>
      <c r="BK172" s="61" t="inlineStr"/>
      <c r="BL172" s="61" t="inlineStr">
        <is>
          <t>Bar permitted</t>
        </is>
      </c>
      <c r="BM172" s="61">
        <f>INDEX('Scoring Method'!$B$358:$B$363,MATCH(BL172,'Scoring Method'!$A$358:$A$363,0))</f>
        <v/>
      </c>
    </row>
    <row r="173" ht="15" customHeight="1" s="62">
      <c r="A173" s="92" t="n">
        <v>172</v>
      </c>
      <c r="B173" s="92" t="inlineStr">
        <is>
          <t>059-40-00-391.00</t>
        </is>
      </c>
      <c r="C173" s="92" t="inlineStr">
        <is>
          <t>5966 TAYLOR MILL RD</t>
        </is>
      </c>
      <c r="D173" s="92" t="inlineStr">
        <is>
          <t>ELLIOTT TARA R</t>
        </is>
      </c>
      <c r="E173" s="92" t="inlineStr">
        <is>
          <t>5966 TAYLOR MILL RD</t>
        </is>
      </c>
      <c r="F173" s="92" t="inlineStr">
        <is>
          <t>COVINGTON</t>
        </is>
      </c>
      <c r="G173" s="92" t="inlineStr">
        <is>
          <t>KY</t>
        </is>
      </c>
      <c r="H173" s="92" t="inlineStr">
        <is>
          <t>RESTAURANT CAFE/BAR</t>
        </is>
      </c>
      <c r="I173" s="93" t="n">
        <v>30509</v>
      </c>
      <c r="J173" s="94">
        <f>I173/43560</f>
        <v/>
      </c>
      <c r="K173" s="93" t="n">
        <v>889.1</v>
      </c>
      <c r="L173" s="95">
        <f>I173/(K173^2)</f>
        <v/>
      </c>
      <c r="M173" s="92" t="inlineStr">
        <is>
          <t>Ideal 18-32k</t>
        </is>
      </c>
      <c r="N173" s="92" t="inlineStr">
        <is>
          <t>C</t>
        </is>
      </c>
      <c r="O173" s="92" t="inlineStr">
        <is>
          <t>Elongated .035-.045</t>
        </is>
      </c>
      <c r="P173" s="92" t="inlineStr">
        <is>
          <t>Low</t>
        </is>
      </c>
      <c r="Q173" s="92" t="inlineStr">
        <is>
          <t>Owner-occupied</t>
        </is>
      </c>
      <c r="R173" s="92" t="inlineStr">
        <is>
          <t>Individual</t>
        </is>
      </c>
      <c r="S173" s="92" t="n">
        <v>1</v>
      </c>
      <c r="T173" s="96">
        <f>INDEX('Scoring Method'!$B$6:$B$9,MATCH(M173,'Scoring Method'!$A$6:$A$9,0))+INDEX('Scoring Method'!$B$12:$B$16,MATCH(N173,'Scoring Method'!$A$12:$A$16,0))+INDEX('Scoring Method'!$B$19:$B$22,MATCH(O173,'Scoring Method'!$A$19:$A$22,0))+INDEX('Scoring Method'!$B$25:$B$27,MATCH(P173,'Scoring Method'!$A$25:$A$27,0))</f>
        <v/>
      </c>
      <c r="U173" s="96">
        <f>(INDEX('Scoring Method'!$B$30:$B$33,MATCH(Q173,'Scoring Method'!$A$30:$A$33,0))+INDEX('Scoring Method'!$B$36:$B$42,MATCH(R173,'Scoring Method'!$A$36:$A$42,0))+INDEX('Scoring Method'!$B$45:$B$47,MATCH(IF(S173=1,"1",IF(S173=2,"2","3+")),'Scoring Method'!$A$45:$A$47,0)))/90*100</f>
        <v/>
      </c>
      <c r="V173" s="96">
        <f>T173*U173/100</f>
        <v/>
      </c>
      <c r="W173" s="93" t="n">
        <v>2700</v>
      </c>
      <c r="X173" s="92" t="inlineStr">
        <is>
          <t>X (minimal hazard)</t>
        </is>
      </c>
      <c r="Y173" s="93" t="n">
        <v>24975</v>
      </c>
      <c r="Z173" s="97" t="n"/>
      <c r="AA173" s="98">
        <f>MAX(0,(Y173-5000)/300)</f>
        <v/>
      </c>
      <c r="AB173" s="92" t="n"/>
      <c r="AC173" s="92" t="n"/>
      <c r="AD173" s="92" t="n"/>
      <c r="AE173" s="92" t="inlineStr">
        <is>
          <t>Above 2.5-4k</t>
        </is>
      </c>
      <c r="AF173" s="96">
        <f>INDEX('Scoring Method'!$B$63:$B$71,MATCH(AE173,'Scoring Method'!$A$63:$A$71,0))+INDEX('Scoring Method'!$B$75:$B$79,MATCH("Ample &gt;=15k",'Scoring Method'!$A$75:$A$79,0))+INDEX('Scoring Method'!$B$343:$B$347,MATCH(X173,'Scoring Method'!$A$343:$A$347,0))+INDEX('Scoring Method'!$B$25:$B$27,MATCH(P173,'Scoring Method'!$A$25:$A$27,0))</f>
        <v/>
      </c>
      <c r="AG173" s="96">
        <f>AF173*U173/100</f>
        <v/>
      </c>
      <c r="AH173" s="92" t="inlineStr">
        <is>
          <t>LINK-GIS + LoopNet (2026-08-03)</t>
        </is>
      </c>
      <c r="AI173" s="99" t="n">
        <v>38.97504</v>
      </c>
      <c r="AJ173" s="99" t="n">
        <v>-84.50113</v>
      </c>
      <c r="AK173" s="94" t="n">
        <v>7.61</v>
      </c>
      <c r="AL173" s="94" t="n">
        <v>8.01</v>
      </c>
      <c r="AM173" s="94" t="n">
        <v>8.76</v>
      </c>
      <c r="AN173" s="94" t="n">
        <v>7.55</v>
      </c>
      <c r="AO173" s="92" t="inlineStr">
        <is>
          <t>Remote &gt;3mi</t>
        </is>
      </c>
      <c r="AP173" s="92" t="inlineStr">
        <is>
          <t>Built-out kitchen</t>
        </is>
      </c>
      <c r="AQ173" s="92" t="inlineStr">
        <is>
          <t>Ample &gt;=15k</t>
        </is>
      </c>
      <c r="AR173" s="100" t="n"/>
      <c r="AS173" s="96">
        <f>ROUND(INDEX('Scoring Method'!$B$63:$B$70,MATCH(AE173,'Scoring Method'!$A$63:$A$70,0))*0.625+INDEX('Scoring Method'!$B$105:$B$113,MATCH(AP173,'Scoring Method'!$A$105:$A$113,0))+INDEX('Scoring Method'!$B$74:$B$78,MATCH(AQ173,'Scoring Method'!$A$74:$A$78,0))*0.6667+INDEX('Scoring Method'!$B$96:$B$101,MATCH(AO173,'Scoring Method'!$A$96:$A$101,0))+INDEX('Scoring Method'!$B$343:$B$347,MATCH(X173,'Scoring Method'!$A$343:$A$347,0))*0.3333+INDEX('Scoring Method'!$B$25:$B$27,MATCH(P173,'Scoring Method'!$A$25:$A$27,0))*0.3333,1)</f>
        <v/>
      </c>
      <c r="AT173" s="96">
        <f>AS173*U173/100</f>
        <v/>
      </c>
      <c r="AU173" s="92" t="inlineStr">
        <is>
          <t>South Covington</t>
        </is>
      </c>
      <c r="AV173" s="92" t="n">
        <v>88</v>
      </c>
      <c r="AW173" s="92" t="inlineStr">
        <is>
          <t>Sourced</t>
        </is>
      </c>
      <c r="AX173" s="92" t="inlineStr">
        <is>
          <t>Very safe 80+</t>
        </is>
      </c>
      <c r="AY173" s="96">
        <f>ROUND(INDEX('Scoring Method'!$B$132:$B$140,MATCH(AE173,'Scoring Method'!$A$132:$A$140,0))+INDEX('Scoring Method'!$B$144:$B$152,MATCH(AP173,'Scoring Method'!$A$144:$A$152,0))+INDEX('Scoring Method'!$B$156:$B$160,MATCH(AQ173,'Scoring Method'!$A$156:$A$160,0))+INDEX('Scoring Method'!$B$164:$B$169,MATCH(AO173,'Scoring Method'!$A$164:$A$169,0))+INDEX('Scoring Method'!$B$173:$B$178,MATCH(AX173,'Scoring Method'!$A$173:$A$178,0))+INDEX('Scoring Method'!$B$349:$B$353,MATCH(X173,'Scoring Method'!$A$349:$A$353,0))+INDEX('Scoring Method'!$B$188:$B$190,MATCH(P173,'Scoring Method'!$A$188:$A$190,0)),1)</f>
        <v/>
      </c>
      <c r="AZ173" s="96">
        <f>AY173*U173/100</f>
        <v/>
      </c>
      <c r="BA173" s="92" t="inlineStr">
        <is>
          <t>Owner-occupied operator</t>
        </is>
      </c>
      <c r="BB173" s="94" t="n">
        <v>0.8</v>
      </c>
      <c r="BC173" s="92" t="inlineStr">
        <is>
          <t>Right-sized 0.35-0.75 AC</t>
        </is>
      </c>
      <c r="BD173" s="94" t="n">
        <v>1</v>
      </c>
      <c r="BE173" s="96">
        <f>ROUND(INDEX('Scoring Method'!$B$268:$B$276,MATCH(AE173,'Scoring Method'!$A$268:$A$276,0))+INDEX('Scoring Method'!$B$280:$B$288,MATCH(AP173,'Scoring Method'!$A$280:$A$288,0))+INDEX('Scoring Method'!$B$292:$B$296,MATCH(AQ173,'Scoring Method'!$A$292:$A$296,0))+INDEX('Scoring Method'!$B$300:$B$305,MATCH(AO173,'Scoring Method'!$A$300:$A$305,0))+INDEX('Scoring Method'!$B$309:$B$314,MATCH(AX173,'Scoring Method'!$A$309:$A$314,0))+INDEX('Scoring Method'!$B$337:$B$341,MATCH(X173,'Scoring Method'!$A$337:$A$341,0))+INDEX('Scoring Method'!$B$324:$B$326,MATCH(P173,'Scoring Method'!$A$324:$A$326,0)),1)</f>
        <v/>
      </c>
      <c r="BF173" s="96">
        <f>ROUND(INDEX('Scoring Method'!$B$268:$B$276,MATCH(AE173,'Scoring Method'!$A$268:$A$276,0))*BB173*BD173+INDEX('Scoring Method'!$B$280:$B$288,MATCH(AP173,'Scoring Method'!$A$280:$A$288,0))*BM173*BB173*BD173+INDEX('Scoring Method'!$B$292:$B$296,MATCH(AQ173,'Scoring Method'!$A$292:$A$296,0))*BD173+INDEX('Scoring Method'!$B$300:$B$305,MATCH(AO173,'Scoring Method'!$A$300:$A$305,0))*BM173*BB173+INDEX('Scoring Method'!$B$309:$B$314,MATCH(AX173,'Scoring Method'!$A$309:$A$314,0))+INDEX('Scoring Method'!$B$337:$B$341,MATCH(X173,'Scoring Method'!$A$337:$A$341,0))+INDEX('Scoring Method'!$B$324:$B$326,MATCH(P173,'Scoring Method'!$A$324:$A$326,0)),1)</f>
        <v/>
      </c>
      <c r="BG173" s="92" t="inlineStr">
        <is>
          <t>Fits (~$2,475/mo)</t>
        </is>
      </c>
      <c r="BH173" s="61" t="inlineStr">
        <is>
          <t>CMU</t>
        </is>
      </c>
      <c r="BI173" s="61" t="inlineStr">
        <is>
          <t>Commercial Mixed Use</t>
        </is>
      </c>
      <c r="BJ173" s="61" t="inlineStr"/>
      <c r="BK173" s="61" t="inlineStr"/>
      <c r="BL173" s="61" t="inlineStr">
        <is>
          <t>Bar permitted</t>
        </is>
      </c>
      <c r="BM173" s="61">
        <f>INDEX('Scoring Method'!$B$358:$B$363,MATCH(BL173,'Scoring Method'!$A$358:$A$363,0))</f>
        <v/>
      </c>
    </row>
    <row r="174" ht="15" customHeight="1" s="62">
      <c r="A174" s="92" t="n">
        <v>173</v>
      </c>
      <c r="B174" s="92" t="inlineStr">
        <is>
          <t>054-23-08-018.00</t>
        </is>
      </c>
      <c r="C174" s="92" t="inlineStr">
        <is>
          <t>730 MADISON AVE</t>
        </is>
      </c>
      <c r="D174" s="92" t="inlineStr">
        <is>
          <t>ENC PROPERTIES LLC</t>
        </is>
      </c>
      <c r="E174" s="92" t="inlineStr">
        <is>
          <t>5556 PLEASANT HILL RD</t>
        </is>
      </c>
      <c r="F174" s="92" t="inlineStr">
        <is>
          <t>TAYLOR MILL</t>
        </is>
      </c>
      <c r="G174" s="92" t="inlineStr">
        <is>
          <t>KY</t>
        </is>
      </c>
      <c r="H174" s="92" t="inlineStr">
        <is>
          <t>OFFICE/ENTERTAINMENT FACILITY</t>
        </is>
      </c>
      <c r="I174" s="93" t="n">
        <v>8600</v>
      </c>
      <c r="J174" s="94">
        <f>I174/43560</f>
        <v/>
      </c>
      <c r="K174" s="93" t="n">
        <v>427</v>
      </c>
      <c r="L174" s="95">
        <f>I174/(K174^2)</f>
        <v/>
      </c>
      <c r="M174" s="92" t="inlineStr">
        <is>
          <t>Poor &lt;10k/&gt;60k</t>
        </is>
      </c>
      <c r="N174" s="92" t="inlineStr">
        <is>
          <t>C</t>
        </is>
      </c>
      <c r="O174" s="92" t="inlineStr">
        <is>
          <t>Regular .045-.055</t>
        </is>
      </c>
      <c r="P174" s="92" t="inlineStr">
        <is>
          <t>Low</t>
        </is>
      </c>
      <c r="Q174" s="92" t="inlineStr">
        <is>
          <t>Out-of-city KY</t>
        </is>
      </c>
      <c r="R174" s="92" t="inlineStr">
        <is>
          <t>Passive vehicle</t>
        </is>
      </c>
      <c r="S174" s="92" t="n">
        <v>1</v>
      </c>
      <c r="T174" s="96">
        <f>INDEX('Scoring Method'!$B$6:$B$9,MATCH(M174,'Scoring Method'!$A$6:$A$9,0))+INDEX('Scoring Method'!$B$12:$B$16,MATCH(N174,'Scoring Method'!$A$12:$A$16,0))+INDEX('Scoring Method'!$B$19:$B$22,MATCH(O174,'Scoring Method'!$A$19:$A$22,0))+INDEX('Scoring Method'!$B$25:$B$27,MATCH(P174,'Scoring Method'!$A$25:$A$27,0))</f>
        <v/>
      </c>
      <c r="U174" s="96">
        <f>(INDEX('Scoring Method'!$B$30:$B$33,MATCH(Q174,'Scoring Method'!$A$30:$A$33,0))+INDEX('Scoring Method'!$B$36:$B$42,MATCH(R174,'Scoring Method'!$A$36:$A$42,0))+INDEX('Scoring Method'!$B$45:$B$47,MATCH(IF(S174=1,"1",IF(S174=2,"2","3+")),'Scoring Method'!$A$45:$A$47,0)))/90*100</f>
        <v/>
      </c>
      <c r="V174" s="96">
        <f>T174*U174/100</f>
        <v/>
      </c>
      <c r="W174" s="93" t="n">
        <v>8478</v>
      </c>
      <c r="X174" s="92" t="inlineStr">
        <is>
          <t>X (minimal hazard)</t>
        </is>
      </c>
      <c r="Y174" s="93" t="n">
        <v>0</v>
      </c>
      <c r="Z174" s="97">
        <f>W174/I174</f>
        <v/>
      </c>
      <c r="AA174" s="98">
        <f>MAX(0,(Y174-5000)/300)</f>
        <v/>
      </c>
      <c r="AB174" s="92" t="n"/>
      <c r="AC174" s="92" t="n">
        <v>0.02</v>
      </c>
      <c r="AD174" s="102" t="inlineStr">
        <is>
          <t>CHECK</t>
        </is>
      </c>
      <c r="AE174" s="92" t="inlineStr">
        <is>
          <t>Oversize 6-12k</t>
        </is>
      </c>
      <c r="AF174" s="96">
        <f>INDEX('Scoring Method'!$B$63:$B$71,MATCH(AE174,'Scoring Method'!$A$63:$A$71,0))+INDEX('Scoring Method'!$B$75:$B$79,MATCH("Insufficient &lt;2k",'Scoring Method'!$A$75:$A$79,0))+INDEX('Scoring Method'!$B$343:$B$347,MATCH(X174,'Scoring Method'!$A$343:$A$347,0))+INDEX('Scoring Method'!$B$25:$B$27,MATCH(P174,'Scoring Method'!$A$25:$A$27,0))</f>
        <v/>
      </c>
      <c r="AG174" s="96">
        <f>AF174*U174/100</f>
        <v/>
      </c>
      <c r="AH174" s="92" t="inlineStr">
        <is>
          <t>LINK-GIS + LoopNet</t>
        </is>
      </c>
      <c r="AI174" s="99" t="n">
        <v>39.08271</v>
      </c>
      <c r="AJ174" s="99" t="n">
        <v>-84.50945</v>
      </c>
      <c r="AK174" s="94" t="n">
        <v>0.47</v>
      </c>
      <c r="AL174" s="94" t="n">
        <v>0.57</v>
      </c>
      <c r="AM174" s="94" t="n">
        <v>1.31</v>
      </c>
      <c r="AN174" s="94" t="n">
        <v>0.12</v>
      </c>
      <c r="AO174" s="92" t="inlineStr">
        <is>
          <t>Core &lt;=0.35mi</t>
        </is>
      </c>
      <c r="AP174" s="92" t="inlineStr">
        <is>
          <t>Purpose-built venue</t>
        </is>
      </c>
      <c r="AQ174" s="92" t="inlineStr">
        <is>
          <t>Insufficient &lt;2k</t>
        </is>
      </c>
      <c r="AR174" s="100" t="n"/>
      <c r="AS174" s="96">
        <f>ROUND(INDEX('Scoring Method'!$B$63:$B$70,MATCH(AE174,'Scoring Method'!$A$63:$A$70,0))*0.625+INDEX('Scoring Method'!$B$105:$B$113,MATCH(AP174,'Scoring Method'!$A$105:$A$113,0))+INDEX('Scoring Method'!$B$74:$B$78,MATCH(AQ174,'Scoring Method'!$A$74:$A$78,0))*0.6667+INDEX('Scoring Method'!$B$96:$B$101,MATCH(AO174,'Scoring Method'!$A$96:$A$101,0))+INDEX('Scoring Method'!$B$343:$B$347,MATCH(X174,'Scoring Method'!$A$343:$A$347,0))*0.3333+INDEX('Scoring Method'!$B$25:$B$27,MATCH(P174,'Scoring Method'!$A$25:$A$27,0))*0.3333,1)</f>
        <v/>
      </c>
      <c r="AT174" s="96">
        <f>AS174*U174/100</f>
        <v/>
      </c>
      <c r="AU174" s="92" t="inlineStr">
        <is>
          <t>Central Business District</t>
        </is>
      </c>
      <c r="AV174" s="92" t="n">
        <v>48</v>
      </c>
      <c r="AW174" s="101" t="inlineStr">
        <is>
          <t>ESTIMATED</t>
        </is>
      </c>
      <c r="AX174" s="92" t="inlineStr">
        <is>
          <t>Mixed 45-59</t>
        </is>
      </c>
      <c r="AY174" s="96">
        <f>ROUND(INDEX('Scoring Method'!$B$132:$B$140,MATCH(AE174,'Scoring Method'!$A$132:$A$140,0))+INDEX('Scoring Method'!$B$144:$B$152,MATCH(AP174,'Scoring Method'!$A$144:$A$152,0))+INDEX('Scoring Method'!$B$156:$B$160,MATCH(AQ174,'Scoring Method'!$A$156:$A$160,0))+INDEX('Scoring Method'!$B$164:$B$169,MATCH(AO174,'Scoring Method'!$A$164:$A$169,0))+INDEX('Scoring Method'!$B$173:$B$178,MATCH(AX174,'Scoring Method'!$A$173:$A$178,0))+INDEX('Scoring Method'!$B$349:$B$353,MATCH(X174,'Scoring Method'!$A$349:$A$353,0))+INDEX('Scoring Method'!$B$188:$B$190,MATCH(P174,'Scoring Method'!$A$188:$A$190,0)),1)</f>
        <v/>
      </c>
      <c r="AZ174" s="96">
        <f>AY174*U174/100</f>
        <v/>
      </c>
      <c r="BA174" s="92" t="inlineStr">
        <is>
          <t>No chain signal</t>
        </is>
      </c>
      <c r="BB174" s="94" t="n">
        <v>1</v>
      </c>
      <c r="BC174" s="103" t="inlineStr">
        <is>
          <t>Extra small 0.15-0.25 AC</t>
        </is>
      </c>
      <c r="BD174" s="94" t="n">
        <v>0.8</v>
      </c>
      <c r="BE174" s="96">
        <f>ROUND(INDEX('Scoring Method'!$B$268:$B$276,MATCH(AE174,'Scoring Method'!$A$268:$A$276,0))+INDEX('Scoring Method'!$B$280:$B$288,MATCH(AP174,'Scoring Method'!$A$280:$A$288,0))+INDEX('Scoring Method'!$B$292:$B$296,MATCH(AQ174,'Scoring Method'!$A$292:$A$296,0))+INDEX('Scoring Method'!$B$300:$B$305,MATCH(AO174,'Scoring Method'!$A$300:$A$305,0))+INDEX('Scoring Method'!$B$309:$B$314,MATCH(AX174,'Scoring Method'!$A$309:$A$314,0))+INDEX('Scoring Method'!$B$337:$B$341,MATCH(X174,'Scoring Method'!$A$337:$A$341,0))+INDEX('Scoring Method'!$B$324:$B$326,MATCH(P174,'Scoring Method'!$A$324:$A$326,0)),1)</f>
        <v/>
      </c>
      <c r="BF174" s="96">
        <f>ROUND(INDEX('Scoring Method'!$B$268:$B$276,MATCH(AE174,'Scoring Method'!$A$268:$A$276,0))*BB174*BD174+INDEX('Scoring Method'!$B$280:$B$288,MATCH(AP174,'Scoring Method'!$A$280:$A$288,0))*BM174*BB174*BD174+INDEX('Scoring Method'!$B$292:$B$296,MATCH(AQ174,'Scoring Method'!$A$292:$A$296,0))*BD174+INDEX('Scoring Method'!$B$300:$B$305,MATCH(AO174,'Scoring Method'!$A$300:$A$305,0))*BM174*BB174+INDEX('Scoring Method'!$B$309:$B$314,MATCH(AX174,'Scoring Method'!$A$309:$A$314,0))+INDEX('Scoring Method'!$B$337:$B$341,MATCH(X174,'Scoring Method'!$A$337:$A$341,0))+INDEX('Scoring Method'!$B$324:$B$326,MATCH(P174,'Scoring Method'!$A$324:$A$326,0)),1)</f>
        <v/>
      </c>
      <c r="BG174" s="92" t="inlineStr">
        <is>
          <t>Fits (~$7,772/mo)</t>
        </is>
      </c>
      <c r="BH174" s="61" t="inlineStr">
        <is>
          <t>DTC (HP)</t>
        </is>
      </c>
      <c r="BI174" s="61" t="inlineStr">
        <is>
          <t>Downtown Core</t>
        </is>
      </c>
      <c r="BJ174" s="61" t="inlineStr">
        <is>
          <t>HP</t>
        </is>
      </c>
      <c r="BK174" s="61" t="inlineStr"/>
      <c r="BL174" s="61" t="inlineStr">
        <is>
          <t>Bar permitted</t>
        </is>
      </c>
      <c r="BM174" s="61">
        <f>INDEX('Scoring Method'!$B$358:$B$363,MATCH(BL174,'Scoring Method'!$A$358:$A$363,0))</f>
        <v/>
      </c>
    </row>
    <row r="175" ht="15" customHeight="1" s="62">
      <c r="A175" s="92" t="n">
        <v>174</v>
      </c>
      <c r="B175" s="92" t="inlineStr">
        <is>
          <t>054-23-08-016.00</t>
        </is>
      </c>
      <c r="C175" s="92" t="inlineStr">
        <is>
          <t>736 MADISON AVE</t>
        </is>
      </c>
      <c r="D175" s="92" t="inlineStr">
        <is>
          <t>BOPPER PROPERTIES LLC</t>
        </is>
      </c>
      <c r="E175" s="92" t="inlineStr">
        <is>
          <t>700 MADISON AVE</t>
        </is>
      </c>
      <c r="F175" s="92" t="inlineStr">
        <is>
          <t>COVINGTON</t>
        </is>
      </c>
      <c r="G175" s="92" t="inlineStr">
        <is>
          <t>KY</t>
        </is>
      </c>
      <c r="H175" s="92" t="inlineStr">
        <is>
          <t>OFFICE TOWER - 3 STORY &amp; UP</t>
        </is>
      </c>
      <c r="I175" s="93" t="n">
        <v>11853</v>
      </c>
      <c r="J175" s="94">
        <f>I175/43560</f>
        <v/>
      </c>
      <c r="K175" s="93" t="n">
        <v>468</v>
      </c>
      <c r="L175" s="95">
        <f>I175/(K175^2)</f>
        <v/>
      </c>
      <c r="M175" s="92" t="inlineStr">
        <is>
          <t>Marginal 10-14k/45-60k</t>
        </is>
      </c>
      <c r="N175" s="92" t="inlineStr">
        <is>
          <t>E</t>
        </is>
      </c>
      <c r="O175" s="92" t="inlineStr">
        <is>
          <t>Regular .045-.055</t>
        </is>
      </c>
      <c r="P175" s="92" t="inlineStr">
        <is>
          <t>Low</t>
        </is>
      </c>
      <c r="Q175" s="92" t="inlineStr">
        <is>
          <t>Local absentee</t>
        </is>
      </c>
      <c r="R175" s="92" t="inlineStr">
        <is>
          <t>Passive vehicle</t>
        </is>
      </c>
      <c r="S175" s="92" t="n">
        <v>3</v>
      </c>
      <c r="T175" s="96">
        <f>INDEX('Scoring Method'!$B$6:$B$9,MATCH(M175,'Scoring Method'!$A$6:$A$9,0))+INDEX('Scoring Method'!$B$12:$B$16,MATCH(N175,'Scoring Method'!$A$12:$A$16,0))+INDEX('Scoring Method'!$B$19:$B$22,MATCH(O175,'Scoring Method'!$A$19:$A$22,0))+INDEX('Scoring Method'!$B$25:$B$27,MATCH(P175,'Scoring Method'!$A$25:$A$27,0))</f>
        <v/>
      </c>
      <c r="U175" s="96">
        <f>(INDEX('Scoring Method'!$B$30:$B$33,MATCH(Q175,'Scoring Method'!$A$30:$A$33,0))+INDEX('Scoring Method'!$B$36:$B$42,MATCH(R175,'Scoring Method'!$A$36:$A$42,0))+INDEX('Scoring Method'!$B$45:$B$47,MATCH(IF(S175=1,"1",IF(S175=2,"2","3+")),'Scoring Method'!$A$45:$A$47,0)))/90*100</f>
        <v/>
      </c>
      <c r="V175" s="96">
        <f>T175*U175/100</f>
        <v/>
      </c>
      <c r="W175" s="93" t="n">
        <v>11153</v>
      </c>
      <c r="X175" s="92" t="inlineStr">
        <is>
          <t>X (minimal hazard)</t>
        </is>
      </c>
      <c r="Y175" s="93" t="n">
        <v>0</v>
      </c>
      <c r="Z175" s="97" t="n"/>
      <c r="AA175" s="98">
        <f>MAX(0,(Y175-5000)/300)</f>
        <v/>
      </c>
      <c r="AB175" s="92" t="n"/>
      <c r="AC175" s="92" t="n"/>
      <c r="AD175" s="92" t="n"/>
      <c r="AE175" s="92" t="inlineStr">
        <is>
          <t>Office tower 3+ storey</t>
        </is>
      </c>
      <c r="AF175" s="96">
        <f>INDEX('Scoring Method'!$B$63:$B$71,MATCH(AE175,'Scoring Method'!$A$63:$A$71,0))+INDEX('Scoring Method'!$B$75:$B$79,MATCH("Insufficient &lt;2k",'Scoring Method'!$A$75:$A$79,0))+INDEX('Scoring Method'!$B$343:$B$347,MATCH(X175,'Scoring Method'!$A$343:$A$347,0))+INDEX('Scoring Method'!$B$25:$B$27,MATCH(P175,'Scoring Method'!$A$25:$A$27,0))</f>
        <v/>
      </c>
      <c r="AG175" s="96">
        <f>AF175*U175/100</f>
        <v/>
      </c>
      <c r="AH175" s="92" t="inlineStr">
        <is>
          <t>LINK-GIS only</t>
        </is>
      </c>
      <c r="AI175" s="99" t="n">
        <v>39.08249</v>
      </c>
      <c r="AJ175" s="99" t="n">
        <v>-84.5094</v>
      </c>
      <c r="AK175" s="94" t="n">
        <v>0.47</v>
      </c>
      <c r="AL175" s="94" t="n">
        <v>0.58</v>
      </c>
      <c r="AM175" s="94" t="n">
        <v>1.32</v>
      </c>
      <c r="AN175" s="94" t="n">
        <v>0.14</v>
      </c>
      <c r="AO175" s="92" t="inlineStr">
        <is>
          <t>Core &lt;=0.35mi</t>
        </is>
      </c>
      <c r="AP175" s="92" t="inlineStr">
        <is>
          <t>Office tower 3+ storey</t>
        </is>
      </c>
      <c r="AQ175" s="92" t="inlineStr">
        <is>
          <t>Insufficient &lt;2k</t>
        </is>
      </c>
      <c r="AR175" s="100" t="n"/>
      <c r="AS175" s="96">
        <f>ROUND(INDEX('Scoring Method'!$B$63:$B$70,MATCH(AE175,'Scoring Method'!$A$63:$A$70,0))*0.625+INDEX('Scoring Method'!$B$105:$B$113,MATCH(AP175,'Scoring Method'!$A$105:$A$113,0))+INDEX('Scoring Method'!$B$74:$B$78,MATCH(AQ175,'Scoring Method'!$A$74:$A$78,0))*0.6667+INDEX('Scoring Method'!$B$96:$B$101,MATCH(AO175,'Scoring Method'!$A$96:$A$101,0))+INDEX('Scoring Method'!$B$343:$B$347,MATCH(X175,'Scoring Method'!$A$343:$A$347,0))*0.3333+INDEX('Scoring Method'!$B$25:$B$27,MATCH(P175,'Scoring Method'!$A$25:$A$27,0))*0.3333,1)</f>
        <v/>
      </c>
      <c r="AT175" s="96">
        <f>AS175*U175/100</f>
        <v/>
      </c>
      <c r="AU175" s="92" t="inlineStr">
        <is>
          <t>Central Business District</t>
        </is>
      </c>
      <c r="AV175" s="92" t="n">
        <v>48</v>
      </c>
      <c r="AW175" s="101" t="inlineStr">
        <is>
          <t>ESTIMATED</t>
        </is>
      </c>
      <c r="AX175" s="92" t="inlineStr">
        <is>
          <t>Mixed 45-59</t>
        </is>
      </c>
      <c r="AY175" s="96">
        <f>ROUND(INDEX('Scoring Method'!$B$132:$B$140,MATCH(AE175,'Scoring Method'!$A$132:$A$140,0))+INDEX('Scoring Method'!$B$144:$B$152,MATCH(AP175,'Scoring Method'!$A$144:$A$152,0))+INDEX('Scoring Method'!$B$156:$B$160,MATCH(AQ175,'Scoring Method'!$A$156:$A$160,0))+INDEX('Scoring Method'!$B$164:$B$169,MATCH(AO175,'Scoring Method'!$A$164:$A$169,0))+INDEX('Scoring Method'!$B$173:$B$178,MATCH(AX175,'Scoring Method'!$A$173:$A$178,0))+INDEX('Scoring Method'!$B$349:$B$353,MATCH(X175,'Scoring Method'!$A$349:$A$353,0))+INDEX('Scoring Method'!$B$188:$B$190,MATCH(P175,'Scoring Method'!$A$188:$A$190,0)),1)</f>
        <v/>
      </c>
      <c r="AZ175" s="96">
        <f>AY175*U175/100</f>
        <v/>
      </c>
      <c r="BA175" s="92" t="inlineStr">
        <is>
          <t>No chain signal</t>
        </is>
      </c>
      <c r="BB175" s="94" t="n">
        <v>1</v>
      </c>
      <c r="BC175" s="102" t="inlineStr">
        <is>
          <t>Small 0.25-0.35 AC</t>
        </is>
      </c>
      <c r="BD175" s="94" t="n">
        <v>0.9</v>
      </c>
      <c r="BE175" s="96">
        <f>ROUND(INDEX('Scoring Method'!$B$268:$B$276,MATCH(AE175,'Scoring Method'!$A$268:$A$276,0))+INDEX('Scoring Method'!$B$280:$B$288,MATCH(AP175,'Scoring Method'!$A$280:$A$288,0))+INDEX('Scoring Method'!$B$292:$B$296,MATCH(AQ175,'Scoring Method'!$A$292:$A$296,0))+INDEX('Scoring Method'!$B$300:$B$305,MATCH(AO175,'Scoring Method'!$A$300:$A$305,0))+INDEX('Scoring Method'!$B$309:$B$314,MATCH(AX175,'Scoring Method'!$A$309:$A$314,0))+INDEX('Scoring Method'!$B$337:$B$341,MATCH(X175,'Scoring Method'!$A$337:$A$341,0))+INDEX('Scoring Method'!$B$324:$B$326,MATCH(P175,'Scoring Method'!$A$324:$A$326,0)),1)</f>
        <v/>
      </c>
      <c r="BF175" s="96">
        <f>ROUND(INDEX('Scoring Method'!$B$268:$B$276,MATCH(AE175,'Scoring Method'!$A$268:$A$276,0))*BB175*BD175+INDEX('Scoring Method'!$B$280:$B$288,MATCH(AP175,'Scoring Method'!$A$280:$A$288,0))*BM175*BB175*BD175+INDEX('Scoring Method'!$B$292:$B$296,MATCH(AQ175,'Scoring Method'!$A$292:$A$296,0))*BD175+INDEX('Scoring Method'!$B$300:$B$305,MATCH(AO175,'Scoring Method'!$A$300:$A$305,0))*BM175*BB175+INDEX('Scoring Method'!$B$309:$B$314,MATCH(AX175,'Scoring Method'!$A$309:$A$314,0))+INDEX('Scoring Method'!$B$337:$B$341,MATCH(X175,'Scoring Method'!$A$337:$A$341,0))+INDEX('Scoring Method'!$B$324:$B$326,MATCH(P175,'Scoring Method'!$A$324:$A$326,0)),1)</f>
        <v/>
      </c>
      <c r="BG175" s="92" t="inlineStr">
        <is>
          <t>Fits (~$10,224/mo)</t>
        </is>
      </c>
      <c r="BH175" s="61" t="inlineStr">
        <is>
          <t>DTC (HP)</t>
        </is>
      </c>
      <c r="BI175" s="61" t="inlineStr">
        <is>
          <t>Downtown Core</t>
        </is>
      </c>
      <c r="BJ175" s="61" t="inlineStr">
        <is>
          <t>HP</t>
        </is>
      </c>
      <c r="BK175" s="61" t="inlineStr"/>
      <c r="BL175" s="61" t="inlineStr">
        <is>
          <t>Bar permitted</t>
        </is>
      </c>
      <c r="BM175" s="61">
        <f>INDEX('Scoring Method'!$B$358:$B$363,MATCH(BL175,'Scoring Method'!$A$358:$A$363,0))</f>
        <v/>
      </c>
    </row>
    <row r="176" ht="15" customHeight="1" s="62">
      <c r="A176" s="92" t="n">
        <v>175</v>
      </c>
      <c r="B176" s="92" t="inlineStr">
        <is>
          <t>040-34-03-001.00</t>
        </is>
      </c>
      <c r="C176" s="92" t="inlineStr">
        <is>
          <t>677 W 3RD ST</t>
        </is>
      </c>
      <c r="D176" s="92" t="inlineStr">
        <is>
          <t>EDGINGTON JR PAUL W</t>
        </is>
      </c>
      <c r="E176" s="92" t="inlineStr">
        <is>
          <t>677 W 3RD ST</t>
        </is>
      </c>
      <c r="F176" s="92" t="inlineStr">
        <is>
          <t>COVINGTON</t>
        </is>
      </c>
      <c r="G176" s="92" t="inlineStr">
        <is>
          <t>KY</t>
        </is>
      </c>
      <c r="H176" s="92" t="inlineStr">
        <is>
          <t>MFG/ASSEMBLY 20000 SF OR LESS</t>
        </is>
      </c>
      <c r="I176" s="93" t="n">
        <v>10292</v>
      </c>
      <c r="J176" s="94">
        <f>I176/43560</f>
        <v/>
      </c>
      <c r="K176" s="93" t="n">
        <v>396.1</v>
      </c>
      <c r="L176" s="95">
        <f>I176/(K176^2)</f>
        <v/>
      </c>
      <c r="M176" s="92" t="inlineStr">
        <is>
          <t>Marginal 10-14k/45-60k</t>
        </is>
      </c>
      <c r="N176" s="92" t="inlineStr">
        <is>
          <t>A</t>
        </is>
      </c>
      <c r="O176" s="92" t="inlineStr">
        <is>
          <t>Compact &gt;=.055</t>
        </is>
      </c>
      <c r="P176" s="92" t="inlineStr">
        <is>
          <t>Moderate</t>
        </is>
      </c>
      <c r="Q176" s="92" t="inlineStr">
        <is>
          <t>Owner-occupied</t>
        </is>
      </c>
      <c r="R176" s="92" t="inlineStr">
        <is>
          <t>Individual</t>
        </is>
      </c>
      <c r="S176" s="92" t="n">
        <v>1</v>
      </c>
      <c r="T176" s="96">
        <f>INDEX('Scoring Method'!$B$6:$B$9,MATCH(M176,'Scoring Method'!$A$6:$A$9,0))+INDEX('Scoring Method'!$B$12:$B$16,MATCH(N176,'Scoring Method'!$A$12:$A$16,0))+INDEX('Scoring Method'!$B$19:$B$22,MATCH(O176,'Scoring Method'!$A$19:$A$22,0))+INDEX('Scoring Method'!$B$25:$B$27,MATCH(P176,'Scoring Method'!$A$25:$A$27,0))</f>
        <v/>
      </c>
      <c r="U176" s="96">
        <f>(INDEX('Scoring Method'!$B$30:$B$33,MATCH(Q176,'Scoring Method'!$A$30:$A$33,0))+INDEX('Scoring Method'!$B$36:$B$42,MATCH(R176,'Scoring Method'!$A$36:$A$42,0))+INDEX('Scoring Method'!$B$45:$B$47,MATCH(IF(S176=1,"1",IF(S176=2,"2","3+")),'Scoring Method'!$A$45:$A$47,0)))/90*100</f>
        <v/>
      </c>
      <c r="V176" s="96">
        <f>T176*U176/100</f>
        <v/>
      </c>
      <c r="W176" s="93" t="n">
        <v>5360</v>
      </c>
      <c r="X176" s="92" t="inlineStr">
        <is>
          <t>X (levee-protected)</t>
        </is>
      </c>
      <c r="Y176" s="93" t="n">
        <v>3325</v>
      </c>
      <c r="Z176" s="97" t="n"/>
      <c r="AA176" s="98">
        <f>MAX(0,(Y176-5000)/300)</f>
        <v/>
      </c>
      <c r="AB176" s="92" t="n"/>
      <c r="AC176" s="92" t="n"/>
      <c r="AD176" s="92" t="n"/>
      <c r="AE176" s="92" t="inlineStr">
        <is>
          <t>Large 4-6k</t>
        </is>
      </c>
      <c r="AF176" s="96">
        <f>INDEX('Scoring Method'!$B$63:$B$71,MATCH(AE176,'Scoring Method'!$A$63:$A$71,0))+INDEX('Scoring Method'!$B$75:$B$79,MATCH("Tight 2-5k",'Scoring Method'!$A$75:$A$79,0))+INDEX('Scoring Method'!$B$343:$B$347,MATCH(X176,'Scoring Method'!$A$343:$A$347,0))+INDEX('Scoring Method'!$B$25:$B$27,MATCH(P176,'Scoring Method'!$A$25:$A$27,0))</f>
        <v/>
      </c>
      <c r="AG176" s="96">
        <f>AF176*U176/100</f>
        <v/>
      </c>
      <c r="AH176" s="92" t="inlineStr">
        <is>
          <t>LINK-GIS + LoopNet (2026-08-02)</t>
        </is>
      </c>
      <c r="AI176" s="99" t="n">
        <v>39.0874</v>
      </c>
      <c r="AJ176" s="99" t="n">
        <v>-84.5243</v>
      </c>
      <c r="AK176" s="94" t="n">
        <v>0.4</v>
      </c>
      <c r="AL176" s="94" t="n">
        <v>0.89</v>
      </c>
      <c r="AM176" s="94" t="n">
        <v>1.16</v>
      </c>
      <c r="AN176" s="94" t="n">
        <v>0.4</v>
      </c>
      <c r="AO176" s="92" t="inlineStr">
        <is>
          <t>Near 0.35-0.75mi</t>
        </is>
      </c>
      <c r="AP176" s="92" t="inlineStr">
        <is>
          <t>Open span</t>
        </is>
      </c>
      <c r="AQ176" s="92" t="inlineStr">
        <is>
          <t>Tight 2-5k</t>
        </is>
      </c>
      <c r="AR176" s="100" t="n"/>
      <c r="AS176" s="96">
        <f>ROUND(INDEX('Scoring Method'!$B$63:$B$70,MATCH(AE176,'Scoring Method'!$A$63:$A$70,0))*0.625+INDEX('Scoring Method'!$B$105:$B$113,MATCH(AP176,'Scoring Method'!$A$105:$A$113,0))+INDEX('Scoring Method'!$B$74:$B$78,MATCH(AQ176,'Scoring Method'!$A$74:$A$78,0))*0.6667+INDEX('Scoring Method'!$B$96:$B$101,MATCH(AO176,'Scoring Method'!$A$96:$A$101,0))+INDEX('Scoring Method'!$B$343:$B$347,MATCH(X176,'Scoring Method'!$A$343:$A$347,0))*0.3333+INDEX('Scoring Method'!$B$25:$B$27,MATCH(P176,'Scoring Method'!$A$25:$A$27,0))*0.3333,1)</f>
        <v/>
      </c>
      <c r="AT176" s="96">
        <f>AS176*U176/100</f>
        <v/>
      </c>
      <c r="AU176" s="92" t="inlineStr">
        <is>
          <t>Botany Hills / Riverfront West</t>
        </is>
      </c>
      <c r="AV176" s="92" t="n">
        <v>45</v>
      </c>
      <c r="AW176" s="101" t="inlineStr">
        <is>
          <t>ESTIMATED</t>
        </is>
      </c>
      <c r="AX176" s="92" t="inlineStr">
        <is>
          <t>Mixed 45-59</t>
        </is>
      </c>
      <c r="AY176" s="96">
        <f>ROUND(INDEX('Scoring Method'!$B$132:$B$140,MATCH(AE176,'Scoring Method'!$A$132:$A$140,0))+INDEX('Scoring Method'!$B$144:$B$152,MATCH(AP176,'Scoring Method'!$A$144:$A$152,0))+INDEX('Scoring Method'!$B$156:$B$160,MATCH(AQ176,'Scoring Method'!$A$156:$A$160,0))+INDEX('Scoring Method'!$B$164:$B$169,MATCH(AO176,'Scoring Method'!$A$164:$A$169,0))+INDEX('Scoring Method'!$B$173:$B$178,MATCH(AX176,'Scoring Method'!$A$173:$A$178,0))+INDEX('Scoring Method'!$B$349:$B$353,MATCH(X176,'Scoring Method'!$A$349:$A$353,0))+INDEX('Scoring Method'!$B$188:$B$190,MATCH(P176,'Scoring Method'!$A$188:$A$190,0)),1)</f>
        <v/>
      </c>
      <c r="AZ176" s="96">
        <f>AY176*U176/100</f>
        <v/>
      </c>
      <c r="BA176" s="92" t="inlineStr">
        <is>
          <t>Owner-occupied operator</t>
        </is>
      </c>
      <c r="BB176" s="94" t="n">
        <v>0.8</v>
      </c>
      <c r="BC176" s="103" t="inlineStr">
        <is>
          <t>Extra small 0.15-0.25 AC</t>
        </is>
      </c>
      <c r="BD176" s="94" t="n">
        <v>0.8</v>
      </c>
      <c r="BE176" s="96">
        <f>ROUND(INDEX('Scoring Method'!$B$268:$B$276,MATCH(AE176,'Scoring Method'!$A$268:$A$276,0))+INDEX('Scoring Method'!$B$280:$B$288,MATCH(AP176,'Scoring Method'!$A$280:$A$288,0))+INDEX('Scoring Method'!$B$292:$B$296,MATCH(AQ176,'Scoring Method'!$A$292:$A$296,0))+INDEX('Scoring Method'!$B$300:$B$305,MATCH(AO176,'Scoring Method'!$A$300:$A$305,0))+INDEX('Scoring Method'!$B$309:$B$314,MATCH(AX176,'Scoring Method'!$A$309:$A$314,0))+INDEX('Scoring Method'!$B$337:$B$341,MATCH(X176,'Scoring Method'!$A$337:$A$341,0))+INDEX('Scoring Method'!$B$324:$B$326,MATCH(P176,'Scoring Method'!$A$324:$A$326,0)),1)</f>
        <v/>
      </c>
      <c r="BF176" s="96">
        <f>ROUND(INDEX('Scoring Method'!$B$268:$B$276,MATCH(AE176,'Scoring Method'!$A$268:$A$276,0))*BB176*BD176+INDEX('Scoring Method'!$B$280:$B$288,MATCH(AP176,'Scoring Method'!$A$280:$A$288,0))*BM176*BB176*BD176+INDEX('Scoring Method'!$B$292:$B$296,MATCH(AQ176,'Scoring Method'!$A$292:$A$296,0))*BD176+INDEX('Scoring Method'!$B$300:$B$305,MATCH(AO176,'Scoring Method'!$A$300:$A$305,0))*BM176*BB176+INDEX('Scoring Method'!$B$309:$B$314,MATCH(AX176,'Scoring Method'!$A$309:$A$314,0))+INDEX('Scoring Method'!$B$337:$B$341,MATCH(X176,'Scoring Method'!$A$337:$A$341,0))+INDEX('Scoring Method'!$B$324:$B$326,MATCH(P176,'Scoring Method'!$A$324:$A$326,0)),1)</f>
        <v/>
      </c>
      <c r="BG176" s="92" t="inlineStr">
        <is>
          <t>Fits (~$4,913/mo)</t>
        </is>
      </c>
      <c r="BH176" s="61" t="inlineStr">
        <is>
          <t>AUC</t>
        </is>
      </c>
      <c r="BI176" s="61" t="inlineStr">
        <is>
          <t>Auto-Urban Commercial</t>
        </is>
      </c>
      <c r="BJ176" s="61" t="inlineStr"/>
      <c r="BK176" s="61" t="inlineStr"/>
      <c r="BL176" s="61" t="inlineStr">
        <is>
          <t>Bar permitted</t>
        </is>
      </c>
      <c r="BM176" s="61">
        <f>INDEX('Scoring Method'!$B$358:$B$363,MATCH(BL176,'Scoring Method'!$A$358:$A$363,0))</f>
        <v/>
      </c>
    </row>
    <row r="177" ht="15" customHeight="1" s="62">
      <c r="A177" s="92" t="n">
        <v>176</v>
      </c>
      <c r="B177" s="92" t="inlineStr">
        <is>
          <t>055-13-09-001.00</t>
        </is>
      </c>
      <c r="C177" s="92" t="inlineStr">
        <is>
          <t>1500 MADISON AVE</t>
        </is>
      </c>
      <c r="D177" s="92" t="inlineStr">
        <is>
          <t>VALLANDINGHAM JR ROBERT R &amp;</t>
        </is>
      </c>
      <c r="E177" s="92" t="inlineStr">
        <is>
          <t>1500 MADISON AVE</t>
        </is>
      </c>
      <c r="F177" s="92" t="inlineStr">
        <is>
          <t>COVINGTON</t>
        </is>
      </c>
      <c r="G177" s="92" t="inlineStr">
        <is>
          <t>KY</t>
        </is>
      </c>
      <c r="H177" s="92" t="inlineStr">
        <is>
          <t>AUTO SERVICE/REPAIR</t>
        </is>
      </c>
      <c r="I177" s="93" t="n">
        <v>10500</v>
      </c>
      <c r="J177" s="94">
        <f>I177/43560</f>
        <v/>
      </c>
      <c r="K177" s="93" t="n">
        <v>409.9</v>
      </c>
      <c r="L177" s="95">
        <f>I177/(K177^2)</f>
        <v/>
      </c>
      <c r="M177" s="92" t="inlineStr">
        <is>
          <t>Marginal 10-14k/45-60k</t>
        </is>
      </c>
      <c r="N177" s="92" t="inlineStr">
        <is>
          <t>A</t>
        </is>
      </c>
      <c r="O177" s="92" t="inlineStr">
        <is>
          <t>Compact &gt;=.055</t>
        </is>
      </c>
      <c r="P177" s="92" t="inlineStr">
        <is>
          <t>Moderate</t>
        </is>
      </c>
      <c r="Q177" s="92" t="inlineStr">
        <is>
          <t>Owner-occupied</t>
        </is>
      </c>
      <c r="R177" s="92" t="inlineStr">
        <is>
          <t>Individual</t>
        </is>
      </c>
      <c r="S177" s="92" t="n">
        <v>1</v>
      </c>
      <c r="T177" s="96">
        <f>INDEX('Scoring Method'!$B$6:$B$9,MATCH(M177,'Scoring Method'!$A$6:$A$9,0))+INDEX('Scoring Method'!$B$12:$B$16,MATCH(N177,'Scoring Method'!$A$12:$A$16,0))+INDEX('Scoring Method'!$B$19:$B$22,MATCH(O177,'Scoring Method'!$A$19:$A$22,0))+INDEX('Scoring Method'!$B$25:$B$27,MATCH(P177,'Scoring Method'!$A$25:$A$27,0))</f>
        <v/>
      </c>
      <c r="U177" s="96">
        <f>(INDEX('Scoring Method'!$B$30:$B$33,MATCH(Q177,'Scoring Method'!$A$30:$A$33,0))+INDEX('Scoring Method'!$B$36:$B$42,MATCH(R177,'Scoring Method'!$A$36:$A$42,0))+INDEX('Scoring Method'!$B$45:$B$47,MATCH(IF(S177=1,"1",IF(S177=2,"2","3+")),'Scoring Method'!$A$45:$A$47,0)))/90*100</f>
        <v/>
      </c>
      <c r="V177" s="96">
        <f>T177*U177/100</f>
        <v/>
      </c>
      <c r="W177" s="93" t="n">
        <v>5700</v>
      </c>
      <c r="X177" s="92" t="inlineStr">
        <is>
          <t>X (minimal hazard)</t>
        </is>
      </c>
      <c r="Y177" s="93" t="n">
        <v>6275</v>
      </c>
      <c r="Z177" s="97" t="n"/>
      <c r="AA177" s="98">
        <f>MAX(0,(Y177-5000)/300)</f>
        <v/>
      </c>
      <c r="AB177" s="92" t="n"/>
      <c r="AC177" s="92" t="n"/>
      <c r="AD177" s="92" t="n"/>
      <c r="AE177" s="92" t="inlineStr">
        <is>
          <t>Large 4-6k</t>
        </is>
      </c>
      <c r="AF177" s="96">
        <f>INDEX('Scoring Method'!$B$63:$B$71,MATCH(AE177,'Scoring Method'!$A$63:$A$71,0))+INDEX('Scoring Method'!$B$75:$B$79,MATCH("Adequate 5-8k",'Scoring Method'!$A$75:$A$79,0))+INDEX('Scoring Method'!$B$343:$B$347,MATCH(X177,'Scoring Method'!$A$343:$A$347,0))+INDEX('Scoring Method'!$B$25:$B$27,MATCH(P177,'Scoring Method'!$A$25:$A$27,0))</f>
        <v/>
      </c>
      <c r="AG177" s="96">
        <f>AF177*U177/100</f>
        <v/>
      </c>
      <c r="AH177" s="92" t="inlineStr">
        <is>
          <t>LINK-GIS + LoopNet (2026-08-02)</t>
        </is>
      </c>
      <c r="AI177" s="99" t="n">
        <v>39.0735</v>
      </c>
      <c r="AJ177" s="99" t="n">
        <v>-84.50716</v>
      </c>
      <c r="AK177" s="94" t="n">
        <v>0.95</v>
      </c>
      <c r="AL177" s="94" t="n">
        <v>1.2</v>
      </c>
      <c r="AM177" s="94" t="n">
        <v>1.95</v>
      </c>
      <c r="AN177" s="94" t="n">
        <v>0.75</v>
      </c>
      <c r="AO177" s="92" t="inlineStr">
        <is>
          <t>Fringe 0.75-1.25mi</t>
        </is>
      </c>
      <c r="AP177" s="92" t="inlineStr">
        <is>
          <t>Open span</t>
        </is>
      </c>
      <c r="AQ177" s="92" t="inlineStr">
        <is>
          <t>Adequate 5-8k</t>
        </is>
      </c>
      <c r="AR177" s="100" t="n"/>
      <c r="AS177" s="96">
        <f>ROUND(INDEX('Scoring Method'!$B$63:$B$70,MATCH(AE177,'Scoring Method'!$A$63:$A$70,0))*0.625+INDEX('Scoring Method'!$B$105:$B$113,MATCH(AP177,'Scoring Method'!$A$105:$A$113,0))+INDEX('Scoring Method'!$B$74:$B$78,MATCH(AQ177,'Scoring Method'!$A$74:$A$78,0))*0.6667+INDEX('Scoring Method'!$B$96:$B$101,MATCH(AO177,'Scoring Method'!$A$96:$A$101,0))+INDEX('Scoring Method'!$B$343:$B$347,MATCH(X177,'Scoring Method'!$A$343:$A$347,0))*0.3333+INDEX('Scoring Method'!$B$25:$B$27,MATCH(P177,'Scoring Method'!$A$25:$A$27,0))*0.3333,1)</f>
        <v/>
      </c>
      <c r="AT177" s="96">
        <f>AS177*U177/100</f>
        <v/>
      </c>
      <c r="AU177" s="92" t="inlineStr">
        <is>
          <t>Eastside</t>
        </is>
      </c>
      <c r="AV177" s="92" t="n">
        <v>28</v>
      </c>
      <c r="AW177" s="101" t="inlineStr">
        <is>
          <t>ESTIMATED</t>
        </is>
      </c>
      <c r="AX177" s="92" t="inlineStr">
        <is>
          <t>High &lt;35</t>
        </is>
      </c>
      <c r="AY177" s="96">
        <f>ROUND(INDEX('Scoring Method'!$B$132:$B$140,MATCH(AE177,'Scoring Method'!$A$132:$A$140,0))+INDEX('Scoring Method'!$B$144:$B$152,MATCH(AP177,'Scoring Method'!$A$144:$A$152,0))+INDEX('Scoring Method'!$B$156:$B$160,MATCH(AQ177,'Scoring Method'!$A$156:$A$160,0))+INDEX('Scoring Method'!$B$164:$B$169,MATCH(AO177,'Scoring Method'!$A$164:$A$169,0))+INDEX('Scoring Method'!$B$173:$B$178,MATCH(AX177,'Scoring Method'!$A$173:$A$178,0))+INDEX('Scoring Method'!$B$349:$B$353,MATCH(X177,'Scoring Method'!$A$349:$A$353,0))+INDEX('Scoring Method'!$B$188:$B$190,MATCH(P177,'Scoring Method'!$A$188:$A$190,0)),1)</f>
        <v/>
      </c>
      <c r="AZ177" s="96">
        <f>AY177*U177/100</f>
        <v/>
      </c>
      <c r="BA177" s="92" t="inlineStr">
        <is>
          <t>Owner-occupied operator</t>
        </is>
      </c>
      <c r="BB177" s="94" t="n">
        <v>0.8</v>
      </c>
      <c r="BC177" s="103" t="inlineStr">
        <is>
          <t>Extra small 0.15-0.25 AC</t>
        </is>
      </c>
      <c r="BD177" s="94" t="n">
        <v>0.8</v>
      </c>
      <c r="BE177" s="96">
        <f>ROUND(INDEX('Scoring Method'!$B$268:$B$276,MATCH(AE177,'Scoring Method'!$A$268:$A$276,0))+INDEX('Scoring Method'!$B$280:$B$288,MATCH(AP177,'Scoring Method'!$A$280:$A$288,0))+INDEX('Scoring Method'!$B$292:$B$296,MATCH(AQ177,'Scoring Method'!$A$292:$A$296,0))+INDEX('Scoring Method'!$B$300:$B$305,MATCH(AO177,'Scoring Method'!$A$300:$A$305,0))+INDEX('Scoring Method'!$B$309:$B$314,MATCH(AX177,'Scoring Method'!$A$309:$A$314,0))+INDEX('Scoring Method'!$B$337:$B$341,MATCH(X177,'Scoring Method'!$A$337:$A$341,0))+INDEX('Scoring Method'!$B$324:$B$326,MATCH(P177,'Scoring Method'!$A$324:$A$326,0)),1)</f>
        <v/>
      </c>
      <c r="BF177" s="96">
        <f>ROUND(INDEX('Scoring Method'!$B$268:$B$276,MATCH(AE177,'Scoring Method'!$A$268:$A$276,0))*BB177*BD177+INDEX('Scoring Method'!$B$280:$B$288,MATCH(AP177,'Scoring Method'!$A$280:$A$288,0))*BM177*BB177*BD177+INDEX('Scoring Method'!$B$292:$B$296,MATCH(AQ177,'Scoring Method'!$A$292:$A$296,0))*BD177+INDEX('Scoring Method'!$B$300:$B$305,MATCH(AO177,'Scoring Method'!$A$300:$A$305,0))*BM177*BB177+INDEX('Scoring Method'!$B$309:$B$314,MATCH(AX177,'Scoring Method'!$A$309:$A$314,0))+INDEX('Scoring Method'!$B$337:$B$341,MATCH(X177,'Scoring Method'!$A$337:$A$341,0))+INDEX('Scoring Method'!$B$324:$B$326,MATCH(P177,'Scoring Method'!$A$324:$A$326,0)),1)</f>
        <v/>
      </c>
      <c r="BG177" s="92" t="inlineStr">
        <is>
          <t>Fits (~$5,225/mo)</t>
        </is>
      </c>
      <c r="BH177" s="61" t="inlineStr">
        <is>
          <t>AUC</t>
        </is>
      </c>
      <c r="BI177" s="61" t="inlineStr">
        <is>
          <t>Auto-Urban Commercial</t>
        </is>
      </c>
      <c r="BJ177" s="61" t="inlineStr"/>
      <c r="BK177" s="61" t="inlineStr"/>
      <c r="BL177" s="61" t="inlineStr">
        <is>
          <t>Bar permitted</t>
        </is>
      </c>
      <c r="BM177" s="61">
        <f>INDEX('Scoring Method'!$B$358:$B$363,MATCH(BL177,'Scoring Method'!$A$358:$A$363,0))</f>
        <v/>
      </c>
    </row>
    <row r="178" ht="15" customHeight="1" s="62">
      <c r="A178" s="92" t="n">
        <v>177</v>
      </c>
      <c r="B178" s="92" t="inlineStr">
        <is>
          <t>055-23-13-003.00</t>
        </is>
      </c>
      <c r="C178" s="92" t="inlineStr">
        <is>
          <t>2437 MADISON AVE</t>
        </is>
      </c>
      <c r="D178" s="92" t="inlineStr">
        <is>
          <t>BROWNFIELD DAVID</t>
        </is>
      </c>
      <c r="E178" s="92" t="inlineStr">
        <is>
          <t>2437 MADISON AVE</t>
        </is>
      </c>
      <c r="F178" s="92" t="inlineStr">
        <is>
          <t>COVINGTON</t>
        </is>
      </c>
      <c r="G178" s="92" t="inlineStr">
        <is>
          <t>KY</t>
        </is>
      </c>
      <c r="H178" s="92" t="inlineStr">
        <is>
          <t>AUTO SERVICE/REPAIR</t>
        </is>
      </c>
      <c r="I178" s="93" t="n">
        <v>10610</v>
      </c>
      <c r="J178" s="94">
        <f>I178/43560</f>
        <v/>
      </c>
      <c r="K178" s="93" t="n">
        <v>417.3</v>
      </c>
      <c r="L178" s="95">
        <f>I178/(K178^2)</f>
        <v/>
      </c>
      <c r="M178" s="92" t="inlineStr">
        <is>
          <t>Marginal 10-14k/45-60k</t>
        </is>
      </c>
      <c r="N178" s="92" t="inlineStr">
        <is>
          <t>A</t>
        </is>
      </c>
      <c r="O178" s="92" t="inlineStr">
        <is>
          <t>Compact &gt;=.055</t>
        </is>
      </c>
      <c r="P178" s="92" t="inlineStr">
        <is>
          <t>Moderate</t>
        </is>
      </c>
      <c r="Q178" s="92" t="inlineStr">
        <is>
          <t>Owner-occupied</t>
        </is>
      </c>
      <c r="R178" s="92" t="inlineStr">
        <is>
          <t>Individual</t>
        </is>
      </c>
      <c r="S178" s="92" t="n">
        <v>1</v>
      </c>
      <c r="T178" s="96">
        <f>INDEX('Scoring Method'!$B$6:$B$9,MATCH(M178,'Scoring Method'!$A$6:$A$9,0))+INDEX('Scoring Method'!$B$12:$B$16,MATCH(N178,'Scoring Method'!$A$12:$A$16,0))+INDEX('Scoring Method'!$B$19:$B$22,MATCH(O178,'Scoring Method'!$A$19:$A$22,0))+INDEX('Scoring Method'!$B$25:$B$27,MATCH(P178,'Scoring Method'!$A$25:$A$27,0))</f>
        <v/>
      </c>
      <c r="U178" s="96">
        <f>(INDEX('Scoring Method'!$B$30:$B$33,MATCH(Q178,'Scoring Method'!$A$30:$A$33,0))+INDEX('Scoring Method'!$B$36:$B$42,MATCH(R178,'Scoring Method'!$A$36:$A$42,0))+INDEX('Scoring Method'!$B$45:$B$47,MATCH(IF(S178=1,"1",IF(S178=2,"2","3+")),'Scoring Method'!$A$45:$A$47,0)))/90*100</f>
        <v/>
      </c>
      <c r="V178" s="96">
        <f>T178*U178/100</f>
        <v/>
      </c>
      <c r="W178" s="93" t="n">
        <v>2460</v>
      </c>
      <c r="X178" s="92" t="inlineStr">
        <is>
          <t>X (minimal hazard)</t>
        </is>
      </c>
      <c r="Y178" s="93" t="n">
        <v>7875</v>
      </c>
      <c r="Z178" s="97" t="n"/>
      <c r="AA178" s="98">
        <f>MAX(0,(Y178-5000)/300)</f>
        <v/>
      </c>
      <c r="AB178" s="92" t="n"/>
      <c r="AC178" s="92" t="n"/>
      <c r="AD178" s="92" t="n"/>
      <c r="AE178" s="92" t="inlineStr">
        <is>
          <t>Target 1.5-2.5k</t>
        </is>
      </c>
      <c r="AF178" s="96">
        <f>INDEX('Scoring Method'!$B$63:$B$71,MATCH(AE178,'Scoring Method'!$A$63:$A$71,0))+INDEX('Scoring Method'!$B$75:$B$79,MATCH("Adequate 5-8k",'Scoring Method'!$A$75:$A$79,0))+INDEX('Scoring Method'!$B$343:$B$347,MATCH(X178,'Scoring Method'!$A$343:$A$347,0))+INDEX('Scoring Method'!$B$25:$B$27,MATCH(P178,'Scoring Method'!$A$25:$A$27,0))</f>
        <v/>
      </c>
      <c r="AG178" s="96">
        <f>AF178*U178/100</f>
        <v/>
      </c>
      <c r="AH178" s="92" t="inlineStr">
        <is>
          <t>LINK-GIS only</t>
        </is>
      </c>
      <c r="AI178" s="99" t="n">
        <v>39.06188</v>
      </c>
      <c r="AJ178" s="99" t="n">
        <v>-84.50482</v>
      </c>
      <c r="AK178" s="94" t="n">
        <v>1.71</v>
      </c>
      <c r="AL178" s="94" t="n">
        <v>2.01</v>
      </c>
      <c r="AM178" s="94" t="n">
        <v>2.77</v>
      </c>
      <c r="AN178" s="94" t="n">
        <v>1.56</v>
      </c>
      <c r="AO178" s="92" t="inlineStr">
        <is>
          <t>Outer 1.25-2mi</t>
        </is>
      </c>
      <c r="AP178" s="92" t="inlineStr">
        <is>
          <t>Open span</t>
        </is>
      </c>
      <c r="AQ178" s="92" t="inlineStr">
        <is>
          <t>Adequate 5-8k</t>
        </is>
      </c>
      <c r="AR178" s="100" t="n"/>
      <c r="AS178" s="96">
        <f>ROUND(INDEX('Scoring Method'!$B$63:$B$70,MATCH(AE178,'Scoring Method'!$A$63:$A$70,0))*0.625+INDEX('Scoring Method'!$B$105:$B$113,MATCH(AP178,'Scoring Method'!$A$105:$A$113,0))+INDEX('Scoring Method'!$B$74:$B$78,MATCH(AQ178,'Scoring Method'!$A$74:$A$78,0))*0.6667+INDEX('Scoring Method'!$B$96:$B$101,MATCH(AO178,'Scoring Method'!$A$96:$A$101,0))+INDEX('Scoring Method'!$B$343:$B$347,MATCH(X178,'Scoring Method'!$A$343:$A$347,0))*0.3333+INDEX('Scoring Method'!$B$25:$B$27,MATCH(P178,'Scoring Method'!$A$25:$A$27,0))*0.3333,1)</f>
        <v/>
      </c>
      <c r="AT178" s="96">
        <f>AS178*U178/100</f>
        <v/>
      </c>
      <c r="AU178" s="92" t="inlineStr">
        <is>
          <t>Levassor Park</t>
        </is>
      </c>
      <c r="AV178" s="92" t="n">
        <v>42</v>
      </c>
      <c r="AW178" s="101" t="inlineStr">
        <is>
          <t>ESTIMATED</t>
        </is>
      </c>
      <c r="AX178" s="92" t="inlineStr">
        <is>
          <t>Elevated 35-44</t>
        </is>
      </c>
      <c r="AY178" s="96">
        <f>ROUND(INDEX('Scoring Method'!$B$132:$B$140,MATCH(AE178,'Scoring Method'!$A$132:$A$140,0))+INDEX('Scoring Method'!$B$144:$B$152,MATCH(AP178,'Scoring Method'!$A$144:$A$152,0))+INDEX('Scoring Method'!$B$156:$B$160,MATCH(AQ178,'Scoring Method'!$A$156:$A$160,0))+INDEX('Scoring Method'!$B$164:$B$169,MATCH(AO178,'Scoring Method'!$A$164:$A$169,0))+INDEX('Scoring Method'!$B$173:$B$178,MATCH(AX178,'Scoring Method'!$A$173:$A$178,0))+INDEX('Scoring Method'!$B$349:$B$353,MATCH(X178,'Scoring Method'!$A$349:$A$353,0))+INDEX('Scoring Method'!$B$188:$B$190,MATCH(P178,'Scoring Method'!$A$188:$A$190,0)),1)</f>
        <v/>
      </c>
      <c r="AZ178" s="96">
        <f>AY178*U178/100</f>
        <v/>
      </c>
      <c r="BA178" s="92" t="inlineStr">
        <is>
          <t>Owner-occupied operator</t>
        </is>
      </c>
      <c r="BB178" s="94" t="n">
        <v>0.8</v>
      </c>
      <c r="BC178" s="103" t="inlineStr">
        <is>
          <t>Extra small 0.15-0.25 AC</t>
        </is>
      </c>
      <c r="BD178" s="94" t="n">
        <v>0.8</v>
      </c>
      <c r="BE178" s="96">
        <f>ROUND(INDEX('Scoring Method'!$B$268:$B$276,MATCH(AE178,'Scoring Method'!$A$268:$A$276,0))+INDEX('Scoring Method'!$B$280:$B$288,MATCH(AP178,'Scoring Method'!$A$280:$A$288,0))+INDEX('Scoring Method'!$B$292:$B$296,MATCH(AQ178,'Scoring Method'!$A$292:$A$296,0))+INDEX('Scoring Method'!$B$300:$B$305,MATCH(AO178,'Scoring Method'!$A$300:$A$305,0))+INDEX('Scoring Method'!$B$309:$B$314,MATCH(AX178,'Scoring Method'!$A$309:$A$314,0))+INDEX('Scoring Method'!$B$337:$B$341,MATCH(X178,'Scoring Method'!$A$337:$A$341,0))+INDEX('Scoring Method'!$B$324:$B$326,MATCH(P178,'Scoring Method'!$A$324:$A$326,0)),1)</f>
        <v/>
      </c>
      <c r="BF178" s="96">
        <f>ROUND(INDEX('Scoring Method'!$B$268:$B$276,MATCH(AE178,'Scoring Method'!$A$268:$A$276,0))*BB178*BD178+INDEX('Scoring Method'!$B$280:$B$288,MATCH(AP178,'Scoring Method'!$A$280:$A$288,0))*BM178*BB178*BD178+INDEX('Scoring Method'!$B$292:$B$296,MATCH(AQ178,'Scoring Method'!$A$292:$A$296,0))*BD178+INDEX('Scoring Method'!$B$300:$B$305,MATCH(AO178,'Scoring Method'!$A$300:$A$305,0))*BM178*BB178+INDEX('Scoring Method'!$B$309:$B$314,MATCH(AX178,'Scoring Method'!$A$309:$A$314,0))+INDEX('Scoring Method'!$B$337:$B$341,MATCH(X178,'Scoring Method'!$A$337:$A$341,0))+INDEX('Scoring Method'!$B$324:$B$326,MATCH(P178,'Scoring Method'!$A$324:$A$326,0)),1)</f>
        <v/>
      </c>
      <c r="BG178" s="92" t="inlineStr">
        <is>
          <t>Fits (~$2,255/mo)</t>
        </is>
      </c>
      <c r="BH178" s="61" t="inlineStr">
        <is>
          <t>AUC</t>
        </is>
      </c>
      <c r="BI178" s="61" t="inlineStr">
        <is>
          <t>Auto-Urban Commercial</t>
        </is>
      </c>
      <c r="BJ178" s="61" t="inlineStr"/>
      <c r="BK178" s="61" t="inlineStr"/>
      <c r="BL178" s="61" t="inlineStr">
        <is>
          <t>Bar permitted</t>
        </is>
      </c>
      <c r="BM178" s="61">
        <f>INDEX('Scoring Method'!$B$358:$B$363,MATCH(BL178,'Scoring Method'!$A$358:$A$363,0))</f>
        <v/>
      </c>
    </row>
    <row r="179" ht="15" customHeight="1" s="62">
      <c r="A179" s="92" t="n">
        <v>178</v>
      </c>
      <c r="B179" s="92" t="inlineStr">
        <is>
          <t>055-14-24-029.00</t>
        </is>
      </c>
      <c r="C179" s="92" t="inlineStr">
        <is>
          <t>1806 SCOTT ST</t>
        </is>
      </c>
      <c r="D179" s="92" t="inlineStr">
        <is>
          <t>SALVATION ARMY</t>
        </is>
      </c>
      <c r="E179" s="92" t="inlineStr">
        <is>
          <t>1806 SCOTT ST</t>
        </is>
      </c>
      <c r="F179" s="92" t="inlineStr">
        <is>
          <t>COVINGTON</t>
        </is>
      </c>
      <c r="G179" s="92" t="inlineStr">
        <is>
          <t>KY</t>
        </is>
      </c>
      <c r="H179" s="92" t="inlineStr">
        <is>
          <t>OFFICE BLDG 1 OR 2 STORY</t>
        </is>
      </c>
      <c r="I179" s="93" t="n">
        <v>22489</v>
      </c>
      <c r="J179" s="94">
        <f>I179/43560</f>
        <v/>
      </c>
      <c r="K179" s="93" t="n">
        <v>600</v>
      </c>
      <c r="L179" s="95">
        <f>I179/(K179^2)</f>
        <v/>
      </c>
      <c r="M179" s="92" t="inlineStr">
        <is>
          <t>Ideal 18-32k</t>
        </is>
      </c>
      <c r="N179" s="92" t="inlineStr">
        <is>
          <t>E</t>
        </is>
      </c>
      <c r="O179" s="92" t="inlineStr">
        <is>
          <t>Compact &gt;=.055</t>
        </is>
      </c>
      <c r="P179" s="92" t="inlineStr">
        <is>
          <t>Low</t>
        </is>
      </c>
      <c r="Q179" s="92" t="inlineStr">
        <is>
          <t>Owner-occupied</t>
        </is>
      </c>
      <c r="R179" s="92" t="inlineStr">
        <is>
          <t>Individual</t>
        </is>
      </c>
      <c r="S179" s="92" t="n">
        <v>1</v>
      </c>
      <c r="T179" s="96">
        <f>INDEX('Scoring Method'!$B$6:$B$9,MATCH(M179,'Scoring Method'!$A$6:$A$9,0))+INDEX('Scoring Method'!$B$12:$B$16,MATCH(N179,'Scoring Method'!$A$12:$A$16,0))+INDEX('Scoring Method'!$B$19:$B$22,MATCH(O179,'Scoring Method'!$A$19:$A$22,0))+INDEX('Scoring Method'!$B$25:$B$27,MATCH(P179,'Scoring Method'!$A$25:$A$27,0))</f>
        <v/>
      </c>
      <c r="U179" s="96">
        <f>(INDEX('Scoring Method'!$B$30:$B$33,MATCH(Q179,'Scoring Method'!$A$30:$A$33,0))+INDEX('Scoring Method'!$B$36:$B$42,MATCH(R179,'Scoring Method'!$A$36:$A$42,0))+INDEX('Scoring Method'!$B$45:$B$47,MATCH(IF(S179=1,"1",IF(S179=2,"2","3+")),'Scoring Method'!$A$45:$A$47,0)))/90*100</f>
        <v/>
      </c>
      <c r="V179" s="96">
        <f>T179*U179/100</f>
        <v/>
      </c>
      <c r="W179" s="93" t="n">
        <v>9764</v>
      </c>
      <c r="X179" s="92" t="inlineStr">
        <is>
          <t>X (minimal hazard)</t>
        </is>
      </c>
      <c r="Y179" s="93" t="n">
        <v>10950</v>
      </c>
      <c r="Z179" s="97" t="n"/>
      <c r="AA179" s="98">
        <f>MAX(0,(Y179-5000)/300)</f>
        <v/>
      </c>
      <c r="AB179" s="92" t="n"/>
      <c r="AC179" s="92" t="n"/>
      <c r="AD179" s="92" t="n"/>
      <c r="AE179" s="92" t="inlineStr">
        <is>
          <t>Oversize 6-12k</t>
        </is>
      </c>
      <c r="AF179" s="96">
        <f>INDEX('Scoring Method'!$B$63:$B$71,MATCH(AE179,'Scoring Method'!$A$63:$A$71,0))+INDEX('Scoring Method'!$B$75:$B$79,MATCH("Good 8-15k",'Scoring Method'!$A$75:$A$79,0))+INDEX('Scoring Method'!$B$343:$B$347,MATCH(X179,'Scoring Method'!$A$343:$A$347,0))+INDEX('Scoring Method'!$B$25:$B$27,MATCH(P179,'Scoring Method'!$A$25:$A$27,0))</f>
        <v/>
      </c>
      <c r="AG179" s="96">
        <f>AF179*U179/100</f>
        <v/>
      </c>
      <c r="AH179" s="92" t="inlineStr">
        <is>
          <t>LINK-GIS only</t>
        </is>
      </c>
      <c r="AI179" s="99" t="n">
        <v>39.06926</v>
      </c>
      <c r="AJ179" s="99" t="n">
        <v>-84.50436999999999</v>
      </c>
      <c r="AK179" s="94" t="n">
        <v>1.27</v>
      </c>
      <c r="AL179" s="94" t="n">
        <v>1.51</v>
      </c>
      <c r="AM179" s="94" t="n">
        <v>2.27</v>
      </c>
      <c r="AN179" s="94" t="n">
        <v>1.08</v>
      </c>
      <c r="AO179" s="92" t="inlineStr">
        <is>
          <t>Fringe 0.75-1.25mi</t>
        </is>
      </c>
      <c r="AP179" s="92" t="inlineStr">
        <is>
          <t>Office/institutional</t>
        </is>
      </c>
      <c r="AQ179" s="92" t="inlineStr">
        <is>
          <t>Good 8-15k</t>
        </is>
      </c>
      <c r="AR179" s="100" t="n"/>
      <c r="AS179" s="96">
        <f>ROUND(INDEX('Scoring Method'!$B$63:$B$70,MATCH(AE179,'Scoring Method'!$A$63:$A$70,0))*0.625+INDEX('Scoring Method'!$B$105:$B$113,MATCH(AP179,'Scoring Method'!$A$105:$A$113,0))+INDEX('Scoring Method'!$B$74:$B$78,MATCH(AQ179,'Scoring Method'!$A$74:$A$78,0))*0.6667+INDEX('Scoring Method'!$B$96:$B$101,MATCH(AO179,'Scoring Method'!$A$96:$A$101,0))+INDEX('Scoring Method'!$B$343:$B$347,MATCH(X179,'Scoring Method'!$A$343:$A$347,0))*0.3333+INDEX('Scoring Method'!$B$25:$B$27,MATCH(P179,'Scoring Method'!$A$25:$A$27,0))*0.3333,1)</f>
        <v/>
      </c>
      <c r="AT179" s="96">
        <f>AS179*U179/100</f>
        <v/>
      </c>
      <c r="AU179" s="92" t="inlineStr">
        <is>
          <t>Levassor Park</t>
        </is>
      </c>
      <c r="AV179" s="92" t="n">
        <v>42</v>
      </c>
      <c r="AW179" s="101" t="inlineStr">
        <is>
          <t>ESTIMATED</t>
        </is>
      </c>
      <c r="AX179" s="92" t="inlineStr">
        <is>
          <t>Elevated 35-44</t>
        </is>
      </c>
      <c r="AY179" s="96">
        <f>ROUND(INDEX('Scoring Method'!$B$132:$B$140,MATCH(AE179,'Scoring Method'!$A$132:$A$140,0))+INDEX('Scoring Method'!$B$144:$B$152,MATCH(AP179,'Scoring Method'!$A$144:$A$152,0))+INDEX('Scoring Method'!$B$156:$B$160,MATCH(AQ179,'Scoring Method'!$A$156:$A$160,0))+INDEX('Scoring Method'!$B$164:$B$169,MATCH(AO179,'Scoring Method'!$A$164:$A$169,0))+INDEX('Scoring Method'!$B$173:$B$178,MATCH(AX179,'Scoring Method'!$A$173:$A$178,0))+INDEX('Scoring Method'!$B$349:$B$353,MATCH(X179,'Scoring Method'!$A$349:$A$353,0))+INDEX('Scoring Method'!$B$188:$B$190,MATCH(P179,'Scoring Method'!$A$188:$A$190,0)),1)</f>
        <v/>
      </c>
      <c r="AZ179" s="96">
        <f>AY179*U179/100</f>
        <v/>
      </c>
      <c r="BA179" s="103" t="inlineStr">
        <is>
          <t>Brand-owned / net lease</t>
        </is>
      </c>
      <c r="BB179" s="94" t="n">
        <v>0.3</v>
      </c>
      <c r="BC179" s="92" t="inlineStr">
        <is>
          <t>Right-sized 0.35-0.75 AC</t>
        </is>
      </c>
      <c r="BD179" s="94" t="n">
        <v>1</v>
      </c>
      <c r="BE179" s="96">
        <f>ROUND(INDEX('Scoring Method'!$B$268:$B$276,MATCH(AE179,'Scoring Method'!$A$268:$A$276,0))+INDEX('Scoring Method'!$B$280:$B$288,MATCH(AP179,'Scoring Method'!$A$280:$A$288,0))+INDEX('Scoring Method'!$B$292:$B$296,MATCH(AQ179,'Scoring Method'!$A$292:$A$296,0))+INDEX('Scoring Method'!$B$300:$B$305,MATCH(AO179,'Scoring Method'!$A$300:$A$305,0))+INDEX('Scoring Method'!$B$309:$B$314,MATCH(AX179,'Scoring Method'!$A$309:$A$314,0))+INDEX('Scoring Method'!$B$337:$B$341,MATCH(X179,'Scoring Method'!$A$337:$A$341,0))+INDEX('Scoring Method'!$B$324:$B$326,MATCH(P179,'Scoring Method'!$A$324:$A$326,0)),1)</f>
        <v/>
      </c>
      <c r="BF179" s="96">
        <f>ROUND(INDEX('Scoring Method'!$B$268:$B$276,MATCH(AE179,'Scoring Method'!$A$268:$A$276,0))*BB179*BD179+INDEX('Scoring Method'!$B$280:$B$288,MATCH(AP179,'Scoring Method'!$A$280:$A$288,0))*BM179*BB179*BD179+INDEX('Scoring Method'!$B$292:$B$296,MATCH(AQ179,'Scoring Method'!$A$292:$A$296,0))*BD179+INDEX('Scoring Method'!$B$300:$B$305,MATCH(AO179,'Scoring Method'!$A$300:$A$305,0))*BM179*BB179+INDEX('Scoring Method'!$B$309:$B$314,MATCH(AX179,'Scoring Method'!$A$309:$A$314,0))+INDEX('Scoring Method'!$B$337:$B$341,MATCH(X179,'Scoring Method'!$A$337:$A$341,0))+INDEX('Scoring Method'!$B$324:$B$326,MATCH(P179,'Scoring Method'!$A$324:$A$326,0)),1)</f>
        <v/>
      </c>
      <c r="BG179" s="92" t="inlineStr">
        <is>
          <t>Fits (~$8,950/mo)</t>
        </is>
      </c>
      <c r="BH179" s="61" t="inlineStr">
        <is>
          <t>SU</t>
        </is>
      </c>
      <c r="BI179" s="61" t="inlineStr">
        <is>
          <t>Semi-Urban Residential</t>
        </is>
      </c>
      <c r="BJ179" s="61" t="inlineStr"/>
      <c r="BK179" s="61" t="inlineStr"/>
      <c r="BL179" s="61" t="inlineStr">
        <is>
          <t>SU corner unverified</t>
        </is>
      </c>
      <c r="BM179" s="61">
        <f>INDEX('Scoring Method'!$B$358:$B$363,MATCH(BL179,'Scoring Method'!$A$358:$A$363,0))</f>
        <v/>
      </c>
    </row>
    <row r="180" ht="15" customHeight="1" s="62">
      <c r="A180" s="92" t="n">
        <v>179</v>
      </c>
      <c r="B180" s="92" t="inlineStr">
        <is>
          <t>054-14-09-003.00</t>
        </is>
      </c>
      <c r="C180" s="92" t="inlineStr">
        <is>
          <t>209 GREENUP ST</t>
        </is>
      </c>
      <c r="D180" s="92" t="inlineStr">
        <is>
          <t>ST ELIZABETH MED CENTER INC</t>
        </is>
      </c>
      <c r="E180" s="92" t="inlineStr">
        <is>
          <t>1 MEDICAL VILLAGE DR</t>
        </is>
      </c>
      <c r="F180" s="92" t="inlineStr">
        <is>
          <t>EDGEWOOD</t>
        </is>
      </c>
      <c r="G180" s="92" t="inlineStr">
        <is>
          <t>KY</t>
        </is>
      </c>
      <c r="H180" s="92" t="inlineStr">
        <is>
          <t>OFFICE TOWER - 3 STORY &amp; UP</t>
        </is>
      </c>
      <c r="I180" s="93" t="n">
        <v>27120</v>
      </c>
      <c r="J180" s="94">
        <f>I180/43560</f>
        <v/>
      </c>
      <c r="K180" s="93" t="n">
        <v>711</v>
      </c>
      <c r="L180" s="95">
        <f>I180/(K180^2)</f>
        <v/>
      </c>
      <c r="M180" s="92" t="inlineStr">
        <is>
          <t>Ideal 18-32k</t>
        </is>
      </c>
      <c r="N180" s="92" t="inlineStr">
        <is>
          <t>E</t>
        </is>
      </c>
      <c r="O180" s="92" t="inlineStr">
        <is>
          <t>Regular .045-.055</t>
        </is>
      </c>
      <c r="P180" s="92" t="inlineStr">
        <is>
          <t>Low</t>
        </is>
      </c>
      <c r="Q180" s="92" t="inlineStr">
        <is>
          <t>Out-of-city KY</t>
        </is>
      </c>
      <c r="R180" s="92" t="inlineStr">
        <is>
          <t>Operating entity</t>
        </is>
      </c>
      <c r="S180" s="92" t="n">
        <v>1</v>
      </c>
      <c r="T180" s="96">
        <f>INDEX('Scoring Method'!$B$6:$B$9,MATCH(M180,'Scoring Method'!$A$6:$A$9,0))+INDEX('Scoring Method'!$B$12:$B$16,MATCH(N180,'Scoring Method'!$A$12:$A$16,0))+INDEX('Scoring Method'!$B$19:$B$22,MATCH(O180,'Scoring Method'!$A$19:$A$22,0))+INDEX('Scoring Method'!$B$25:$B$27,MATCH(P180,'Scoring Method'!$A$25:$A$27,0))</f>
        <v/>
      </c>
      <c r="U180" s="96">
        <f>(INDEX('Scoring Method'!$B$30:$B$33,MATCH(Q180,'Scoring Method'!$A$30:$A$33,0))+INDEX('Scoring Method'!$B$36:$B$42,MATCH(R180,'Scoring Method'!$A$36:$A$42,0))+INDEX('Scoring Method'!$B$45:$B$47,MATCH(IF(S180=1,"1",IF(S180=2,"2","3+")),'Scoring Method'!$A$45:$A$47,0)))/90*100</f>
        <v/>
      </c>
      <c r="V180" s="96">
        <f>T180*U180/100</f>
        <v/>
      </c>
      <c r="W180" s="93" t="n">
        <v>22570</v>
      </c>
      <c r="X180" s="92" t="inlineStr">
        <is>
          <t>X (minimal hazard)</t>
        </is>
      </c>
      <c r="Y180" s="93" t="n">
        <v>2450</v>
      </c>
      <c r="Z180" s="97" t="n"/>
      <c r="AA180" s="98">
        <f>MAX(0,(Y180-5000)/300)</f>
        <v/>
      </c>
      <c r="AB180" s="92" t="n"/>
      <c r="AC180" s="92" t="n"/>
      <c r="AD180" s="92" t="n"/>
      <c r="AE180" s="92" t="inlineStr">
        <is>
          <t>Office tower 3+ storey</t>
        </is>
      </c>
      <c r="AF180" s="96">
        <f>INDEX('Scoring Method'!$B$63:$B$71,MATCH(AE180,'Scoring Method'!$A$63:$A$71,0))+INDEX('Scoring Method'!$B$75:$B$79,MATCH("Tight 2-5k",'Scoring Method'!$A$75:$A$79,0))+INDEX('Scoring Method'!$B$343:$B$347,MATCH(X180,'Scoring Method'!$A$343:$A$347,0))+INDEX('Scoring Method'!$B$25:$B$27,MATCH(P180,'Scoring Method'!$A$25:$A$27,0))</f>
        <v/>
      </c>
      <c r="AG180" s="96">
        <f>AF180*U180/100</f>
        <v/>
      </c>
      <c r="AH180" s="92" t="inlineStr">
        <is>
          <t>LINK-GIS only</t>
        </is>
      </c>
      <c r="AI180" s="99" t="n">
        <v>39.08928</v>
      </c>
      <c r="AJ180" s="99" t="n">
        <v>-84.50868</v>
      </c>
      <c r="AK180" s="94" t="n">
        <v>0.6</v>
      </c>
      <c r="AL180" s="94" t="n">
        <v>0.11</v>
      </c>
      <c r="AM180" s="94" t="n">
        <v>0.87</v>
      </c>
      <c r="AN180" s="94" t="n">
        <v>0.11</v>
      </c>
      <c r="AO180" s="92" t="inlineStr">
        <is>
          <t>Core &lt;=0.35mi</t>
        </is>
      </c>
      <c r="AP180" s="92" t="inlineStr">
        <is>
          <t>Office tower 3+ storey</t>
        </is>
      </c>
      <c r="AQ180" s="92" t="inlineStr">
        <is>
          <t>Tight 2-5k</t>
        </is>
      </c>
      <c r="AR180" s="100" t="n"/>
      <c r="AS180" s="96">
        <f>ROUND(INDEX('Scoring Method'!$B$63:$B$70,MATCH(AE180,'Scoring Method'!$A$63:$A$70,0))*0.625+INDEX('Scoring Method'!$B$105:$B$113,MATCH(AP180,'Scoring Method'!$A$105:$A$113,0))+INDEX('Scoring Method'!$B$74:$B$78,MATCH(AQ180,'Scoring Method'!$A$74:$A$78,0))*0.6667+INDEX('Scoring Method'!$B$96:$B$101,MATCH(AO180,'Scoring Method'!$A$96:$A$101,0))+INDEX('Scoring Method'!$B$343:$B$347,MATCH(X180,'Scoring Method'!$A$343:$A$347,0))*0.3333+INDEX('Scoring Method'!$B$25:$B$27,MATCH(P180,'Scoring Method'!$A$25:$A$27,0))*0.3333,1)</f>
        <v/>
      </c>
      <c r="AT180" s="96">
        <f>AS180*U180/100</f>
        <v/>
      </c>
      <c r="AU180" s="92" t="inlineStr">
        <is>
          <t>Central Business District</t>
        </is>
      </c>
      <c r="AV180" s="92" t="n">
        <v>48</v>
      </c>
      <c r="AW180" s="101" t="inlineStr">
        <is>
          <t>ESTIMATED</t>
        </is>
      </c>
      <c r="AX180" s="92" t="inlineStr">
        <is>
          <t>Mixed 45-59</t>
        </is>
      </c>
      <c r="AY180" s="96">
        <f>ROUND(INDEX('Scoring Method'!$B$132:$B$140,MATCH(AE180,'Scoring Method'!$A$132:$A$140,0))+INDEX('Scoring Method'!$B$144:$B$152,MATCH(AP180,'Scoring Method'!$A$144:$A$152,0))+INDEX('Scoring Method'!$B$156:$B$160,MATCH(AQ180,'Scoring Method'!$A$156:$A$160,0))+INDEX('Scoring Method'!$B$164:$B$169,MATCH(AO180,'Scoring Method'!$A$164:$A$169,0))+INDEX('Scoring Method'!$B$173:$B$178,MATCH(AX180,'Scoring Method'!$A$173:$A$178,0))+INDEX('Scoring Method'!$B$349:$B$353,MATCH(X180,'Scoring Method'!$A$349:$A$353,0))+INDEX('Scoring Method'!$B$188:$B$190,MATCH(P180,'Scoring Method'!$A$188:$A$190,0)),1)</f>
        <v/>
      </c>
      <c r="AZ180" s="96">
        <f>AY180*U180/100</f>
        <v/>
      </c>
      <c r="BA180" s="103" t="inlineStr">
        <is>
          <t>Brand-owned / net lease</t>
        </is>
      </c>
      <c r="BB180" s="94" t="n">
        <v>0.3</v>
      </c>
      <c r="BC180" s="92" t="inlineStr">
        <is>
          <t>Right-sized 0.35-0.75 AC</t>
        </is>
      </c>
      <c r="BD180" s="94" t="n">
        <v>1</v>
      </c>
      <c r="BE180" s="96">
        <f>ROUND(INDEX('Scoring Method'!$B$268:$B$276,MATCH(AE180,'Scoring Method'!$A$268:$A$276,0))+INDEX('Scoring Method'!$B$280:$B$288,MATCH(AP180,'Scoring Method'!$A$280:$A$288,0))+INDEX('Scoring Method'!$B$292:$B$296,MATCH(AQ180,'Scoring Method'!$A$292:$A$296,0))+INDEX('Scoring Method'!$B$300:$B$305,MATCH(AO180,'Scoring Method'!$A$300:$A$305,0))+INDEX('Scoring Method'!$B$309:$B$314,MATCH(AX180,'Scoring Method'!$A$309:$A$314,0))+INDEX('Scoring Method'!$B$337:$B$341,MATCH(X180,'Scoring Method'!$A$337:$A$341,0))+INDEX('Scoring Method'!$B$324:$B$326,MATCH(P180,'Scoring Method'!$A$324:$A$326,0)),1)</f>
        <v/>
      </c>
      <c r="BF180" s="96">
        <f>ROUND(INDEX('Scoring Method'!$B$268:$B$276,MATCH(AE180,'Scoring Method'!$A$268:$A$276,0))*BB180*BD180+INDEX('Scoring Method'!$B$280:$B$288,MATCH(AP180,'Scoring Method'!$A$280:$A$288,0))*BM180*BB180*BD180+INDEX('Scoring Method'!$B$292:$B$296,MATCH(AQ180,'Scoring Method'!$A$292:$A$296,0))*BD180+INDEX('Scoring Method'!$B$300:$B$305,MATCH(AO180,'Scoring Method'!$A$300:$A$305,0))*BM180*BB180+INDEX('Scoring Method'!$B$309:$B$314,MATCH(AX180,'Scoring Method'!$A$309:$A$314,0))+INDEX('Scoring Method'!$B$337:$B$341,MATCH(X180,'Scoring Method'!$A$337:$A$341,0))+INDEX('Scoring Method'!$B$324:$B$326,MATCH(P180,'Scoring Method'!$A$324:$A$326,0)),1)</f>
        <v/>
      </c>
      <c r="BG180" s="102" t="inlineStr">
        <is>
          <t>Over (~$20,689/mo)</t>
        </is>
      </c>
      <c r="BH180" s="61" t="inlineStr">
        <is>
          <t>DTR</t>
        </is>
      </c>
      <c r="BI180" s="61" t="inlineStr">
        <is>
          <t>Downtown Riverfront</t>
        </is>
      </c>
      <c r="BJ180" s="61" t="inlineStr"/>
      <c r="BK180" s="61" t="inlineStr"/>
      <c r="BL180" s="61" t="inlineStr">
        <is>
          <t>Bar permitted</t>
        </is>
      </c>
      <c r="BM180" s="61">
        <f>INDEX('Scoring Method'!$B$358:$B$363,MATCH(BL180,'Scoring Method'!$A$358:$A$363,0))</f>
        <v/>
      </c>
    </row>
    <row r="181" ht="15" customHeight="1" s="62">
      <c r="A181" s="92" t="n">
        <v>180</v>
      </c>
      <c r="B181" s="92" t="inlineStr">
        <is>
          <t>054-24-03-001.00</t>
        </is>
      </c>
      <c r="C181" s="92" t="inlineStr">
        <is>
          <t>20 W 11TH ST</t>
        </is>
      </c>
      <c r="D181" s="92" t="inlineStr">
        <is>
          <t>BATSHOUN PROPERTIES LLC</t>
        </is>
      </c>
      <c r="E181" s="92" t="inlineStr">
        <is>
          <t>20 W 11TH ST STE 100</t>
        </is>
      </c>
      <c r="F181" s="92" t="inlineStr">
        <is>
          <t>COVINGTON</t>
        </is>
      </c>
      <c r="G181" s="92" t="inlineStr">
        <is>
          <t>KY</t>
        </is>
      </c>
      <c r="H181" s="92" t="inlineStr">
        <is>
          <t>RETAIL OFFICE/WHSE</t>
        </is>
      </c>
      <c r="I181" s="93" t="n">
        <v>86802</v>
      </c>
      <c r="J181" s="94">
        <f>I181/43560</f>
        <v/>
      </c>
      <c r="K181" s="93" t="n">
        <v>1209.2</v>
      </c>
      <c r="L181" s="95">
        <f>I181/(K181^2)</f>
        <v/>
      </c>
      <c r="M181" s="92" t="inlineStr">
        <is>
          <t>Poor &lt;10k/&gt;60k</t>
        </is>
      </c>
      <c r="N181" s="92" t="inlineStr">
        <is>
          <t>B</t>
        </is>
      </c>
      <c r="O181" s="92" t="inlineStr">
        <is>
          <t>Compact &gt;=.055</t>
        </is>
      </c>
      <c r="P181" s="92" t="inlineStr">
        <is>
          <t>Low</t>
        </is>
      </c>
      <c r="Q181" s="92" t="inlineStr">
        <is>
          <t>Owner-occupied</t>
        </is>
      </c>
      <c r="R181" s="92" t="inlineStr">
        <is>
          <t>Passive vehicle</t>
        </is>
      </c>
      <c r="S181" s="92" t="n">
        <v>2</v>
      </c>
      <c r="T181" s="96">
        <f>INDEX('Scoring Method'!$B$6:$B$9,MATCH(M181,'Scoring Method'!$A$6:$A$9,0))+INDEX('Scoring Method'!$B$12:$B$16,MATCH(N181,'Scoring Method'!$A$12:$A$16,0))+INDEX('Scoring Method'!$B$19:$B$22,MATCH(O181,'Scoring Method'!$A$19:$A$22,0))+INDEX('Scoring Method'!$B$25:$B$27,MATCH(P181,'Scoring Method'!$A$25:$A$27,0))</f>
        <v/>
      </c>
      <c r="U181" s="96">
        <f>(INDEX('Scoring Method'!$B$30:$B$33,MATCH(Q181,'Scoring Method'!$A$30:$A$33,0))+INDEX('Scoring Method'!$B$36:$B$42,MATCH(R181,'Scoring Method'!$A$36:$A$42,0))+INDEX('Scoring Method'!$B$45:$B$47,MATCH(IF(S181=1,"1",IF(S181=2,"2","3+")),'Scoring Method'!$A$45:$A$47,0)))/90*100</f>
        <v/>
      </c>
      <c r="V181" s="96">
        <f>T181*U181/100</f>
        <v/>
      </c>
      <c r="W181" s="93" t="n">
        <v>99000</v>
      </c>
      <c r="X181" s="92" t="inlineStr">
        <is>
          <t>X (minimal hazard)</t>
        </is>
      </c>
      <c r="Y181" s="93" t="n">
        <v>17025</v>
      </c>
      <c r="Z181" s="97" t="n"/>
      <c r="AA181" s="98">
        <f>MAX(0,(Y181-5000)/300)</f>
        <v/>
      </c>
      <c r="AB181" s="92" t="n"/>
      <c r="AC181" s="92" t="n"/>
      <c r="AD181" s="92" t="n"/>
      <c r="AE181" s="92" t="inlineStr">
        <is>
          <t>Far oversize &gt;12k</t>
        </is>
      </c>
      <c r="AF181" s="96">
        <f>INDEX('Scoring Method'!$B$63:$B$71,MATCH(AE181,'Scoring Method'!$A$63:$A$71,0))+INDEX('Scoring Method'!$B$75:$B$79,MATCH("Ample &gt;=15k",'Scoring Method'!$A$75:$A$79,0))+INDEX('Scoring Method'!$B$343:$B$347,MATCH(X181,'Scoring Method'!$A$343:$A$347,0))+INDEX('Scoring Method'!$B$25:$B$27,MATCH(P181,'Scoring Method'!$A$25:$A$27,0))</f>
        <v/>
      </c>
      <c r="AG181" s="96">
        <f>AF181*U181/100</f>
        <v/>
      </c>
      <c r="AH181" s="92" t="inlineStr">
        <is>
          <t>LINK-GIS + LoopNet (2026-08-02)</t>
        </is>
      </c>
      <c r="AI181" s="99" t="n">
        <v>39.07936</v>
      </c>
      <c r="AJ181" s="99" t="n">
        <v>-84.51017</v>
      </c>
      <c r="AK181" s="94" t="n">
        <v>0.54</v>
      </c>
      <c r="AL181" s="94" t="n">
        <v>0.8</v>
      </c>
      <c r="AM181" s="94" t="n">
        <v>1.53</v>
      </c>
      <c r="AN181" s="94" t="n">
        <v>0.32</v>
      </c>
      <c r="AO181" s="92" t="inlineStr">
        <is>
          <t>Core &lt;=0.35mi</t>
        </is>
      </c>
      <c r="AP181" s="92" t="inlineStr">
        <is>
          <t>Open span</t>
        </is>
      </c>
      <c r="AQ181" s="92" t="inlineStr">
        <is>
          <t>Ample &gt;=15k</t>
        </is>
      </c>
      <c r="AR181" s="100" t="n"/>
      <c r="AS181" s="96">
        <f>ROUND(INDEX('Scoring Method'!$B$63:$B$70,MATCH(AE181,'Scoring Method'!$A$63:$A$70,0))*0.625+INDEX('Scoring Method'!$B$105:$B$113,MATCH(AP181,'Scoring Method'!$A$105:$A$113,0))+INDEX('Scoring Method'!$B$74:$B$78,MATCH(AQ181,'Scoring Method'!$A$74:$A$78,0))*0.6667+INDEX('Scoring Method'!$B$96:$B$101,MATCH(AO181,'Scoring Method'!$A$96:$A$101,0))+INDEX('Scoring Method'!$B$343:$B$347,MATCH(X181,'Scoring Method'!$A$343:$A$347,0))*0.3333+INDEX('Scoring Method'!$B$25:$B$27,MATCH(P181,'Scoring Method'!$A$25:$A$27,0))*0.3333,1)</f>
        <v/>
      </c>
      <c r="AT181" s="96">
        <f>AS181*U181/100</f>
        <v/>
      </c>
      <c r="AU181" s="92" t="inlineStr">
        <is>
          <t>Central Business District</t>
        </is>
      </c>
      <c r="AV181" s="92" t="n">
        <v>48</v>
      </c>
      <c r="AW181" s="101" t="inlineStr">
        <is>
          <t>ESTIMATED</t>
        </is>
      </c>
      <c r="AX181" s="92" t="inlineStr">
        <is>
          <t>Mixed 45-59</t>
        </is>
      </c>
      <c r="AY181" s="96">
        <f>ROUND(INDEX('Scoring Method'!$B$132:$B$140,MATCH(AE181,'Scoring Method'!$A$132:$A$140,0))+INDEX('Scoring Method'!$B$144:$B$152,MATCH(AP181,'Scoring Method'!$A$144:$A$152,0))+INDEX('Scoring Method'!$B$156:$B$160,MATCH(AQ181,'Scoring Method'!$A$156:$A$160,0))+INDEX('Scoring Method'!$B$164:$B$169,MATCH(AO181,'Scoring Method'!$A$164:$A$169,0))+INDEX('Scoring Method'!$B$173:$B$178,MATCH(AX181,'Scoring Method'!$A$173:$A$178,0))+INDEX('Scoring Method'!$B$349:$B$353,MATCH(X181,'Scoring Method'!$A$349:$A$353,0))+INDEX('Scoring Method'!$B$188:$B$190,MATCH(P181,'Scoring Method'!$A$188:$A$190,0)),1)</f>
        <v/>
      </c>
      <c r="AZ181" s="96">
        <f>AY181*U181/100</f>
        <v/>
      </c>
      <c r="BA181" s="92" t="inlineStr">
        <is>
          <t>Owner-occupied operator</t>
        </is>
      </c>
      <c r="BB181" s="94" t="n">
        <v>0.8</v>
      </c>
      <c r="BC181" s="103" t="inlineStr">
        <is>
          <t>Oversized &gt;1.25 AC</t>
        </is>
      </c>
      <c r="BD181" s="94" t="n">
        <v>0.65</v>
      </c>
      <c r="BE181" s="96">
        <f>ROUND(INDEX('Scoring Method'!$B$268:$B$276,MATCH(AE181,'Scoring Method'!$A$268:$A$276,0))+INDEX('Scoring Method'!$B$280:$B$288,MATCH(AP181,'Scoring Method'!$A$280:$A$288,0))+INDEX('Scoring Method'!$B$292:$B$296,MATCH(AQ181,'Scoring Method'!$A$292:$A$296,0))+INDEX('Scoring Method'!$B$300:$B$305,MATCH(AO181,'Scoring Method'!$A$300:$A$305,0))+INDEX('Scoring Method'!$B$309:$B$314,MATCH(AX181,'Scoring Method'!$A$309:$A$314,0))+INDEX('Scoring Method'!$B$337:$B$341,MATCH(X181,'Scoring Method'!$A$337:$A$341,0))+INDEX('Scoring Method'!$B$324:$B$326,MATCH(P181,'Scoring Method'!$A$324:$A$326,0)),1)</f>
        <v/>
      </c>
      <c r="BF181" s="96">
        <f>ROUND(INDEX('Scoring Method'!$B$268:$B$276,MATCH(AE181,'Scoring Method'!$A$268:$A$276,0))*BB181*BD181+INDEX('Scoring Method'!$B$280:$B$288,MATCH(AP181,'Scoring Method'!$A$280:$A$288,0))*BM181*BB181*BD181+INDEX('Scoring Method'!$B$292:$B$296,MATCH(AQ181,'Scoring Method'!$A$292:$A$296,0))*BD181+INDEX('Scoring Method'!$B$300:$B$305,MATCH(AO181,'Scoring Method'!$A$300:$A$305,0))*BM181*BB181+INDEX('Scoring Method'!$B$309:$B$314,MATCH(AX181,'Scoring Method'!$A$309:$A$314,0))+INDEX('Scoring Method'!$B$337:$B$341,MATCH(X181,'Scoring Method'!$A$337:$A$341,0))+INDEX('Scoring Method'!$B$324:$B$326,MATCH(P181,'Scoring Method'!$A$324:$A$326,0)),1)</f>
        <v/>
      </c>
      <c r="BG181" s="102" t="inlineStr">
        <is>
          <t>Over (~$90,750/mo)</t>
        </is>
      </c>
      <c r="BH181" s="61" t="inlineStr">
        <is>
          <t>LI</t>
        </is>
      </c>
      <c r="BI181" s="61" t="inlineStr">
        <is>
          <t>Limited Industrial</t>
        </is>
      </c>
      <c r="BJ181" s="61" t="inlineStr"/>
      <c r="BK181" s="61" t="inlineStr"/>
      <c r="BL181" s="61" t="inlineStr">
        <is>
          <t>Bar prohibited, alt-path</t>
        </is>
      </c>
      <c r="BM181" s="61">
        <f>INDEX('Scoring Method'!$B$358:$B$363,MATCH(BL181,'Scoring Method'!$A$358:$A$363,0))</f>
        <v/>
      </c>
    </row>
    <row r="182" ht="15" customHeight="1" s="62">
      <c r="A182" s="92" t="n">
        <v>181</v>
      </c>
      <c r="B182" s="92" t="inlineStr">
        <is>
          <t>054-23-11-024.00</t>
        </is>
      </c>
      <c r="C182" s="92" t="inlineStr">
        <is>
          <t>424 SCOTT ST</t>
        </is>
      </c>
      <c r="D182" s="92" t="inlineStr">
        <is>
          <t>FRUIT STORAGE/ICE HOUSE LLC</t>
        </is>
      </c>
      <c r="E182" s="92" t="inlineStr">
        <is>
          <t>6433 GRAND VISTA AVE</t>
        </is>
      </c>
      <c r="F182" s="92" t="inlineStr">
        <is>
          <t>CINCINNATI</t>
        </is>
      </c>
      <c r="G182" s="92" t="inlineStr">
        <is>
          <t>OH</t>
        </is>
      </c>
      <c r="H182" s="92" t="inlineStr">
        <is>
          <t>OFFICE BLDG 1 OR 2 STORY</t>
        </is>
      </c>
      <c r="I182" s="93" t="n">
        <v>17056</v>
      </c>
      <c r="J182" s="94">
        <f>I182/43560</f>
        <v/>
      </c>
      <c r="K182" s="93" t="n">
        <v>572</v>
      </c>
      <c r="L182" s="95">
        <f>I182/(K182^2)</f>
        <v/>
      </c>
      <c r="M182" s="92" t="inlineStr">
        <is>
          <t>Near 14-18k/32-45k</t>
        </is>
      </c>
      <c r="N182" s="92" t="inlineStr">
        <is>
          <t>E</t>
        </is>
      </c>
      <c r="O182" s="92" t="inlineStr">
        <is>
          <t>Regular .045-.055</t>
        </is>
      </c>
      <c r="P182" s="92" t="inlineStr">
        <is>
          <t>Low</t>
        </is>
      </c>
      <c r="Q182" s="92" t="inlineStr">
        <is>
          <t>Out-of-state</t>
        </is>
      </c>
      <c r="R182" s="92" t="inlineStr">
        <is>
          <t>Operating entity</t>
        </is>
      </c>
      <c r="S182" s="92" t="n">
        <v>1</v>
      </c>
      <c r="T182" s="96">
        <f>INDEX('Scoring Method'!$B$6:$B$9,MATCH(M182,'Scoring Method'!$A$6:$A$9,0))+INDEX('Scoring Method'!$B$12:$B$16,MATCH(N182,'Scoring Method'!$A$12:$A$16,0))+INDEX('Scoring Method'!$B$19:$B$22,MATCH(O182,'Scoring Method'!$A$19:$A$22,0))+INDEX('Scoring Method'!$B$25:$B$27,MATCH(P182,'Scoring Method'!$A$25:$A$27,0))</f>
        <v/>
      </c>
      <c r="U182" s="96">
        <f>(INDEX('Scoring Method'!$B$30:$B$33,MATCH(Q182,'Scoring Method'!$A$30:$A$33,0))+INDEX('Scoring Method'!$B$36:$B$42,MATCH(R182,'Scoring Method'!$A$36:$A$42,0))+INDEX('Scoring Method'!$B$45:$B$47,MATCH(IF(S182=1,"1",IF(S182=2,"2","3+")),'Scoring Method'!$A$45:$A$47,0)))/90*100</f>
        <v/>
      </c>
      <c r="V182" s="96">
        <f>T182*U182/100</f>
        <v/>
      </c>
      <c r="W182" s="93" t="n">
        <v>22000</v>
      </c>
      <c r="X182" s="92" t="inlineStr">
        <is>
          <t>X (minimal hazard)</t>
        </is>
      </c>
      <c r="Y182" s="93" t="n">
        <v>7850</v>
      </c>
      <c r="Z182" s="97" t="n"/>
      <c r="AA182" s="98">
        <f>MAX(0,(Y182-5000)/300)</f>
        <v/>
      </c>
      <c r="AB182" s="92" t="n"/>
      <c r="AC182" s="92" t="n"/>
      <c r="AD182" s="92" t="n"/>
      <c r="AE182" s="92" t="inlineStr">
        <is>
          <t>Far oversize &gt;12k</t>
        </is>
      </c>
      <c r="AF182" s="96">
        <f>INDEX('Scoring Method'!$B$63:$B$71,MATCH(AE182,'Scoring Method'!$A$63:$A$71,0))+INDEX('Scoring Method'!$B$75:$B$79,MATCH("Adequate 5-8k",'Scoring Method'!$A$75:$A$79,0))+INDEX('Scoring Method'!$B$343:$B$347,MATCH(X182,'Scoring Method'!$A$343:$A$347,0))+INDEX('Scoring Method'!$B$25:$B$27,MATCH(P182,'Scoring Method'!$A$25:$A$27,0))</f>
        <v/>
      </c>
      <c r="AG182" s="96">
        <f>AF182*U182/100</f>
        <v/>
      </c>
      <c r="AH182" s="92" t="inlineStr">
        <is>
          <t>LINK-GIS + LoopNet (2026-08-02)</t>
        </is>
      </c>
      <c r="AI182" s="99" t="n">
        <v>39.08654</v>
      </c>
      <c r="AJ182" s="99" t="n">
        <v>-84.50877</v>
      </c>
      <c r="AK182" s="94" t="n">
        <v>0.51</v>
      </c>
      <c r="AL182" s="94" t="n">
        <v>0.3</v>
      </c>
      <c r="AM182" s="94" t="n">
        <v>1.05</v>
      </c>
      <c r="AN182" s="94" t="n">
        <v>0.22</v>
      </c>
      <c r="AO182" s="92" t="inlineStr">
        <is>
          <t>Core &lt;=0.35mi</t>
        </is>
      </c>
      <c r="AP182" s="92" t="inlineStr">
        <is>
          <t>Office/institutional</t>
        </is>
      </c>
      <c r="AQ182" s="92" t="inlineStr">
        <is>
          <t>Adequate 5-8k</t>
        </is>
      </c>
      <c r="AR182" s="100" t="n"/>
      <c r="AS182" s="96">
        <f>ROUND(INDEX('Scoring Method'!$B$63:$B$70,MATCH(AE182,'Scoring Method'!$A$63:$A$70,0))*0.625+INDEX('Scoring Method'!$B$105:$B$113,MATCH(AP182,'Scoring Method'!$A$105:$A$113,0))+INDEX('Scoring Method'!$B$74:$B$78,MATCH(AQ182,'Scoring Method'!$A$74:$A$78,0))*0.6667+INDEX('Scoring Method'!$B$96:$B$101,MATCH(AO182,'Scoring Method'!$A$96:$A$101,0))+INDEX('Scoring Method'!$B$343:$B$347,MATCH(X182,'Scoring Method'!$A$343:$A$347,0))*0.3333+INDEX('Scoring Method'!$B$25:$B$27,MATCH(P182,'Scoring Method'!$A$25:$A$27,0))*0.3333,1)</f>
        <v/>
      </c>
      <c r="AT182" s="96">
        <f>AS182*U182/100</f>
        <v/>
      </c>
      <c r="AU182" s="92" t="inlineStr">
        <is>
          <t>Central Business District</t>
        </is>
      </c>
      <c r="AV182" s="92" t="n">
        <v>48</v>
      </c>
      <c r="AW182" s="101" t="inlineStr">
        <is>
          <t>ESTIMATED</t>
        </is>
      </c>
      <c r="AX182" s="92" t="inlineStr">
        <is>
          <t>Mixed 45-59</t>
        </is>
      </c>
      <c r="AY182" s="96">
        <f>ROUND(INDEX('Scoring Method'!$B$132:$B$140,MATCH(AE182,'Scoring Method'!$A$132:$A$140,0))+INDEX('Scoring Method'!$B$144:$B$152,MATCH(AP182,'Scoring Method'!$A$144:$A$152,0))+INDEX('Scoring Method'!$B$156:$B$160,MATCH(AQ182,'Scoring Method'!$A$156:$A$160,0))+INDEX('Scoring Method'!$B$164:$B$169,MATCH(AO182,'Scoring Method'!$A$164:$A$169,0))+INDEX('Scoring Method'!$B$173:$B$178,MATCH(AX182,'Scoring Method'!$A$173:$A$178,0))+INDEX('Scoring Method'!$B$349:$B$353,MATCH(X182,'Scoring Method'!$A$349:$A$353,0))+INDEX('Scoring Method'!$B$188:$B$190,MATCH(P182,'Scoring Method'!$A$188:$A$190,0)),1)</f>
        <v/>
      </c>
      <c r="AZ182" s="96">
        <f>AY182*U182/100</f>
        <v/>
      </c>
      <c r="BA182" s="92" t="inlineStr">
        <is>
          <t>No chain signal</t>
        </is>
      </c>
      <c r="BB182" s="94" t="n">
        <v>1</v>
      </c>
      <c r="BC182" s="92" t="inlineStr">
        <is>
          <t>Right-sized 0.35-0.75 AC</t>
        </is>
      </c>
      <c r="BD182" s="94" t="n">
        <v>1</v>
      </c>
      <c r="BE182" s="96">
        <f>ROUND(INDEX('Scoring Method'!$B$268:$B$276,MATCH(AE182,'Scoring Method'!$A$268:$A$276,0))+INDEX('Scoring Method'!$B$280:$B$288,MATCH(AP182,'Scoring Method'!$A$280:$A$288,0))+INDEX('Scoring Method'!$B$292:$B$296,MATCH(AQ182,'Scoring Method'!$A$292:$A$296,0))+INDEX('Scoring Method'!$B$300:$B$305,MATCH(AO182,'Scoring Method'!$A$300:$A$305,0))+INDEX('Scoring Method'!$B$309:$B$314,MATCH(AX182,'Scoring Method'!$A$309:$A$314,0))+INDEX('Scoring Method'!$B$337:$B$341,MATCH(X182,'Scoring Method'!$A$337:$A$341,0))+INDEX('Scoring Method'!$B$324:$B$326,MATCH(P182,'Scoring Method'!$A$324:$A$326,0)),1)</f>
        <v/>
      </c>
      <c r="BF182" s="96">
        <f>ROUND(INDEX('Scoring Method'!$B$268:$B$276,MATCH(AE182,'Scoring Method'!$A$268:$A$276,0))*BB182*BD182+INDEX('Scoring Method'!$B$280:$B$288,MATCH(AP182,'Scoring Method'!$A$280:$A$288,0))*BM182*BB182*BD182+INDEX('Scoring Method'!$B$292:$B$296,MATCH(AQ182,'Scoring Method'!$A$292:$A$296,0))*BD182+INDEX('Scoring Method'!$B$300:$B$305,MATCH(AO182,'Scoring Method'!$A$300:$A$305,0))*BM182*BB182+INDEX('Scoring Method'!$B$309:$B$314,MATCH(AX182,'Scoring Method'!$A$309:$A$314,0))+INDEX('Scoring Method'!$B$337:$B$341,MATCH(X182,'Scoring Method'!$A$337:$A$341,0))+INDEX('Scoring Method'!$B$324:$B$326,MATCH(P182,'Scoring Method'!$A$324:$A$326,0)),1)</f>
        <v/>
      </c>
      <c r="BG182" s="92" t="inlineStr">
        <is>
          <t>Over (~$20,167/mo)</t>
        </is>
      </c>
      <c r="BH182" s="61" t="inlineStr">
        <is>
          <t>DTC (HP)</t>
        </is>
      </c>
      <c r="BI182" s="61" t="inlineStr">
        <is>
          <t>Downtown Core</t>
        </is>
      </c>
      <c r="BJ182" s="61" t="inlineStr">
        <is>
          <t>HP</t>
        </is>
      </c>
      <c r="BK182" s="61" t="inlineStr"/>
      <c r="BL182" s="61" t="inlineStr">
        <is>
          <t>Bar permitted</t>
        </is>
      </c>
      <c r="BM182" s="61">
        <f>INDEX('Scoring Method'!$B$358:$B$363,MATCH(BL182,'Scoring Method'!$A$358:$A$363,0))</f>
        <v/>
      </c>
    </row>
    <row r="183" ht="15" customHeight="1" s="62">
      <c r="A183" s="92" t="n">
        <v>182</v>
      </c>
      <c r="B183" s="92" t="inlineStr">
        <is>
          <t>040-34-05-003.00</t>
        </is>
      </c>
      <c r="C183" s="92" t="inlineStr">
        <is>
          <t>309 PHILADELPHIA ST</t>
        </is>
      </c>
      <c r="D183" s="92" t="inlineStr">
        <is>
          <t>WESTSIDE DEVELOPMENT INC</t>
        </is>
      </c>
      <c r="E183" s="92" t="inlineStr">
        <is>
          <t>PO BOX 122110</t>
        </is>
      </c>
      <c r="F183" s="92" t="inlineStr">
        <is>
          <t>COVINGTON</t>
        </is>
      </c>
      <c r="G183" s="92" t="inlineStr">
        <is>
          <t>KY</t>
        </is>
      </c>
      <c r="H183" s="92" t="inlineStr">
        <is>
          <t>RESTAURANT CAFE/BAR</t>
        </is>
      </c>
      <c r="I183" s="93" t="n">
        <v>32009</v>
      </c>
      <c r="J183" s="94">
        <f>I183/43560</f>
        <v/>
      </c>
      <c r="K183" s="93" t="n">
        <v>1101.4</v>
      </c>
      <c r="L183" s="95">
        <f>I183/(K183^2)</f>
        <v/>
      </c>
      <c r="M183" s="92" t="inlineStr">
        <is>
          <t>Near 14-18k/32-45k</t>
        </is>
      </c>
      <c r="N183" s="92" t="inlineStr">
        <is>
          <t>C</t>
        </is>
      </c>
      <c r="O183" s="92" t="inlineStr">
        <is>
          <t>Irregular &lt;.035</t>
        </is>
      </c>
      <c r="P183" s="92" t="inlineStr">
        <is>
          <t>Low</t>
        </is>
      </c>
      <c r="Q183" s="92" t="inlineStr">
        <is>
          <t>Local absentee</t>
        </is>
      </c>
      <c r="R183" s="92" t="inlineStr">
        <is>
          <t>Passive vehicle</t>
        </is>
      </c>
      <c r="S183" s="92" t="n">
        <v>1</v>
      </c>
      <c r="T183" s="96">
        <f>INDEX('Scoring Method'!$B$6:$B$9,MATCH(M183,'Scoring Method'!$A$6:$A$9,0))+INDEX('Scoring Method'!$B$12:$B$16,MATCH(N183,'Scoring Method'!$A$12:$A$16,0))+INDEX('Scoring Method'!$B$19:$B$22,MATCH(O183,'Scoring Method'!$A$19:$A$22,0))+INDEX('Scoring Method'!$B$25:$B$27,MATCH(P183,'Scoring Method'!$A$25:$A$27,0))</f>
        <v/>
      </c>
      <c r="U183" s="96">
        <f>(INDEX('Scoring Method'!$B$30:$B$33,MATCH(Q183,'Scoring Method'!$A$30:$A$33,0))+INDEX('Scoring Method'!$B$36:$B$42,MATCH(R183,'Scoring Method'!$A$36:$A$42,0))+INDEX('Scoring Method'!$B$45:$B$47,MATCH(IF(S183=1,"1",IF(S183=2,"2","3+")),'Scoring Method'!$A$45:$A$47,0)))/90*100</f>
        <v/>
      </c>
      <c r="V183" s="96">
        <f>T183*U183/100</f>
        <v/>
      </c>
      <c r="W183" s="93" t="n">
        <v>6176</v>
      </c>
      <c r="X183" s="92" t="inlineStr">
        <is>
          <t>X (levee-protected)</t>
        </is>
      </c>
      <c r="Y183" s="93" t="n">
        <v>20475</v>
      </c>
      <c r="Z183" s="97">
        <f>W183/I183</f>
        <v/>
      </c>
      <c r="AA183" s="98">
        <f>MAX(0,(Y183-5000)/300)</f>
        <v/>
      </c>
      <c r="AB183" s="92" t="n"/>
      <c r="AC183" s="92" t="n">
        <v>0.73</v>
      </c>
      <c r="AD183" s="92" t="inlineStr">
        <is>
          <t>ok</t>
        </is>
      </c>
      <c r="AE183" s="92" t="inlineStr">
        <is>
          <t>Oversize 6-12k</t>
        </is>
      </c>
      <c r="AF183" s="96">
        <f>INDEX('Scoring Method'!$B$63:$B$71,MATCH(AE183,'Scoring Method'!$A$63:$A$71,0))+INDEX('Scoring Method'!$B$75:$B$79,MATCH("Ample &gt;=15k",'Scoring Method'!$A$75:$A$79,0))+INDEX('Scoring Method'!$B$343:$B$347,MATCH(X183,'Scoring Method'!$A$343:$A$347,0))+INDEX('Scoring Method'!$B$25:$B$27,MATCH(P183,'Scoring Method'!$A$25:$A$27,0))</f>
        <v/>
      </c>
      <c r="AG183" s="96">
        <f>AF183*U183/100</f>
        <v/>
      </c>
      <c r="AH183" s="92" t="inlineStr">
        <is>
          <t>LINK-GIS + LoopNet</t>
        </is>
      </c>
      <c r="AI183" s="99" t="n">
        <v>39.08732</v>
      </c>
      <c r="AJ183" s="99" t="n">
        <v>-84.52041</v>
      </c>
      <c r="AK183" s="94" t="n">
        <v>0.24</v>
      </c>
      <c r="AL183" s="94" t="n">
        <v>0.6899999999999999</v>
      </c>
      <c r="AM183" s="94" t="n">
        <v>1.07</v>
      </c>
      <c r="AN183" s="94" t="n">
        <v>0.24</v>
      </c>
      <c r="AO183" s="92" t="inlineStr">
        <is>
          <t>Core &lt;=0.35mi</t>
        </is>
      </c>
      <c r="AP183" s="92" t="inlineStr">
        <is>
          <t>Built-out kitchen</t>
        </is>
      </c>
      <c r="AQ183" s="92" t="inlineStr">
        <is>
          <t>Ample &gt;=15k</t>
        </is>
      </c>
      <c r="AR183" s="100" t="n"/>
      <c r="AS183" s="96">
        <f>ROUND(INDEX('Scoring Method'!$B$63:$B$70,MATCH(AE183,'Scoring Method'!$A$63:$A$70,0))*0.625+INDEX('Scoring Method'!$B$105:$B$113,MATCH(AP183,'Scoring Method'!$A$105:$A$113,0))+INDEX('Scoring Method'!$B$74:$B$78,MATCH(AQ183,'Scoring Method'!$A$74:$A$78,0))*0.6667+INDEX('Scoring Method'!$B$96:$B$101,MATCH(AO183,'Scoring Method'!$A$96:$A$101,0))+INDEX('Scoring Method'!$B$343:$B$347,MATCH(X183,'Scoring Method'!$A$343:$A$347,0))*0.3333+INDEX('Scoring Method'!$B$25:$B$27,MATCH(P183,'Scoring Method'!$A$25:$A$27,0))*0.3333,1)</f>
        <v/>
      </c>
      <c r="AT183" s="96">
        <f>AS183*U183/100</f>
        <v/>
      </c>
      <c r="AU183" s="92" t="inlineStr">
        <is>
          <t>Botany Hills / Riverfront West</t>
        </is>
      </c>
      <c r="AV183" s="92" t="n">
        <v>45</v>
      </c>
      <c r="AW183" s="101" t="inlineStr">
        <is>
          <t>ESTIMATED</t>
        </is>
      </c>
      <c r="AX183" s="92" t="inlineStr">
        <is>
          <t>Mixed 45-59</t>
        </is>
      </c>
      <c r="AY183" s="96">
        <f>ROUND(INDEX('Scoring Method'!$B$132:$B$140,MATCH(AE183,'Scoring Method'!$A$132:$A$140,0))+INDEX('Scoring Method'!$B$144:$B$152,MATCH(AP183,'Scoring Method'!$A$144:$A$152,0))+INDEX('Scoring Method'!$B$156:$B$160,MATCH(AQ183,'Scoring Method'!$A$156:$A$160,0))+INDEX('Scoring Method'!$B$164:$B$169,MATCH(AO183,'Scoring Method'!$A$164:$A$169,0))+INDEX('Scoring Method'!$B$173:$B$178,MATCH(AX183,'Scoring Method'!$A$173:$A$178,0))+INDEX('Scoring Method'!$B$349:$B$353,MATCH(X183,'Scoring Method'!$A$349:$A$353,0))+INDEX('Scoring Method'!$B$188:$B$190,MATCH(P183,'Scoring Method'!$A$188:$A$190,0)),1)</f>
        <v/>
      </c>
      <c r="AZ183" s="96">
        <f>AY183*U183/100</f>
        <v/>
      </c>
      <c r="BA183" s="92" t="inlineStr">
        <is>
          <t>No chain signal</t>
        </is>
      </c>
      <c r="BB183" s="94" t="n">
        <v>1</v>
      </c>
      <c r="BC183" s="92" t="inlineStr">
        <is>
          <t>Right-sized 0.35-0.75 AC</t>
        </is>
      </c>
      <c r="BD183" s="94" t="n">
        <v>1</v>
      </c>
      <c r="BE183" s="96">
        <f>ROUND(INDEX('Scoring Method'!$B$268:$B$276,MATCH(AE183,'Scoring Method'!$A$268:$A$276,0))+INDEX('Scoring Method'!$B$280:$B$288,MATCH(AP183,'Scoring Method'!$A$280:$A$288,0))+INDEX('Scoring Method'!$B$292:$B$296,MATCH(AQ183,'Scoring Method'!$A$292:$A$296,0))+INDEX('Scoring Method'!$B$300:$B$305,MATCH(AO183,'Scoring Method'!$A$300:$A$305,0))+INDEX('Scoring Method'!$B$309:$B$314,MATCH(AX183,'Scoring Method'!$A$309:$A$314,0))+INDEX('Scoring Method'!$B$337:$B$341,MATCH(X183,'Scoring Method'!$A$337:$A$341,0))+INDEX('Scoring Method'!$B$324:$B$326,MATCH(P183,'Scoring Method'!$A$324:$A$326,0)),1)</f>
        <v/>
      </c>
      <c r="BF183" s="96">
        <f>ROUND(INDEX('Scoring Method'!$B$268:$B$276,MATCH(AE183,'Scoring Method'!$A$268:$A$276,0))*BB183*BD183+INDEX('Scoring Method'!$B$280:$B$288,MATCH(AP183,'Scoring Method'!$A$280:$A$288,0))*BM183*BB183*BD183+INDEX('Scoring Method'!$B$292:$B$296,MATCH(AQ183,'Scoring Method'!$A$292:$A$296,0))*BD183+INDEX('Scoring Method'!$B$300:$B$305,MATCH(AO183,'Scoring Method'!$A$300:$A$305,0))*BM183*BB183+INDEX('Scoring Method'!$B$309:$B$314,MATCH(AX183,'Scoring Method'!$A$309:$A$314,0))+INDEX('Scoring Method'!$B$337:$B$341,MATCH(X183,'Scoring Method'!$A$337:$A$341,0))+INDEX('Scoring Method'!$B$324:$B$326,MATCH(P183,'Scoring Method'!$A$324:$A$326,0)),1)</f>
        <v/>
      </c>
      <c r="BG183" s="92" t="inlineStr">
        <is>
          <t>Fits (~$5,661/mo)</t>
        </is>
      </c>
      <c r="BH183" s="61" t="inlineStr">
        <is>
          <t>AUC</t>
        </is>
      </c>
      <c r="BI183" s="61" t="inlineStr">
        <is>
          <t>Auto-Urban Commercial</t>
        </is>
      </c>
      <c r="BJ183" s="61" t="inlineStr"/>
      <c r="BK183" s="61" t="inlineStr"/>
      <c r="BL183" s="61" t="inlineStr">
        <is>
          <t>Bar permitted</t>
        </is>
      </c>
      <c r="BM183" s="61">
        <f>INDEX('Scoring Method'!$B$358:$B$363,MATCH(BL183,'Scoring Method'!$A$358:$A$363,0))</f>
        <v/>
      </c>
    </row>
    <row r="184" ht="15" customHeight="1" s="62">
      <c r="A184" s="92" t="n">
        <v>183</v>
      </c>
      <c r="B184" s="92" t="inlineStr">
        <is>
          <t>059-40-00-389.00</t>
        </is>
      </c>
      <c r="C184" s="92" t="inlineStr">
        <is>
          <t>5980 TAYLOR MILL RD</t>
        </is>
      </c>
      <c r="D184" s="92" t="inlineStr">
        <is>
          <t>LUHRMAN LAND HOLDINGS LLC</t>
        </is>
      </c>
      <c r="E184" s="92" t="inlineStr">
        <is>
          <t>5974 TAYLOR MILL RD</t>
        </is>
      </c>
      <c r="F184" s="92" t="inlineStr">
        <is>
          <t>COVINGTON</t>
        </is>
      </c>
      <c r="G184" s="92" t="inlineStr">
        <is>
          <t>KY</t>
        </is>
      </c>
      <c r="H184" s="92" t="inlineStr">
        <is>
          <t>OTHER RETAIL</t>
        </is>
      </c>
      <c r="I184" s="93" t="n">
        <v>38556</v>
      </c>
      <c r="J184" s="94">
        <f>I184/43560</f>
        <v/>
      </c>
      <c r="K184" s="93" t="n">
        <v>1143.2</v>
      </c>
      <c r="L184" s="95">
        <f>I184/(K184^2)</f>
        <v/>
      </c>
      <c r="M184" s="92" t="inlineStr">
        <is>
          <t>Near 14-18k/32-45k</t>
        </is>
      </c>
      <c r="N184" s="92" t="inlineStr">
        <is>
          <t>C</t>
        </is>
      </c>
      <c r="O184" s="92" t="inlineStr">
        <is>
          <t>Irregular &lt;.035</t>
        </is>
      </c>
      <c r="P184" s="92" t="inlineStr">
        <is>
          <t>Low</t>
        </is>
      </c>
      <c r="Q184" s="92" t="inlineStr">
        <is>
          <t>Local absentee</t>
        </is>
      </c>
      <c r="R184" s="92" t="inlineStr">
        <is>
          <t>Passive vehicle</t>
        </is>
      </c>
      <c r="S184" s="92" t="n">
        <v>1</v>
      </c>
      <c r="T184" s="96">
        <f>INDEX('Scoring Method'!$B$6:$B$9,MATCH(M184,'Scoring Method'!$A$6:$A$9,0))+INDEX('Scoring Method'!$B$12:$B$16,MATCH(N184,'Scoring Method'!$A$12:$A$16,0))+INDEX('Scoring Method'!$B$19:$B$22,MATCH(O184,'Scoring Method'!$A$19:$A$22,0))+INDEX('Scoring Method'!$B$25:$B$27,MATCH(P184,'Scoring Method'!$A$25:$A$27,0))</f>
        <v/>
      </c>
      <c r="U184" s="96">
        <f>(INDEX('Scoring Method'!$B$30:$B$33,MATCH(Q184,'Scoring Method'!$A$30:$A$33,0))+INDEX('Scoring Method'!$B$36:$B$42,MATCH(R184,'Scoring Method'!$A$36:$A$42,0))+INDEX('Scoring Method'!$B$45:$B$47,MATCH(IF(S184=1,"1",IF(S184=2,"2","3+")),'Scoring Method'!$A$45:$A$47,0)))/90*100</f>
        <v/>
      </c>
      <c r="V184" s="96">
        <f>T184*U184/100</f>
        <v/>
      </c>
      <c r="W184" s="93" t="n">
        <v>4742</v>
      </c>
      <c r="X184" s="92" t="inlineStr">
        <is>
          <t>X (minimal hazard)</t>
        </is>
      </c>
      <c r="Y184" s="93" t="n">
        <v>32750</v>
      </c>
      <c r="Z184" s="97" t="n"/>
      <c r="AA184" s="98">
        <f>MAX(0,(Y184-5000)/300)</f>
        <v/>
      </c>
      <c r="AB184" s="92" t="n"/>
      <c r="AC184" s="92" t="n"/>
      <c r="AD184" s="92" t="n"/>
      <c r="AE184" s="92" t="inlineStr">
        <is>
          <t>Large 4-6k</t>
        </is>
      </c>
      <c r="AF184" s="96">
        <f>INDEX('Scoring Method'!$B$63:$B$71,MATCH(AE184,'Scoring Method'!$A$63:$A$71,0))+INDEX('Scoring Method'!$B$75:$B$79,MATCH("Ample &gt;=15k",'Scoring Method'!$A$75:$A$79,0))+INDEX('Scoring Method'!$B$343:$B$347,MATCH(X184,'Scoring Method'!$A$343:$A$347,0))+INDEX('Scoring Method'!$B$25:$B$27,MATCH(P184,'Scoring Method'!$A$25:$A$27,0))</f>
        <v/>
      </c>
      <c r="AG184" s="96">
        <f>AF184*U184/100</f>
        <v/>
      </c>
      <c r="AH184" s="92" t="inlineStr">
        <is>
          <t>LINK-GIS + LoopNet (2026-08-02)</t>
        </is>
      </c>
      <c r="AI184" s="99" t="n">
        <v>38.97418</v>
      </c>
      <c r="AJ184" s="99" t="n">
        <v>-84.50122</v>
      </c>
      <c r="AK184" s="94" t="n">
        <v>7.67</v>
      </c>
      <c r="AL184" s="94" t="n">
        <v>8.07</v>
      </c>
      <c r="AM184" s="94" t="n">
        <v>8.82</v>
      </c>
      <c r="AN184" s="94" t="n">
        <v>7.6</v>
      </c>
      <c r="AO184" s="92" t="inlineStr">
        <is>
          <t>Remote &gt;3mi</t>
        </is>
      </c>
      <c r="AP184" s="92" t="inlineStr">
        <is>
          <t>Retail shell</t>
        </is>
      </c>
      <c r="AQ184" s="92" t="inlineStr">
        <is>
          <t>Ample &gt;=15k</t>
        </is>
      </c>
      <c r="AR184" s="100" t="n"/>
      <c r="AS184" s="96">
        <f>ROUND(INDEX('Scoring Method'!$B$63:$B$70,MATCH(AE184,'Scoring Method'!$A$63:$A$70,0))*0.625+INDEX('Scoring Method'!$B$105:$B$113,MATCH(AP184,'Scoring Method'!$A$105:$A$113,0))+INDEX('Scoring Method'!$B$74:$B$78,MATCH(AQ184,'Scoring Method'!$A$74:$A$78,0))*0.6667+INDEX('Scoring Method'!$B$96:$B$101,MATCH(AO184,'Scoring Method'!$A$96:$A$101,0))+INDEX('Scoring Method'!$B$343:$B$347,MATCH(X184,'Scoring Method'!$A$343:$A$347,0))*0.3333+INDEX('Scoring Method'!$B$25:$B$27,MATCH(P184,'Scoring Method'!$A$25:$A$27,0))*0.3333,1)</f>
        <v/>
      </c>
      <c r="AT184" s="96">
        <f>AS184*U184/100</f>
        <v/>
      </c>
      <c r="AU184" s="92" t="inlineStr">
        <is>
          <t>South Covington</t>
        </is>
      </c>
      <c r="AV184" s="92" t="n">
        <v>88</v>
      </c>
      <c r="AW184" s="92" t="inlineStr">
        <is>
          <t>Sourced</t>
        </is>
      </c>
      <c r="AX184" s="92" t="inlineStr">
        <is>
          <t>Very safe 80+</t>
        </is>
      </c>
      <c r="AY184" s="96">
        <f>ROUND(INDEX('Scoring Method'!$B$132:$B$140,MATCH(AE184,'Scoring Method'!$A$132:$A$140,0))+INDEX('Scoring Method'!$B$144:$B$152,MATCH(AP184,'Scoring Method'!$A$144:$A$152,0))+INDEX('Scoring Method'!$B$156:$B$160,MATCH(AQ184,'Scoring Method'!$A$156:$A$160,0))+INDEX('Scoring Method'!$B$164:$B$169,MATCH(AO184,'Scoring Method'!$A$164:$A$169,0))+INDEX('Scoring Method'!$B$173:$B$178,MATCH(AX184,'Scoring Method'!$A$173:$A$178,0))+INDEX('Scoring Method'!$B$349:$B$353,MATCH(X184,'Scoring Method'!$A$349:$A$353,0))+INDEX('Scoring Method'!$B$188:$B$190,MATCH(P184,'Scoring Method'!$A$188:$A$190,0)),1)</f>
        <v/>
      </c>
      <c r="AZ184" s="96">
        <f>AY184*U184/100</f>
        <v/>
      </c>
      <c r="BA184" s="92" t="inlineStr">
        <is>
          <t>No chain signal</t>
        </is>
      </c>
      <c r="BB184" s="94" t="n">
        <v>1</v>
      </c>
      <c r="BC184" s="102" t="inlineStr">
        <is>
          <t>Large 0.75-1.25 AC</t>
        </is>
      </c>
      <c r="BD184" s="94" t="n">
        <v>0.9</v>
      </c>
      <c r="BE184" s="96">
        <f>ROUND(INDEX('Scoring Method'!$B$268:$B$276,MATCH(AE184,'Scoring Method'!$A$268:$A$276,0))+INDEX('Scoring Method'!$B$280:$B$288,MATCH(AP184,'Scoring Method'!$A$280:$A$288,0))+INDEX('Scoring Method'!$B$292:$B$296,MATCH(AQ184,'Scoring Method'!$A$292:$A$296,0))+INDEX('Scoring Method'!$B$300:$B$305,MATCH(AO184,'Scoring Method'!$A$300:$A$305,0))+INDEX('Scoring Method'!$B$309:$B$314,MATCH(AX184,'Scoring Method'!$A$309:$A$314,0))+INDEX('Scoring Method'!$B$337:$B$341,MATCH(X184,'Scoring Method'!$A$337:$A$341,0))+INDEX('Scoring Method'!$B$324:$B$326,MATCH(P184,'Scoring Method'!$A$324:$A$326,0)),1)</f>
        <v/>
      </c>
      <c r="BF184" s="96">
        <f>ROUND(INDEX('Scoring Method'!$B$268:$B$276,MATCH(AE184,'Scoring Method'!$A$268:$A$276,0))*BB184*BD184+INDEX('Scoring Method'!$B$280:$B$288,MATCH(AP184,'Scoring Method'!$A$280:$A$288,0))*BM184*BB184*BD184+INDEX('Scoring Method'!$B$292:$B$296,MATCH(AQ184,'Scoring Method'!$A$292:$A$296,0))*BD184+INDEX('Scoring Method'!$B$300:$B$305,MATCH(AO184,'Scoring Method'!$A$300:$A$305,0))*BM184*BB184+INDEX('Scoring Method'!$B$309:$B$314,MATCH(AX184,'Scoring Method'!$A$309:$A$314,0))+INDEX('Scoring Method'!$B$337:$B$341,MATCH(X184,'Scoring Method'!$A$337:$A$341,0))+INDEX('Scoring Method'!$B$324:$B$326,MATCH(P184,'Scoring Method'!$A$324:$A$326,0)),1)</f>
        <v/>
      </c>
      <c r="BG184" s="92" t="inlineStr">
        <is>
          <t>Fits (~$4,347/mo)</t>
        </is>
      </c>
      <c r="BH184" s="61" t="inlineStr">
        <is>
          <t>RR</t>
        </is>
      </c>
      <c r="BI184" s="61" t="inlineStr">
        <is>
          <t>Rural Residential</t>
        </is>
      </c>
      <c r="BJ184" s="61" t="inlineStr"/>
      <c r="BK184" s="61" t="inlineStr"/>
      <c r="BL184" s="61" t="inlineStr">
        <is>
          <t>No path</t>
        </is>
      </c>
      <c r="BM184" s="61">
        <f>INDEX('Scoring Method'!$B$358:$B$363,MATCH(BL184,'Scoring Method'!$A$358:$A$363,0))</f>
        <v/>
      </c>
    </row>
    <row r="185" ht="15" customHeight="1" s="62">
      <c r="A185" s="92" t="n">
        <v>184</v>
      </c>
      <c r="B185" s="92" t="inlineStr">
        <is>
          <t>040-34-03-004.00</t>
        </is>
      </c>
      <c r="C185" s="92" t="inlineStr">
        <is>
          <t>680 W 4TH ST</t>
        </is>
      </c>
      <c r="D185" s="92" t="inlineStr">
        <is>
          <t>CORKEN STEEL PRODUCTS</t>
        </is>
      </c>
      <c r="E185" s="92" t="inlineStr">
        <is>
          <t>7920 KENTUCKY DR</t>
        </is>
      </c>
      <c r="F185" s="92" t="inlineStr">
        <is>
          <t>FLORENCE</t>
        </is>
      </c>
      <c r="G185" s="92" t="inlineStr">
        <is>
          <t>KY</t>
        </is>
      </c>
      <c r="H185" s="92" t="inlineStr">
        <is>
          <t>MFG/ASSEMBLY 20000 SF OR LESS</t>
        </is>
      </c>
      <c r="I185" s="93" t="n">
        <v>34255</v>
      </c>
      <c r="J185" s="94">
        <f>I185/43560</f>
        <v/>
      </c>
      <c r="K185" s="93" t="n">
        <v>807.7</v>
      </c>
      <c r="L185" s="95">
        <f>I185/(K185^2)</f>
        <v/>
      </c>
      <c r="M185" s="92" t="inlineStr">
        <is>
          <t>Near 14-18k/32-45k</t>
        </is>
      </c>
      <c r="N185" s="92" t="inlineStr">
        <is>
          <t>A</t>
        </is>
      </c>
      <c r="O185" s="92" t="inlineStr">
        <is>
          <t>Regular .045-.055</t>
        </is>
      </c>
      <c r="P185" s="92" t="inlineStr">
        <is>
          <t>Moderate</t>
        </is>
      </c>
      <c r="Q185" s="92" t="inlineStr">
        <is>
          <t>Out-of-city KY</t>
        </is>
      </c>
      <c r="R185" s="92" t="inlineStr">
        <is>
          <t>National corporate</t>
        </is>
      </c>
      <c r="S185" s="92" t="n">
        <v>1</v>
      </c>
      <c r="T185" s="96">
        <f>INDEX('Scoring Method'!$B$6:$B$9,MATCH(M185,'Scoring Method'!$A$6:$A$9,0))+INDEX('Scoring Method'!$B$12:$B$16,MATCH(N185,'Scoring Method'!$A$12:$A$16,0))+INDEX('Scoring Method'!$B$19:$B$22,MATCH(O185,'Scoring Method'!$A$19:$A$22,0))+INDEX('Scoring Method'!$B$25:$B$27,MATCH(P185,'Scoring Method'!$A$25:$A$27,0))</f>
        <v/>
      </c>
      <c r="U185" s="96">
        <f>(INDEX('Scoring Method'!$B$30:$B$33,MATCH(Q185,'Scoring Method'!$A$30:$A$33,0))+INDEX('Scoring Method'!$B$36:$B$42,MATCH(R185,'Scoring Method'!$A$36:$A$42,0))+INDEX('Scoring Method'!$B$45:$B$47,MATCH(IF(S185=1,"1",IF(S185=2,"2","3+")),'Scoring Method'!$A$45:$A$47,0)))/90*100</f>
        <v/>
      </c>
      <c r="V185" s="96">
        <f>T185*U185/100</f>
        <v/>
      </c>
      <c r="W185" s="93" t="n">
        <v>18300</v>
      </c>
      <c r="X185" s="92" t="inlineStr">
        <is>
          <t>X (levee-protected)</t>
        </is>
      </c>
      <c r="Y185" s="93" t="n">
        <v>10225</v>
      </c>
      <c r="Z185" s="97" t="n"/>
      <c r="AA185" s="98">
        <f>MAX(0,(Y185-5000)/300)</f>
        <v/>
      </c>
      <c r="AB185" s="92" t="n"/>
      <c r="AC185" s="92" t="n"/>
      <c r="AD185" s="92" t="n"/>
      <c r="AE185" s="92" t="inlineStr">
        <is>
          <t>Far oversize &gt;12k</t>
        </is>
      </c>
      <c r="AF185" s="96">
        <f>INDEX('Scoring Method'!$B$63:$B$71,MATCH(AE185,'Scoring Method'!$A$63:$A$71,0))+INDEX('Scoring Method'!$B$75:$B$79,MATCH("Good 8-15k",'Scoring Method'!$A$75:$A$79,0))+INDEX('Scoring Method'!$B$343:$B$347,MATCH(X185,'Scoring Method'!$A$343:$A$347,0))+INDEX('Scoring Method'!$B$25:$B$27,MATCH(P185,'Scoring Method'!$A$25:$A$27,0))</f>
        <v/>
      </c>
      <c r="AG185" s="96">
        <f>AF185*U185/100</f>
        <v/>
      </c>
      <c r="AH185" s="92" t="inlineStr">
        <is>
          <t>LINK-GIS + LoopNet (2026-08-02)</t>
        </is>
      </c>
      <c r="AI185" s="99" t="n">
        <v>39.08708</v>
      </c>
      <c r="AJ185" s="99" t="n">
        <v>-84.52408</v>
      </c>
      <c r="AK185" s="94" t="n">
        <v>0.38</v>
      </c>
      <c r="AL185" s="94" t="n">
        <v>0.88</v>
      </c>
      <c r="AM185" s="94" t="n">
        <v>1.18</v>
      </c>
      <c r="AN185" s="94" t="n">
        <v>0.38</v>
      </c>
      <c r="AO185" s="92" t="inlineStr">
        <is>
          <t>Near 0.35-0.75mi</t>
        </is>
      </c>
      <c r="AP185" s="92" t="inlineStr">
        <is>
          <t>Open span</t>
        </is>
      </c>
      <c r="AQ185" s="92" t="inlineStr">
        <is>
          <t>Good 8-15k</t>
        </is>
      </c>
      <c r="AR185" s="100" t="n"/>
      <c r="AS185" s="96">
        <f>ROUND(INDEX('Scoring Method'!$B$63:$B$70,MATCH(AE185,'Scoring Method'!$A$63:$A$70,0))*0.625+INDEX('Scoring Method'!$B$105:$B$113,MATCH(AP185,'Scoring Method'!$A$105:$A$113,0))+INDEX('Scoring Method'!$B$74:$B$78,MATCH(AQ185,'Scoring Method'!$A$74:$A$78,0))*0.6667+INDEX('Scoring Method'!$B$96:$B$101,MATCH(AO185,'Scoring Method'!$A$96:$A$101,0))+INDEX('Scoring Method'!$B$343:$B$347,MATCH(X185,'Scoring Method'!$A$343:$A$347,0))*0.3333+INDEX('Scoring Method'!$B$25:$B$27,MATCH(P185,'Scoring Method'!$A$25:$A$27,0))*0.3333,1)</f>
        <v/>
      </c>
      <c r="AT185" s="96">
        <f>AS185*U185/100</f>
        <v/>
      </c>
      <c r="AU185" s="92" t="inlineStr">
        <is>
          <t>Botany Hills / Riverfront West</t>
        </is>
      </c>
      <c r="AV185" s="92" t="n">
        <v>45</v>
      </c>
      <c r="AW185" s="101" t="inlineStr">
        <is>
          <t>ESTIMATED</t>
        </is>
      </c>
      <c r="AX185" s="92" t="inlineStr">
        <is>
          <t>Mixed 45-59</t>
        </is>
      </c>
      <c r="AY185" s="96">
        <f>ROUND(INDEX('Scoring Method'!$B$132:$B$140,MATCH(AE185,'Scoring Method'!$A$132:$A$140,0))+INDEX('Scoring Method'!$B$144:$B$152,MATCH(AP185,'Scoring Method'!$A$144:$A$152,0))+INDEX('Scoring Method'!$B$156:$B$160,MATCH(AQ185,'Scoring Method'!$A$156:$A$160,0))+INDEX('Scoring Method'!$B$164:$B$169,MATCH(AO185,'Scoring Method'!$A$164:$A$169,0))+INDEX('Scoring Method'!$B$173:$B$178,MATCH(AX185,'Scoring Method'!$A$173:$A$178,0))+INDEX('Scoring Method'!$B$349:$B$353,MATCH(X185,'Scoring Method'!$A$349:$A$353,0))+INDEX('Scoring Method'!$B$188:$B$190,MATCH(P185,'Scoring Method'!$A$188:$A$190,0)),1)</f>
        <v/>
      </c>
      <c r="AZ185" s="96">
        <f>AY185*U185/100</f>
        <v/>
      </c>
      <c r="BA185" s="103" t="inlineStr">
        <is>
          <t>Brand-owned / net lease</t>
        </is>
      </c>
      <c r="BB185" s="94" t="n">
        <v>0.3</v>
      </c>
      <c r="BC185" s="102" t="inlineStr">
        <is>
          <t>Large 0.75-1.25 AC</t>
        </is>
      </c>
      <c r="BD185" s="94" t="n">
        <v>0.9</v>
      </c>
      <c r="BE185" s="96">
        <f>ROUND(INDEX('Scoring Method'!$B$268:$B$276,MATCH(AE185,'Scoring Method'!$A$268:$A$276,0))+INDEX('Scoring Method'!$B$280:$B$288,MATCH(AP185,'Scoring Method'!$A$280:$A$288,0))+INDEX('Scoring Method'!$B$292:$B$296,MATCH(AQ185,'Scoring Method'!$A$292:$A$296,0))+INDEX('Scoring Method'!$B$300:$B$305,MATCH(AO185,'Scoring Method'!$A$300:$A$305,0))+INDEX('Scoring Method'!$B$309:$B$314,MATCH(AX185,'Scoring Method'!$A$309:$A$314,0))+INDEX('Scoring Method'!$B$337:$B$341,MATCH(X185,'Scoring Method'!$A$337:$A$341,0))+INDEX('Scoring Method'!$B$324:$B$326,MATCH(P185,'Scoring Method'!$A$324:$A$326,0)),1)</f>
        <v/>
      </c>
      <c r="BF185" s="96">
        <f>ROUND(INDEX('Scoring Method'!$B$268:$B$276,MATCH(AE185,'Scoring Method'!$A$268:$A$276,0))*BB185*BD185+INDEX('Scoring Method'!$B$280:$B$288,MATCH(AP185,'Scoring Method'!$A$280:$A$288,0))*BM185*BB185*BD185+INDEX('Scoring Method'!$B$292:$B$296,MATCH(AQ185,'Scoring Method'!$A$292:$A$296,0))*BD185+INDEX('Scoring Method'!$B$300:$B$305,MATCH(AO185,'Scoring Method'!$A$300:$A$305,0))*BM185*BB185+INDEX('Scoring Method'!$B$309:$B$314,MATCH(AX185,'Scoring Method'!$A$309:$A$314,0))+INDEX('Scoring Method'!$B$337:$B$341,MATCH(X185,'Scoring Method'!$A$337:$A$341,0))+INDEX('Scoring Method'!$B$324:$B$326,MATCH(P185,'Scoring Method'!$A$324:$A$326,0)),1)</f>
        <v/>
      </c>
      <c r="BG185" s="102" t="inlineStr">
        <is>
          <t>Over (~$16,775/mo)</t>
        </is>
      </c>
      <c r="BH185" s="61" t="inlineStr">
        <is>
          <t>AUC</t>
        </is>
      </c>
      <c r="BI185" s="61" t="inlineStr">
        <is>
          <t>Auto-Urban Commercial</t>
        </is>
      </c>
      <c r="BJ185" s="61" t="inlineStr"/>
      <c r="BK185" s="61" t="inlineStr"/>
      <c r="BL185" s="61" t="inlineStr">
        <is>
          <t>Bar permitted</t>
        </is>
      </c>
      <c r="BM185" s="61">
        <f>INDEX('Scoring Method'!$B$358:$B$363,MATCH(BL185,'Scoring Method'!$A$358:$A$363,0))</f>
        <v/>
      </c>
    </row>
    <row r="186" ht="15" customHeight="1" s="62">
      <c r="A186" s="92" t="n">
        <v>185</v>
      </c>
      <c r="B186" s="92" t="inlineStr">
        <is>
          <t>054-23-18-012.00</t>
        </is>
      </c>
      <c r="C186" s="92" t="inlineStr">
        <is>
          <t>604 GREENUP ST</t>
        </is>
      </c>
      <c r="D186" s="92" t="inlineStr">
        <is>
          <t>FIRSTAR BANK NA TRUSTEE</t>
        </is>
      </c>
      <c r="E186" s="92" t="inlineStr">
        <is>
          <t>MARGARETTA W HUNT TRUST</t>
        </is>
      </c>
      <c r="F186" s="92" t="inlineStr">
        <is>
          <t>ST PAUL</t>
        </is>
      </c>
      <c r="G186" s="92" t="inlineStr">
        <is>
          <t>MN</t>
        </is>
      </c>
      <c r="H186" s="92" t="inlineStr">
        <is>
          <t>ORGANIZATIONAL MEETING HALL</t>
        </is>
      </c>
      <c r="I186" s="93" t="n">
        <v>12730</v>
      </c>
      <c r="J186" s="94">
        <f>I186/43560</f>
        <v/>
      </c>
      <c r="K186" s="93" t="n">
        <v>514</v>
      </c>
      <c r="L186" s="95">
        <f>I186/(K186^2)</f>
        <v/>
      </c>
      <c r="M186" s="92" t="inlineStr">
        <is>
          <t>Marginal 10-14k/45-60k</t>
        </is>
      </c>
      <c r="N186" s="92" t="inlineStr">
        <is>
          <t>B</t>
        </is>
      </c>
      <c r="O186" s="92" t="inlineStr">
        <is>
          <t>Regular .045-.055</t>
        </is>
      </c>
      <c r="P186" s="92" t="inlineStr">
        <is>
          <t>Low</t>
        </is>
      </c>
      <c r="Q186" s="92" t="inlineStr">
        <is>
          <t>Out-of-state</t>
        </is>
      </c>
      <c r="R186" s="92" t="inlineStr">
        <is>
          <t>National corporate</t>
        </is>
      </c>
      <c r="S186" s="92" t="n">
        <v>1</v>
      </c>
      <c r="T186" s="96">
        <f>INDEX('Scoring Method'!$B$6:$B$9,MATCH(M186,'Scoring Method'!$A$6:$A$9,0))+INDEX('Scoring Method'!$B$12:$B$16,MATCH(N186,'Scoring Method'!$A$12:$A$16,0))+INDEX('Scoring Method'!$B$19:$B$22,MATCH(O186,'Scoring Method'!$A$19:$A$22,0))+INDEX('Scoring Method'!$B$25:$B$27,MATCH(P186,'Scoring Method'!$A$25:$A$27,0))</f>
        <v/>
      </c>
      <c r="U186" s="96">
        <f>(INDEX('Scoring Method'!$B$30:$B$33,MATCH(Q186,'Scoring Method'!$A$30:$A$33,0))+INDEX('Scoring Method'!$B$36:$B$42,MATCH(R186,'Scoring Method'!$A$36:$A$42,0))+INDEX('Scoring Method'!$B$45:$B$47,MATCH(IF(S186=1,"1",IF(S186=2,"2","3+")),'Scoring Method'!$A$45:$A$47,0)))/90*100</f>
        <v/>
      </c>
      <c r="V186" s="96">
        <f>T186*U186/100</f>
        <v/>
      </c>
      <c r="W186" s="93" t="n">
        <v>5570</v>
      </c>
      <c r="X186" s="92" t="inlineStr">
        <is>
          <t>X (minimal hazard)</t>
        </is>
      </c>
      <c r="Y186" s="93" t="n">
        <v>3675</v>
      </c>
      <c r="Z186" s="97" t="n"/>
      <c r="AA186" s="98">
        <f>MAX(0,(Y186-5000)/300)</f>
        <v/>
      </c>
      <c r="AB186" s="92" t="n"/>
      <c r="AC186" s="92" t="n"/>
      <c r="AD186" s="92" t="n"/>
      <c r="AE186" s="92" t="inlineStr">
        <is>
          <t>Large 4-6k</t>
        </is>
      </c>
      <c r="AF186" s="96">
        <f>INDEX('Scoring Method'!$B$63:$B$71,MATCH(AE186,'Scoring Method'!$A$63:$A$71,0))+INDEX('Scoring Method'!$B$75:$B$79,MATCH("Tight 2-5k",'Scoring Method'!$A$75:$A$79,0))+INDEX('Scoring Method'!$B$343:$B$347,MATCH(X186,'Scoring Method'!$A$343:$A$347,0))+INDEX('Scoring Method'!$B$25:$B$27,MATCH(P186,'Scoring Method'!$A$25:$A$27,0))</f>
        <v/>
      </c>
      <c r="AG186" s="96">
        <f>AF186*U186/100</f>
        <v/>
      </c>
      <c r="AH186" s="92" t="inlineStr">
        <is>
          <t>LINK-GIS + LoopNet (2026-08-03)</t>
        </is>
      </c>
      <c r="AI186" s="99" t="n">
        <v>39.08502</v>
      </c>
      <c r="AJ186" s="99" t="n">
        <v>-84.50664999999999</v>
      </c>
      <c r="AK186" s="94" t="n">
        <v>0.6</v>
      </c>
      <c r="AL186" s="94" t="n">
        <v>0.41</v>
      </c>
      <c r="AM186" s="94" t="n">
        <v>1.18</v>
      </c>
      <c r="AN186" s="94" t="n">
        <v>0.25</v>
      </c>
      <c r="AO186" s="92" t="inlineStr">
        <is>
          <t>Core &lt;=0.35mi</t>
        </is>
      </c>
      <c r="AP186" s="92" t="inlineStr">
        <is>
          <t>Assembly hall</t>
        </is>
      </c>
      <c r="AQ186" s="92" t="inlineStr">
        <is>
          <t>Tight 2-5k</t>
        </is>
      </c>
      <c r="AR186" s="100" t="n"/>
      <c r="AS186" s="96">
        <f>ROUND(INDEX('Scoring Method'!$B$63:$B$70,MATCH(AE186,'Scoring Method'!$A$63:$A$70,0))*0.625+INDEX('Scoring Method'!$B$105:$B$113,MATCH(AP186,'Scoring Method'!$A$105:$A$113,0))+INDEX('Scoring Method'!$B$74:$B$78,MATCH(AQ186,'Scoring Method'!$A$74:$A$78,0))*0.6667+INDEX('Scoring Method'!$B$96:$B$101,MATCH(AO186,'Scoring Method'!$A$96:$A$101,0))+INDEX('Scoring Method'!$B$343:$B$347,MATCH(X186,'Scoring Method'!$A$343:$A$347,0))*0.3333+INDEX('Scoring Method'!$B$25:$B$27,MATCH(P186,'Scoring Method'!$A$25:$A$27,0))*0.3333,1)</f>
        <v/>
      </c>
      <c r="AT186" s="96">
        <f>AS186*U186/100</f>
        <v/>
      </c>
      <c r="AU186" s="92" t="inlineStr">
        <is>
          <t>Central Business District</t>
        </is>
      </c>
      <c r="AV186" s="92" t="n">
        <v>48</v>
      </c>
      <c r="AW186" s="101" t="inlineStr">
        <is>
          <t>ESTIMATED</t>
        </is>
      </c>
      <c r="AX186" s="92" t="inlineStr">
        <is>
          <t>Mixed 45-59</t>
        </is>
      </c>
      <c r="AY186" s="96">
        <f>ROUND(INDEX('Scoring Method'!$B$132:$B$140,MATCH(AE186,'Scoring Method'!$A$132:$A$140,0))+INDEX('Scoring Method'!$B$144:$B$152,MATCH(AP186,'Scoring Method'!$A$144:$A$152,0))+INDEX('Scoring Method'!$B$156:$B$160,MATCH(AQ186,'Scoring Method'!$A$156:$A$160,0))+INDEX('Scoring Method'!$B$164:$B$169,MATCH(AO186,'Scoring Method'!$A$164:$A$169,0))+INDEX('Scoring Method'!$B$173:$B$178,MATCH(AX186,'Scoring Method'!$A$173:$A$178,0))+INDEX('Scoring Method'!$B$349:$B$353,MATCH(X186,'Scoring Method'!$A$349:$A$353,0))+INDEX('Scoring Method'!$B$188:$B$190,MATCH(P186,'Scoring Method'!$A$188:$A$190,0)),1)</f>
        <v/>
      </c>
      <c r="AZ186" s="96">
        <f>AY186*U186/100</f>
        <v/>
      </c>
      <c r="BA186" s="103" t="inlineStr">
        <is>
          <t>Brand-owned / net lease</t>
        </is>
      </c>
      <c r="BB186" s="94" t="n">
        <v>0.3</v>
      </c>
      <c r="BC186" s="102" t="inlineStr">
        <is>
          <t>Small 0.25-0.35 AC</t>
        </is>
      </c>
      <c r="BD186" s="94" t="n">
        <v>0.9</v>
      </c>
      <c r="BE186" s="96">
        <f>ROUND(INDEX('Scoring Method'!$B$268:$B$276,MATCH(AE186,'Scoring Method'!$A$268:$A$276,0))+INDEX('Scoring Method'!$B$280:$B$288,MATCH(AP186,'Scoring Method'!$A$280:$A$288,0))+INDEX('Scoring Method'!$B$292:$B$296,MATCH(AQ186,'Scoring Method'!$A$292:$A$296,0))+INDEX('Scoring Method'!$B$300:$B$305,MATCH(AO186,'Scoring Method'!$A$300:$A$305,0))+INDEX('Scoring Method'!$B$309:$B$314,MATCH(AX186,'Scoring Method'!$A$309:$A$314,0))+INDEX('Scoring Method'!$B$337:$B$341,MATCH(X186,'Scoring Method'!$A$337:$A$341,0))+INDEX('Scoring Method'!$B$324:$B$326,MATCH(P186,'Scoring Method'!$A$324:$A$326,0)),1)</f>
        <v/>
      </c>
      <c r="BF186" s="96">
        <f>ROUND(INDEX('Scoring Method'!$B$268:$B$276,MATCH(AE186,'Scoring Method'!$A$268:$A$276,0))*BB186*BD186+INDEX('Scoring Method'!$B$280:$B$288,MATCH(AP186,'Scoring Method'!$A$280:$A$288,0))*BM186*BB186*BD186+INDEX('Scoring Method'!$B$292:$B$296,MATCH(AQ186,'Scoring Method'!$A$292:$A$296,0))*BD186+INDEX('Scoring Method'!$B$300:$B$305,MATCH(AO186,'Scoring Method'!$A$300:$A$305,0))*BM186*BB186+INDEX('Scoring Method'!$B$309:$B$314,MATCH(AX186,'Scoring Method'!$A$309:$A$314,0))+INDEX('Scoring Method'!$B$337:$B$341,MATCH(X186,'Scoring Method'!$A$337:$A$341,0))+INDEX('Scoring Method'!$B$324:$B$326,MATCH(P186,'Scoring Method'!$A$324:$A$326,0)),1)</f>
        <v/>
      </c>
      <c r="BG186" s="92" t="inlineStr">
        <is>
          <t>Fits (~$5,106/mo)</t>
        </is>
      </c>
      <c r="BH186" s="61" t="inlineStr">
        <is>
          <t>TUR (HP)</t>
        </is>
      </c>
      <c r="BI186" s="61" t="inlineStr">
        <is>
          <t>Traditional Urban Residential</t>
        </is>
      </c>
      <c r="BJ186" s="61" t="inlineStr">
        <is>
          <t>HP</t>
        </is>
      </c>
      <c r="BK186" s="61" t="inlineStr"/>
      <c r="BL186" s="61" t="inlineStr">
        <is>
          <t>Bar prohibited, alt-path</t>
        </is>
      </c>
      <c r="BM186" s="61">
        <f>INDEX('Scoring Method'!$B$358:$B$363,MATCH(BL186,'Scoring Method'!$A$358:$A$363,0))</f>
        <v/>
      </c>
    </row>
    <row r="187" ht="15" customHeight="1" s="62">
      <c r="A187" s="92" t="n">
        <v>186</v>
      </c>
      <c r="B187" s="92" t="inlineStr">
        <is>
          <t>040-30-00-172.00</t>
        </is>
      </c>
      <c r="C187" s="92" t="inlineStr">
        <is>
          <t>1035 SPRING ST</t>
        </is>
      </c>
      <c r="D187" s="92" t="inlineStr">
        <is>
          <t>ST JOHNS CONGREGATIONAL CHURCH</t>
        </is>
      </c>
      <c r="E187" s="92" t="inlineStr">
        <is>
          <t>1235 HIGHWAY AVE</t>
        </is>
      </c>
      <c r="F187" s="92" t="inlineStr">
        <is>
          <t>COVINGTON</t>
        </is>
      </c>
      <c r="G187" s="92" t="inlineStr">
        <is>
          <t>KY</t>
        </is>
      </c>
      <c r="H187" s="92" t="inlineStr">
        <is>
          <t>PAVED LOT</t>
        </is>
      </c>
      <c r="I187" s="93" t="n">
        <v>26626</v>
      </c>
      <c r="J187" s="94">
        <f>I187/43560</f>
        <v/>
      </c>
      <c r="K187" s="93" t="n">
        <v>728.4</v>
      </c>
      <c r="L187" s="95">
        <f>I187/(K187^2)</f>
        <v/>
      </c>
      <c r="M187" s="92" t="inlineStr">
        <is>
          <t>Ideal 18-32k</t>
        </is>
      </c>
      <c r="N187" s="92" t="inlineStr">
        <is>
          <t>D</t>
        </is>
      </c>
      <c r="O187" s="92" t="inlineStr">
        <is>
          <t>Regular .045-.055</t>
        </is>
      </c>
      <c r="P187" s="92" t="inlineStr">
        <is>
          <t>Low</t>
        </is>
      </c>
      <c r="Q187" s="92" t="inlineStr">
        <is>
          <t>Local absentee</t>
        </is>
      </c>
      <c r="R187" s="92" t="inlineStr">
        <is>
          <t>Religious</t>
        </is>
      </c>
      <c r="S187" s="92" t="n">
        <v>1</v>
      </c>
      <c r="T187" s="96">
        <f>INDEX('Scoring Method'!$B$6:$B$9,MATCH(M187,'Scoring Method'!$A$6:$A$9,0))+INDEX('Scoring Method'!$B$12:$B$16,MATCH(N187,'Scoring Method'!$A$12:$A$16,0))+INDEX('Scoring Method'!$B$19:$B$22,MATCH(O187,'Scoring Method'!$A$19:$A$22,0))+INDEX('Scoring Method'!$B$25:$B$27,MATCH(P187,'Scoring Method'!$A$25:$A$27,0))</f>
        <v/>
      </c>
      <c r="U187" s="96">
        <f>(INDEX('Scoring Method'!$B$30:$B$33,MATCH(Q187,'Scoring Method'!$A$30:$A$33,0))+INDEX('Scoring Method'!$B$36:$B$42,MATCH(R187,'Scoring Method'!$A$36:$A$42,0))+INDEX('Scoring Method'!$B$45:$B$47,MATCH(IF(S187=1,"1",IF(S187=2,"2","3+")),'Scoring Method'!$A$45:$A$47,0)))/90*100</f>
        <v/>
      </c>
      <c r="V187" s="96">
        <f>T187*U187/100</f>
        <v/>
      </c>
      <c r="W187" s="93" t="n">
        <v>2701</v>
      </c>
      <c r="X187" s="92" t="inlineStr">
        <is>
          <t>X (minimal hazard)</t>
        </is>
      </c>
      <c r="Y187" s="93" t="n">
        <v>23525</v>
      </c>
      <c r="Z187" s="97" t="n"/>
      <c r="AA187" s="98">
        <f>MAX(0,(Y187-5000)/300)</f>
        <v/>
      </c>
      <c r="AB187" s="92" t="n"/>
      <c r="AC187" s="92" t="n"/>
      <c r="AD187" s="92" t="n"/>
      <c r="AE187" s="92" t="inlineStr">
        <is>
          <t>Above 2.5-4k</t>
        </is>
      </c>
      <c r="AF187" s="96">
        <f>INDEX('Scoring Method'!$B$63:$B$71,MATCH(AE187,'Scoring Method'!$A$63:$A$71,0))+INDEX('Scoring Method'!$B$75:$B$79,MATCH("Ample &gt;=15k",'Scoring Method'!$A$75:$A$79,0))+INDEX('Scoring Method'!$B$343:$B$347,MATCH(X187,'Scoring Method'!$A$343:$A$347,0))+INDEX('Scoring Method'!$B$25:$B$27,MATCH(P187,'Scoring Method'!$A$25:$A$27,0))</f>
        <v/>
      </c>
      <c r="AG187" s="96">
        <f>AF187*U187/100</f>
        <v/>
      </c>
      <c r="AH187" s="92" t="inlineStr">
        <is>
          <t>LINK-GIS only</t>
        </is>
      </c>
      <c r="AI187" s="99" t="n">
        <v>39.08861</v>
      </c>
      <c r="AJ187" s="99" t="n">
        <v>-84.53224</v>
      </c>
      <c r="AK187" s="94" t="n">
        <v>0.82</v>
      </c>
      <c r="AL187" s="94" t="n">
        <v>1.29</v>
      </c>
      <c r="AM187" s="94" t="n">
        <v>1.39</v>
      </c>
      <c r="AN187" s="94" t="n">
        <v>0.82</v>
      </c>
      <c r="AO187" s="92" t="inlineStr">
        <is>
          <t>Fringe 0.75-1.25mi</t>
        </is>
      </c>
      <c r="AP187" s="92" t="inlineStr">
        <is>
          <t>Lot / minimal bldg</t>
        </is>
      </c>
      <c r="AQ187" s="92" t="inlineStr">
        <is>
          <t>Ample &gt;=15k</t>
        </is>
      </c>
      <c r="AR187" s="100" t="n"/>
      <c r="AS187" s="96">
        <f>ROUND(INDEX('Scoring Method'!$B$63:$B$70,MATCH(AE187,'Scoring Method'!$A$63:$A$70,0))*0.625+INDEX('Scoring Method'!$B$105:$B$113,MATCH(AP187,'Scoring Method'!$A$105:$A$113,0))+INDEX('Scoring Method'!$B$74:$B$78,MATCH(AQ187,'Scoring Method'!$A$74:$A$78,0))*0.6667+INDEX('Scoring Method'!$B$96:$B$101,MATCH(AO187,'Scoring Method'!$A$96:$A$101,0))+INDEX('Scoring Method'!$B$343:$B$347,MATCH(X187,'Scoring Method'!$A$343:$A$347,0))*0.3333+INDEX('Scoring Method'!$B$25:$B$27,MATCH(P187,'Scoring Method'!$A$25:$A$27,0))*0.3333,1)</f>
        <v/>
      </c>
      <c r="AT187" s="96">
        <f>AS187*U187/100</f>
        <v/>
      </c>
      <c r="AU187" s="92" t="inlineStr">
        <is>
          <t>Botany Hills / Riverfront West</t>
        </is>
      </c>
      <c r="AV187" s="92" t="n">
        <v>45</v>
      </c>
      <c r="AW187" s="101" t="inlineStr">
        <is>
          <t>ESTIMATED</t>
        </is>
      </c>
      <c r="AX187" s="92" t="inlineStr">
        <is>
          <t>Mixed 45-59</t>
        </is>
      </c>
      <c r="AY187" s="96">
        <f>ROUND(INDEX('Scoring Method'!$B$132:$B$140,MATCH(AE187,'Scoring Method'!$A$132:$A$140,0))+INDEX('Scoring Method'!$B$144:$B$152,MATCH(AP187,'Scoring Method'!$A$144:$A$152,0))+INDEX('Scoring Method'!$B$156:$B$160,MATCH(AQ187,'Scoring Method'!$A$156:$A$160,0))+INDEX('Scoring Method'!$B$164:$B$169,MATCH(AO187,'Scoring Method'!$A$164:$A$169,0))+INDEX('Scoring Method'!$B$173:$B$178,MATCH(AX187,'Scoring Method'!$A$173:$A$178,0))+INDEX('Scoring Method'!$B$349:$B$353,MATCH(X187,'Scoring Method'!$A$349:$A$353,0))+INDEX('Scoring Method'!$B$188:$B$190,MATCH(P187,'Scoring Method'!$A$188:$A$190,0)),1)</f>
        <v/>
      </c>
      <c r="AZ187" s="96">
        <f>AY187*U187/100</f>
        <v/>
      </c>
      <c r="BA187" s="92" t="inlineStr">
        <is>
          <t>No chain signal</t>
        </is>
      </c>
      <c r="BB187" s="94" t="n">
        <v>1</v>
      </c>
      <c r="BC187" s="92" t="inlineStr">
        <is>
          <t>Right-sized 0.35-0.75 AC</t>
        </is>
      </c>
      <c r="BD187" s="94" t="n">
        <v>1</v>
      </c>
      <c r="BE187" s="96">
        <f>ROUND(INDEX('Scoring Method'!$B$268:$B$276,MATCH(AE187,'Scoring Method'!$A$268:$A$276,0))+INDEX('Scoring Method'!$B$280:$B$288,MATCH(AP187,'Scoring Method'!$A$280:$A$288,0))+INDEX('Scoring Method'!$B$292:$B$296,MATCH(AQ187,'Scoring Method'!$A$292:$A$296,0))+INDEX('Scoring Method'!$B$300:$B$305,MATCH(AO187,'Scoring Method'!$A$300:$A$305,0))+INDEX('Scoring Method'!$B$309:$B$314,MATCH(AX187,'Scoring Method'!$A$309:$A$314,0))+INDEX('Scoring Method'!$B$337:$B$341,MATCH(X187,'Scoring Method'!$A$337:$A$341,0))+INDEX('Scoring Method'!$B$324:$B$326,MATCH(P187,'Scoring Method'!$A$324:$A$326,0)),1)</f>
        <v/>
      </c>
      <c r="BF187" s="96">
        <f>ROUND(INDEX('Scoring Method'!$B$268:$B$276,MATCH(AE187,'Scoring Method'!$A$268:$A$276,0))*BB187*BD187+INDEX('Scoring Method'!$B$280:$B$288,MATCH(AP187,'Scoring Method'!$A$280:$A$288,0))*BM187*BB187*BD187+INDEX('Scoring Method'!$B$292:$B$296,MATCH(AQ187,'Scoring Method'!$A$292:$A$296,0))*BD187+INDEX('Scoring Method'!$B$300:$B$305,MATCH(AO187,'Scoring Method'!$A$300:$A$305,0))*BM187*BB187+INDEX('Scoring Method'!$B$309:$B$314,MATCH(AX187,'Scoring Method'!$A$309:$A$314,0))+INDEX('Scoring Method'!$B$337:$B$341,MATCH(X187,'Scoring Method'!$A$337:$A$341,0))+INDEX('Scoring Method'!$B$324:$B$326,MATCH(P187,'Scoring Method'!$A$324:$A$326,0)),1)</f>
        <v/>
      </c>
      <c r="BG187" s="92" t="inlineStr">
        <is>
          <t>Fits (~$2,476/mo)</t>
        </is>
      </c>
      <c r="BH187" s="61" t="inlineStr">
        <is>
          <t>SU</t>
        </is>
      </c>
      <c r="BI187" s="61" t="inlineStr">
        <is>
          <t>Semi-Urban Residential</t>
        </is>
      </c>
      <c r="BJ187" s="61" t="inlineStr"/>
      <c r="BK187" s="61" t="inlineStr"/>
      <c r="BL187" s="61" t="inlineStr">
        <is>
          <t>SU corner unverified</t>
        </is>
      </c>
      <c r="BM187" s="61">
        <f>INDEX('Scoring Method'!$B$358:$B$363,MATCH(BL187,'Scoring Method'!$A$358:$A$363,0))</f>
        <v/>
      </c>
    </row>
    <row r="188" ht="15" customHeight="1" s="62">
      <c r="A188" s="92" t="n">
        <v>187</v>
      </c>
      <c r="B188" s="92" t="inlineStr">
        <is>
          <t>055-11-21-001.00</t>
        </is>
      </c>
      <c r="C188" s="92" t="inlineStr">
        <is>
          <t>1425 HOLMAN ST</t>
        </is>
      </c>
      <c r="D188" s="92" t="inlineStr">
        <is>
          <t>SOUTHSIDE BAPTIST CHURCH</t>
        </is>
      </c>
      <c r="E188" s="92" t="inlineStr">
        <is>
          <t>1501 HOLMAN AVE</t>
        </is>
      </c>
      <c r="F188" s="92" t="inlineStr">
        <is>
          <t>COVINGTON</t>
        </is>
      </c>
      <c r="G188" s="92" t="inlineStr">
        <is>
          <t>KY</t>
        </is>
      </c>
      <c r="H188" s="92" t="inlineStr">
        <is>
          <t>GARAGE</t>
        </is>
      </c>
      <c r="I188" s="93" t="n">
        <v>13817</v>
      </c>
      <c r="J188" s="94">
        <f>I188/43560</f>
        <v/>
      </c>
      <c r="K188" s="93" t="n">
        <v>475.9</v>
      </c>
      <c r="L188" s="95">
        <f>I188/(K188^2)</f>
        <v/>
      </c>
      <c r="M188" s="92" t="inlineStr">
        <is>
          <t>Marginal 10-14k/45-60k</t>
        </is>
      </c>
      <c r="N188" s="92" t="inlineStr">
        <is>
          <t>A</t>
        </is>
      </c>
      <c r="O188" s="92" t="inlineStr">
        <is>
          <t>Compact &gt;=.055</t>
        </is>
      </c>
      <c r="P188" s="92" t="inlineStr">
        <is>
          <t>Moderate</t>
        </is>
      </c>
      <c r="Q188" s="92" t="inlineStr">
        <is>
          <t>Local absentee</t>
        </is>
      </c>
      <c r="R188" s="92" t="inlineStr">
        <is>
          <t>Religious</t>
        </is>
      </c>
      <c r="S188" s="92" t="n">
        <v>1</v>
      </c>
      <c r="T188" s="96">
        <f>INDEX('Scoring Method'!$B$6:$B$9,MATCH(M188,'Scoring Method'!$A$6:$A$9,0))+INDEX('Scoring Method'!$B$12:$B$16,MATCH(N188,'Scoring Method'!$A$12:$A$16,0))+INDEX('Scoring Method'!$B$19:$B$22,MATCH(O188,'Scoring Method'!$A$19:$A$22,0))+INDEX('Scoring Method'!$B$25:$B$27,MATCH(P188,'Scoring Method'!$A$25:$A$27,0))</f>
        <v/>
      </c>
      <c r="U188" s="96">
        <f>(INDEX('Scoring Method'!$B$30:$B$33,MATCH(Q188,'Scoring Method'!$A$30:$A$33,0))+INDEX('Scoring Method'!$B$36:$B$42,MATCH(R188,'Scoring Method'!$A$36:$A$42,0))+INDEX('Scoring Method'!$B$45:$B$47,MATCH(IF(S188=1,"1",IF(S188=2,"2","3+")),'Scoring Method'!$A$45:$A$47,0)))/90*100</f>
        <v/>
      </c>
      <c r="V188" s="96">
        <f>T188*U188/100</f>
        <v/>
      </c>
      <c r="W188" s="93" t="n">
        <v>858</v>
      </c>
      <c r="X188" s="92" t="inlineStr">
        <is>
          <t>X (minimal hazard)</t>
        </is>
      </c>
      <c r="Y188" s="93" t="n">
        <v>12100</v>
      </c>
      <c r="Z188" s="97">
        <f>W188/I188</f>
        <v/>
      </c>
      <c r="AA188" s="98">
        <f>MAX(0,(Y188-5000)/300)</f>
        <v/>
      </c>
      <c r="AB188" s="92" t="n"/>
      <c r="AC188" s="92" t="n">
        <v>0.32</v>
      </c>
      <c r="AD188" s="92" t="inlineStr">
        <is>
          <t>ok</t>
        </is>
      </c>
      <c r="AE188" s="92" t="inlineStr">
        <is>
          <t>Too small &lt;1.2k</t>
        </is>
      </c>
      <c r="AF188" s="96">
        <f>INDEX('Scoring Method'!$B$63:$B$71,MATCH(AE188,'Scoring Method'!$A$63:$A$71,0))+INDEX('Scoring Method'!$B$75:$B$79,MATCH("Good 8-15k",'Scoring Method'!$A$75:$A$79,0))+INDEX('Scoring Method'!$B$343:$B$347,MATCH(X188,'Scoring Method'!$A$343:$A$347,0))+INDEX('Scoring Method'!$B$25:$B$27,MATCH(P188,'Scoring Method'!$A$25:$A$27,0))</f>
        <v/>
      </c>
      <c r="AG188" s="96">
        <f>AF188*U188/100</f>
        <v/>
      </c>
      <c r="AH188" s="92" t="inlineStr">
        <is>
          <t>LINK-GIS + LoopNet</t>
        </is>
      </c>
      <c r="AI188" s="99" t="n">
        <v>39.07364</v>
      </c>
      <c r="AJ188" s="99" t="n">
        <v>-84.51305000000001</v>
      </c>
      <c r="AK188" s="94" t="n">
        <v>0.79</v>
      </c>
      <c r="AL188" s="94" t="n">
        <v>1.22</v>
      </c>
      <c r="AM188" s="94" t="n">
        <v>1.93</v>
      </c>
      <c r="AN188" s="94" t="n">
        <v>0.72</v>
      </c>
      <c r="AO188" s="92" t="inlineStr">
        <is>
          <t>Near 0.35-0.75mi</t>
        </is>
      </c>
      <c r="AP188" s="92" t="inlineStr">
        <is>
          <t>Open span</t>
        </is>
      </c>
      <c r="AQ188" s="92" t="inlineStr">
        <is>
          <t>Good 8-15k</t>
        </is>
      </c>
      <c r="AR188" s="100" t="n"/>
      <c r="AS188" s="96">
        <f>ROUND(INDEX('Scoring Method'!$B$63:$B$70,MATCH(AE188,'Scoring Method'!$A$63:$A$70,0))*0.625+INDEX('Scoring Method'!$B$105:$B$113,MATCH(AP188,'Scoring Method'!$A$105:$A$113,0))+INDEX('Scoring Method'!$B$74:$B$78,MATCH(AQ188,'Scoring Method'!$A$74:$A$78,0))*0.6667+INDEX('Scoring Method'!$B$96:$B$101,MATCH(AO188,'Scoring Method'!$A$96:$A$101,0))+INDEX('Scoring Method'!$B$343:$B$347,MATCH(X188,'Scoring Method'!$A$343:$A$347,0))*0.3333+INDEX('Scoring Method'!$B$25:$B$27,MATCH(P188,'Scoring Method'!$A$25:$A$27,0))*0.3333,1)</f>
        <v/>
      </c>
      <c r="AT188" s="96">
        <f>AS188*U188/100</f>
        <v/>
      </c>
      <c r="AU188" s="92" t="inlineStr">
        <is>
          <t>Old Seminary Square</t>
        </is>
      </c>
      <c r="AV188" s="92" t="n">
        <v>35</v>
      </c>
      <c r="AW188" s="101" t="inlineStr">
        <is>
          <t>ESTIMATED</t>
        </is>
      </c>
      <c r="AX188" s="92" t="inlineStr">
        <is>
          <t>Elevated 35-44</t>
        </is>
      </c>
      <c r="AY188" s="96">
        <f>ROUND(INDEX('Scoring Method'!$B$132:$B$140,MATCH(AE188,'Scoring Method'!$A$132:$A$140,0))+INDEX('Scoring Method'!$B$144:$B$152,MATCH(AP188,'Scoring Method'!$A$144:$A$152,0))+INDEX('Scoring Method'!$B$156:$B$160,MATCH(AQ188,'Scoring Method'!$A$156:$A$160,0))+INDEX('Scoring Method'!$B$164:$B$169,MATCH(AO188,'Scoring Method'!$A$164:$A$169,0))+INDEX('Scoring Method'!$B$173:$B$178,MATCH(AX188,'Scoring Method'!$A$173:$A$178,0))+INDEX('Scoring Method'!$B$349:$B$353,MATCH(X188,'Scoring Method'!$A$349:$A$353,0))+INDEX('Scoring Method'!$B$188:$B$190,MATCH(P188,'Scoring Method'!$A$188:$A$190,0)),1)</f>
        <v/>
      </c>
      <c r="AZ188" s="96">
        <f>AY188*U188/100</f>
        <v/>
      </c>
      <c r="BA188" s="92" t="inlineStr">
        <is>
          <t>No chain signal</t>
        </is>
      </c>
      <c r="BB188" s="94" t="n">
        <v>1</v>
      </c>
      <c r="BC188" s="102" t="inlineStr">
        <is>
          <t>Small 0.25-0.35 AC</t>
        </is>
      </c>
      <c r="BD188" s="94" t="n">
        <v>0.9</v>
      </c>
      <c r="BE188" s="96">
        <f>ROUND(INDEX('Scoring Method'!$B$268:$B$276,MATCH(AE188,'Scoring Method'!$A$268:$A$276,0))+INDEX('Scoring Method'!$B$280:$B$288,MATCH(AP188,'Scoring Method'!$A$280:$A$288,0))+INDEX('Scoring Method'!$B$292:$B$296,MATCH(AQ188,'Scoring Method'!$A$292:$A$296,0))+INDEX('Scoring Method'!$B$300:$B$305,MATCH(AO188,'Scoring Method'!$A$300:$A$305,0))+INDEX('Scoring Method'!$B$309:$B$314,MATCH(AX188,'Scoring Method'!$A$309:$A$314,0))+INDEX('Scoring Method'!$B$337:$B$341,MATCH(X188,'Scoring Method'!$A$337:$A$341,0))+INDEX('Scoring Method'!$B$324:$B$326,MATCH(P188,'Scoring Method'!$A$324:$A$326,0)),1)</f>
        <v/>
      </c>
      <c r="BF188" s="96">
        <f>ROUND(INDEX('Scoring Method'!$B$268:$B$276,MATCH(AE188,'Scoring Method'!$A$268:$A$276,0))*BB188*BD188+INDEX('Scoring Method'!$B$280:$B$288,MATCH(AP188,'Scoring Method'!$A$280:$A$288,0))*BM188*BB188*BD188+INDEX('Scoring Method'!$B$292:$B$296,MATCH(AQ188,'Scoring Method'!$A$292:$A$296,0))*BD188+INDEX('Scoring Method'!$B$300:$B$305,MATCH(AO188,'Scoring Method'!$A$300:$A$305,0))*BM188*BB188+INDEX('Scoring Method'!$B$309:$B$314,MATCH(AX188,'Scoring Method'!$A$309:$A$314,0))+INDEX('Scoring Method'!$B$337:$B$341,MATCH(X188,'Scoring Method'!$A$337:$A$341,0))+INDEX('Scoring Method'!$B$324:$B$326,MATCH(P188,'Scoring Method'!$A$324:$A$326,0)),1)</f>
        <v/>
      </c>
      <c r="BG188" s="92" t="inlineStr">
        <is>
          <t>Fits (~$786/mo)</t>
        </is>
      </c>
      <c r="BH188" s="61" t="inlineStr">
        <is>
          <t>SU</t>
        </is>
      </c>
      <c r="BI188" s="61" t="inlineStr">
        <is>
          <t>Semi-Urban Residential</t>
        </is>
      </c>
      <c r="BJ188" s="61" t="inlineStr"/>
      <c r="BK188" s="61" t="inlineStr"/>
      <c r="BL188" s="61" t="inlineStr">
        <is>
          <t>SU corner unverified</t>
        </is>
      </c>
      <c r="BM188" s="61">
        <f>INDEX('Scoring Method'!$B$358:$B$363,MATCH(BL188,'Scoring Method'!$A$358:$A$363,0))</f>
        <v/>
      </c>
    </row>
    <row r="189" ht="15" customHeight="1" s="62">
      <c r="A189" s="92" t="n">
        <v>188</v>
      </c>
      <c r="B189" s="92" t="inlineStr">
        <is>
          <t>055-14-18-023.00</t>
        </is>
      </c>
      <c r="C189" s="92" t="inlineStr">
        <is>
          <t>1918 MADISON AVE</t>
        </is>
      </c>
      <c r="D189" s="92" t="inlineStr">
        <is>
          <t>KEN MORGAN PROPERTIES LLC</t>
        </is>
      </c>
      <c r="E189" s="92" t="inlineStr">
        <is>
          <t>3 TRAILRIDGE LN</t>
        </is>
      </c>
      <c r="F189" s="92" t="inlineStr">
        <is>
          <t>WILDER</t>
        </is>
      </c>
      <c r="G189" s="92" t="inlineStr">
        <is>
          <t>KY</t>
        </is>
      </c>
      <c r="H189" s="92" t="inlineStr">
        <is>
          <t>PAVED LOT</t>
        </is>
      </c>
      <c r="I189" s="93" t="n">
        <v>9079</v>
      </c>
      <c r="J189" s="94">
        <f>I189/43560</f>
        <v/>
      </c>
      <c r="K189" s="93" t="n">
        <v>394</v>
      </c>
      <c r="L189" s="95">
        <f>I189/(K189^2)</f>
        <v/>
      </c>
      <c r="M189" s="92" t="inlineStr">
        <is>
          <t>Poor &lt;10k/&gt;60k</t>
        </is>
      </c>
      <c r="N189" s="92" t="inlineStr">
        <is>
          <t>D</t>
        </is>
      </c>
      <c r="O189" s="92" t="inlineStr">
        <is>
          <t>Compact &gt;=.055</t>
        </is>
      </c>
      <c r="P189" s="92" t="inlineStr">
        <is>
          <t>Low</t>
        </is>
      </c>
      <c r="Q189" s="92" t="inlineStr">
        <is>
          <t>Out-of-city KY</t>
        </is>
      </c>
      <c r="R189" s="92" t="inlineStr">
        <is>
          <t>Passive vehicle</t>
        </is>
      </c>
      <c r="S189" s="92" t="n">
        <v>1</v>
      </c>
      <c r="T189" s="96">
        <f>INDEX('Scoring Method'!$B$6:$B$9,MATCH(M189,'Scoring Method'!$A$6:$A$9,0))+INDEX('Scoring Method'!$B$12:$B$16,MATCH(N189,'Scoring Method'!$A$12:$A$16,0))+INDEX('Scoring Method'!$B$19:$B$22,MATCH(O189,'Scoring Method'!$A$19:$A$22,0))+INDEX('Scoring Method'!$B$25:$B$27,MATCH(P189,'Scoring Method'!$A$25:$A$27,0))</f>
        <v/>
      </c>
      <c r="U189" s="96">
        <f>(INDEX('Scoring Method'!$B$30:$B$33,MATCH(Q189,'Scoring Method'!$A$30:$A$33,0))+INDEX('Scoring Method'!$B$36:$B$42,MATCH(R189,'Scoring Method'!$A$36:$A$42,0))+INDEX('Scoring Method'!$B$45:$B$47,MATCH(IF(S189=1,"1",IF(S189=2,"2","3+")),'Scoring Method'!$A$45:$A$47,0)))/90*100</f>
        <v/>
      </c>
      <c r="V189" s="96">
        <f>T189*U189/100</f>
        <v/>
      </c>
      <c r="W189" s="93" t="n">
        <v>3750</v>
      </c>
      <c r="X189" s="92" t="inlineStr">
        <is>
          <t>X (minimal hazard)</t>
        </is>
      </c>
      <c r="Y189" s="93" t="n">
        <v>8725</v>
      </c>
      <c r="Z189" s="97" t="n"/>
      <c r="AA189" s="98">
        <f>MAX(0,(Y189-5000)/300)</f>
        <v/>
      </c>
      <c r="AB189" s="92" t="n"/>
      <c r="AC189" s="92" t="n"/>
      <c r="AD189" s="92" t="n"/>
      <c r="AE189" s="92" t="inlineStr">
        <is>
          <t>Above 2.5-4k</t>
        </is>
      </c>
      <c r="AF189" s="96">
        <f>INDEX('Scoring Method'!$B$63:$B$71,MATCH(AE189,'Scoring Method'!$A$63:$A$71,0))+INDEX('Scoring Method'!$B$75:$B$79,MATCH("Good 8-15k",'Scoring Method'!$A$75:$A$79,0))+INDEX('Scoring Method'!$B$343:$B$347,MATCH(X189,'Scoring Method'!$A$343:$A$347,0))+INDEX('Scoring Method'!$B$25:$B$27,MATCH(P189,'Scoring Method'!$A$25:$A$27,0))</f>
        <v/>
      </c>
      <c r="AG189" s="96">
        <f>AF189*U189/100</f>
        <v/>
      </c>
      <c r="AH189" s="92" t="inlineStr">
        <is>
          <t>LINK-GIS + LoopNet (2026-08-03)</t>
        </is>
      </c>
      <c r="AI189" s="99" t="n">
        <v>39.0676</v>
      </c>
      <c r="AJ189" s="99" t="n">
        <v>-84.50561999999999</v>
      </c>
      <c r="AK189" s="94" t="n">
        <v>1.33</v>
      </c>
      <c r="AL189" s="94" t="n">
        <v>1.61</v>
      </c>
      <c r="AM189" s="94" t="n">
        <v>2.37</v>
      </c>
      <c r="AN189" s="94" t="n">
        <v>1.17</v>
      </c>
      <c r="AO189" s="92" t="inlineStr">
        <is>
          <t>Fringe 0.75-1.25mi</t>
        </is>
      </c>
      <c r="AP189" s="92" t="inlineStr">
        <is>
          <t>Lot / minimal bldg</t>
        </is>
      </c>
      <c r="AQ189" s="92" t="inlineStr">
        <is>
          <t>Good 8-15k</t>
        </is>
      </c>
      <c r="AR189" s="100" t="n"/>
      <c r="AS189" s="96">
        <f>ROUND(INDEX('Scoring Method'!$B$63:$B$70,MATCH(AE189,'Scoring Method'!$A$63:$A$70,0))*0.625+INDEX('Scoring Method'!$B$105:$B$113,MATCH(AP189,'Scoring Method'!$A$105:$A$113,0))+INDEX('Scoring Method'!$B$74:$B$78,MATCH(AQ189,'Scoring Method'!$A$74:$A$78,0))*0.6667+INDEX('Scoring Method'!$B$96:$B$101,MATCH(AO189,'Scoring Method'!$A$96:$A$101,0))+INDEX('Scoring Method'!$B$343:$B$347,MATCH(X189,'Scoring Method'!$A$343:$A$347,0))*0.3333+INDEX('Scoring Method'!$B$25:$B$27,MATCH(P189,'Scoring Method'!$A$25:$A$27,0))*0.3333,1)</f>
        <v/>
      </c>
      <c r="AT189" s="96">
        <f>AS189*U189/100</f>
        <v/>
      </c>
      <c r="AU189" s="92" t="inlineStr">
        <is>
          <t>Levassor Park</t>
        </is>
      </c>
      <c r="AV189" s="92" t="n">
        <v>42</v>
      </c>
      <c r="AW189" s="101" t="inlineStr">
        <is>
          <t>ESTIMATED</t>
        </is>
      </c>
      <c r="AX189" s="92" t="inlineStr">
        <is>
          <t>Elevated 35-44</t>
        </is>
      </c>
      <c r="AY189" s="96">
        <f>ROUND(INDEX('Scoring Method'!$B$132:$B$140,MATCH(AE189,'Scoring Method'!$A$132:$A$140,0))+INDEX('Scoring Method'!$B$144:$B$152,MATCH(AP189,'Scoring Method'!$A$144:$A$152,0))+INDEX('Scoring Method'!$B$156:$B$160,MATCH(AQ189,'Scoring Method'!$A$156:$A$160,0))+INDEX('Scoring Method'!$B$164:$B$169,MATCH(AO189,'Scoring Method'!$A$164:$A$169,0))+INDEX('Scoring Method'!$B$173:$B$178,MATCH(AX189,'Scoring Method'!$A$173:$A$178,0))+INDEX('Scoring Method'!$B$349:$B$353,MATCH(X189,'Scoring Method'!$A$349:$A$353,0))+INDEX('Scoring Method'!$B$188:$B$190,MATCH(P189,'Scoring Method'!$A$188:$A$190,0)),1)</f>
        <v/>
      </c>
      <c r="AZ189" s="96">
        <f>AY189*U189/100</f>
        <v/>
      </c>
      <c r="BA189" s="92" t="inlineStr">
        <is>
          <t>No chain signal</t>
        </is>
      </c>
      <c r="BB189" s="94" t="n">
        <v>1</v>
      </c>
      <c r="BC189" s="103" t="inlineStr">
        <is>
          <t>Extra small 0.15-0.25 AC</t>
        </is>
      </c>
      <c r="BD189" s="94" t="n">
        <v>0.8</v>
      </c>
      <c r="BE189" s="96">
        <f>ROUND(INDEX('Scoring Method'!$B$268:$B$276,MATCH(AE189,'Scoring Method'!$A$268:$A$276,0))+INDEX('Scoring Method'!$B$280:$B$288,MATCH(AP189,'Scoring Method'!$A$280:$A$288,0))+INDEX('Scoring Method'!$B$292:$B$296,MATCH(AQ189,'Scoring Method'!$A$292:$A$296,0))+INDEX('Scoring Method'!$B$300:$B$305,MATCH(AO189,'Scoring Method'!$A$300:$A$305,0))+INDEX('Scoring Method'!$B$309:$B$314,MATCH(AX189,'Scoring Method'!$A$309:$A$314,0))+INDEX('Scoring Method'!$B$337:$B$341,MATCH(X189,'Scoring Method'!$A$337:$A$341,0))+INDEX('Scoring Method'!$B$324:$B$326,MATCH(P189,'Scoring Method'!$A$324:$A$326,0)),1)</f>
        <v/>
      </c>
      <c r="BF189" s="96">
        <f>ROUND(INDEX('Scoring Method'!$B$268:$B$276,MATCH(AE189,'Scoring Method'!$A$268:$A$276,0))*BB189*BD189+INDEX('Scoring Method'!$B$280:$B$288,MATCH(AP189,'Scoring Method'!$A$280:$A$288,0))*BM189*BB189*BD189+INDEX('Scoring Method'!$B$292:$B$296,MATCH(AQ189,'Scoring Method'!$A$292:$A$296,0))*BD189+INDEX('Scoring Method'!$B$300:$B$305,MATCH(AO189,'Scoring Method'!$A$300:$A$305,0))*BM189*BB189+INDEX('Scoring Method'!$B$309:$B$314,MATCH(AX189,'Scoring Method'!$A$309:$A$314,0))+INDEX('Scoring Method'!$B$337:$B$341,MATCH(X189,'Scoring Method'!$A$337:$A$341,0))+INDEX('Scoring Method'!$B$324:$B$326,MATCH(P189,'Scoring Method'!$A$324:$A$326,0)),1)</f>
        <v/>
      </c>
      <c r="BG189" s="92" t="inlineStr">
        <is>
          <t>Fits (~$3,438/mo)</t>
        </is>
      </c>
      <c r="BH189" s="61" t="inlineStr">
        <is>
          <t>AUC</t>
        </is>
      </c>
      <c r="BI189" s="61" t="inlineStr">
        <is>
          <t>Auto-Urban Commercial</t>
        </is>
      </c>
      <c r="BJ189" s="61" t="inlineStr"/>
      <c r="BK189" s="61" t="inlineStr"/>
      <c r="BL189" s="61" t="inlineStr">
        <is>
          <t>Bar permitted</t>
        </is>
      </c>
      <c r="BM189" s="61">
        <f>INDEX('Scoring Method'!$B$358:$B$363,MATCH(BL189,'Scoring Method'!$A$358:$A$363,0))</f>
        <v/>
      </c>
    </row>
    <row r="190" ht="15" customHeight="1" s="62">
      <c r="A190" s="92" t="n">
        <v>189</v>
      </c>
      <c r="B190" s="92" t="inlineStr">
        <is>
          <t>056-14-07-001.02</t>
        </is>
      </c>
      <c r="C190" s="92" t="inlineStr">
        <is>
          <t>130-140 38TH ST W</t>
        </is>
      </c>
      <c r="D190" s="92" t="inlineStr">
        <is>
          <t>LATONIA INDUSTRIAL LLC</t>
        </is>
      </c>
      <c r="E190" s="92" t="inlineStr">
        <is>
          <t>419 GREENUP ST</t>
        </is>
      </c>
      <c r="F190" s="92" t="inlineStr">
        <is>
          <t>COVINGTON</t>
        </is>
      </c>
      <c r="G190" s="92" t="inlineStr">
        <is>
          <t>KY</t>
        </is>
      </c>
      <c r="H190" s="92" t="inlineStr">
        <is>
          <t>WAREHOUSE 1-20000 SQ FT</t>
        </is>
      </c>
      <c r="I190" s="93" t="n">
        <v>29154</v>
      </c>
      <c r="J190" s="94">
        <f>I190/43560</f>
        <v/>
      </c>
      <c r="K190" s="93" t="n">
        <v>939.6</v>
      </c>
      <c r="L190" s="95">
        <f>I190/(K190^2)</f>
        <v/>
      </c>
      <c r="M190" s="92" t="inlineStr">
        <is>
          <t>Ideal 18-32k</t>
        </is>
      </c>
      <c r="N190" s="92" t="inlineStr">
        <is>
          <t>A</t>
        </is>
      </c>
      <c r="O190" s="92" t="inlineStr">
        <is>
          <t>Irregular &lt;.035</t>
        </is>
      </c>
      <c r="P190" s="92" t="inlineStr">
        <is>
          <t>Low</t>
        </is>
      </c>
      <c r="Q190" s="92" t="inlineStr">
        <is>
          <t>Local absentee</t>
        </is>
      </c>
      <c r="R190" s="92" t="inlineStr">
        <is>
          <t>Operating entity</t>
        </is>
      </c>
      <c r="S190" s="92" t="n">
        <v>1</v>
      </c>
      <c r="T190" s="96">
        <f>INDEX('Scoring Method'!$B$6:$B$9,MATCH(M190,'Scoring Method'!$A$6:$A$9,0))+INDEX('Scoring Method'!$B$12:$B$16,MATCH(N190,'Scoring Method'!$A$12:$A$16,0))+INDEX('Scoring Method'!$B$19:$B$22,MATCH(O190,'Scoring Method'!$A$19:$A$22,0))+INDEX('Scoring Method'!$B$25:$B$27,MATCH(P190,'Scoring Method'!$A$25:$A$27,0))</f>
        <v/>
      </c>
      <c r="U190" s="96">
        <f>(INDEX('Scoring Method'!$B$30:$B$33,MATCH(Q190,'Scoring Method'!$A$30:$A$33,0))+INDEX('Scoring Method'!$B$36:$B$42,MATCH(R190,'Scoring Method'!$A$36:$A$42,0))+INDEX('Scoring Method'!$B$45:$B$47,MATCH(IF(S190=1,"1",IF(S190=2,"2","3+")),'Scoring Method'!$A$45:$A$47,0)))/90*100</f>
        <v/>
      </c>
      <c r="V190" s="96">
        <f>T190*U190/100</f>
        <v/>
      </c>
      <c r="W190" s="93" t="n"/>
      <c r="X190" s="92" t="inlineStr">
        <is>
          <t>X (minimal hazard)</t>
        </is>
      </c>
      <c r="Y190" s="93" t="n">
        <v>10150</v>
      </c>
      <c r="Z190" s="97" t="n"/>
      <c r="AA190" s="98" t="n"/>
      <c r="AB190" s="92" t="n"/>
      <c r="AC190" s="92" t="n">
        <v>0.67</v>
      </c>
      <c r="AD190" s="92" t="inlineStr">
        <is>
          <t>ok</t>
        </is>
      </c>
      <c r="AE190" s="92" t="inlineStr">
        <is>
          <t>No building</t>
        </is>
      </c>
      <c r="AF190" s="96">
        <f>INDEX('Scoring Method'!$B$63:$B$71,MATCH(AE190,'Scoring Method'!$A$63:$A$71,0))+INDEX('Scoring Method'!$B$75:$B$79,MATCH("Good 8-15k",'Scoring Method'!$A$75:$A$79,0))+INDEX('Scoring Method'!$B$343:$B$347,MATCH(X190,'Scoring Method'!$A$343:$A$347,0))+INDEX('Scoring Method'!$B$25:$B$27,MATCH(P190,'Scoring Method'!$A$25:$A$27,0))</f>
        <v/>
      </c>
      <c r="AG190" s="96">
        <f>AF190*U190/100</f>
        <v/>
      </c>
      <c r="AH190" s="92" t="inlineStr">
        <is>
          <t>LINK-GIS + LoopNet</t>
        </is>
      </c>
      <c r="AI190" s="99" t="n">
        <v>39.04689</v>
      </c>
      <c r="AJ190" s="99" t="n">
        <v>-84.50732000000001</v>
      </c>
      <c r="AK190" s="94" t="n">
        <v>2.65</v>
      </c>
      <c r="AL190" s="94" t="n">
        <v>3.04</v>
      </c>
      <c r="AM190" s="94" t="n">
        <v>3.78</v>
      </c>
      <c r="AN190" s="94" t="n">
        <v>2.57</v>
      </c>
      <c r="AO190" s="92" t="inlineStr">
        <is>
          <t>Distant 2-3mi</t>
        </is>
      </c>
      <c r="AP190" s="92" t="inlineStr">
        <is>
          <t>Open span</t>
        </is>
      </c>
      <c r="AQ190" s="92" t="inlineStr">
        <is>
          <t>Good 8-15k</t>
        </is>
      </c>
      <c r="AR190" s="100" t="n"/>
      <c r="AS190" s="96">
        <f>ROUND(INDEX('Scoring Method'!$B$63:$B$70,MATCH(AE190,'Scoring Method'!$A$63:$A$70,0))*0.625+INDEX('Scoring Method'!$B$105:$B$113,MATCH(AP190,'Scoring Method'!$A$105:$A$113,0))+INDEX('Scoring Method'!$B$74:$B$78,MATCH(AQ190,'Scoring Method'!$A$74:$A$78,0))*0.6667+INDEX('Scoring Method'!$B$96:$B$101,MATCH(AO190,'Scoring Method'!$A$96:$A$101,0))+INDEX('Scoring Method'!$B$343:$B$347,MATCH(X190,'Scoring Method'!$A$343:$A$347,0))*0.3333+INDEX('Scoring Method'!$B$25:$B$27,MATCH(P190,'Scoring Method'!$A$25:$A$27,0))*0.3333,1)</f>
        <v/>
      </c>
      <c r="AT190" s="96">
        <f>AS190*U190/100</f>
        <v/>
      </c>
      <c r="AU190" s="92" t="inlineStr">
        <is>
          <t>Latonia</t>
        </is>
      </c>
      <c r="AV190" s="92" t="n">
        <v>78</v>
      </c>
      <c r="AW190" s="92" t="inlineStr">
        <is>
          <t>Sourced</t>
        </is>
      </c>
      <c r="AX190" s="92" t="inlineStr">
        <is>
          <t>Safe 70-79</t>
        </is>
      </c>
      <c r="AY190" s="96">
        <f>ROUND(INDEX('Scoring Method'!$B$132:$B$140,MATCH(AE190,'Scoring Method'!$A$132:$A$140,0))+INDEX('Scoring Method'!$B$144:$B$152,MATCH(AP190,'Scoring Method'!$A$144:$A$152,0))+INDEX('Scoring Method'!$B$156:$B$160,MATCH(AQ190,'Scoring Method'!$A$156:$A$160,0))+INDEX('Scoring Method'!$B$164:$B$169,MATCH(AO190,'Scoring Method'!$A$164:$A$169,0))+INDEX('Scoring Method'!$B$173:$B$178,MATCH(AX190,'Scoring Method'!$A$173:$A$178,0))+INDEX('Scoring Method'!$B$349:$B$353,MATCH(X190,'Scoring Method'!$A$349:$A$353,0))+INDEX('Scoring Method'!$B$188:$B$190,MATCH(P190,'Scoring Method'!$A$188:$A$190,0)),1)</f>
        <v/>
      </c>
      <c r="AZ190" s="96">
        <f>AY190*U190/100</f>
        <v/>
      </c>
      <c r="BA190" s="92" t="inlineStr">
        <is>
          <t>No chain signal</t>
        </is>
      </c>
      <c r="BB190" s="94" t="n">
        <v>1</v>
      </c>
      <c r="BC190" s="92" t="inlineStr">
        <is>
          <t>Right-sized 0.35-0.75 AC</t>
        </is>
      </c>
      <c r="BD190" s="94" t="n">
        <v>1</v>
      </c>
      <c r="BE190" s="96">
        <f>ROUND(INDEX('Scoring Method'!$B$268:$B$276,MATCH(AE190,'Scoring Method'!$A$268:$A$276,0))+INDEX('Scoring Method'!$B$280:$B$288,MATCH(AP190,'Scoring Method'!$A$280:$A$288,0))+INDEX('Scoring Method'!$B$292:$B$296,MATCH(AQ190,'Scoring Method'!$A$292:$A$296,0))+INDEX('Scoring Method'!$B$300:$B$305,MATCH(AO190,'Scoring Method'!$A$300:$A$305,0))+INDEX('Scoring Method'!$B$309:$B$314,MATCH(AX190,'Scoring Method'!$A$309:$A$314,0))+INDEX('Scoring Method'!$B$337:$B$341,MATCH(X190,'Scoring Method'!$A$337:$A$341,0))+INDEX('Scoring Method'!$B$324:$B$326,MATCH(P190,'Scoring Method'!$A$324:$A$326,0)),1)</f>
        <v/>
      </c>
      <c r="BF190" s="96">
        <f>ROUND(INDEX('Scoring Method'!$B$268:$B$276,MATCH(AE190,'Scoring Method'!$A$268:$A$276,0))*BB190*BD190+INDEX('Scoring Method'!$B$280:$B$288,MATCH(AP190,'Scoring Method'!$A$280:$A$288,0))*BM190*BB190*BD190+INDEX('Scoring Method'!$B$292:$B$296,MATCH(AQ190,'Scoring Method'!$A$292:$A$296,0))*BD190+INDEX('Scoring Method'!$B$300:$B$305,MATCH(AO190,'Scoring Method'!$A$300:$A$305,0))*BM190*BB190+INDEX('Scoring Method'!$B$309:$B$314,MATCH(AX190,'Scoring Method'!$A$309:$A$314,0))+INDEX('Scoring Method'!$B$337:$B$341,MATCH(X190,'Scoring Method'!$A$337:$A$341,0))+INDEX('Scoring Method'!$B$324:$B$326,MATCH(P190,'Scoring Method'!$A$324:$A$326,0)),1)</f>
        <v/>
      </c>
      <c r="BG190" s="92" t="n"/>
      <c r="BH190" s="61" t="inlineStr">
        <is>
          <t>SI</t>
        </is>
      </c>
      <c r="BI190" s="61" t="inlineStr">
        <is>
          <t>Suburban Industrial</t>
        </is>
      </c>
      <c r="BJ190" s="61" t="inlineStr"/>
      <c r="BK190" s="61" t="inlineStr"/>
      <c r="BL190" s="61" t="inlineStr">
        <is>
          <t>Bar permitted</t>
        </is>
      </c>
      <c r="BM190" s="61">
        <f>INDEX('Scoring Method'!$B$358:$B$363,MATCH(BL190,'Scoring Method'!$A$358:$A$363,0))</f>
        <v/>
      </c>
    </row>
    <row r="191" ht="15" customHeight="1" s="62">
      <c r="A191" s="92" t="n">
        <v>190</v>
      </c>
      <c r="B191" s="92" t="inlineStr">
        <is>
          <t>040-43-04-002.03</t>
        </is>
      </c>
      <c r="C191" s="92" t="inlineStr">
        <is>
          <t>620 W 5TH ST</t>
        </is>
      </c>
      <c r="D191" s="92" t="inlineStr">
        <is>
          <t>SKYLIGHT CINCINNATI HOLDING</t>
        </is>
      </c>
      <c r="E191" s="92" t="inlineStr">
        <is>
          <t>12914 ROCKY POINTE DR</t>
        </is>
      </c>
      <c r="F191" s="92" t="inlineStr">
        <is>
          <t>FISHERS</t>
        </is>
      </c>
      <c r="G191" s="92" t="inlineStr">
        <is>
          <t>IN</t>
        </is>
      </c>
      <c r="H191" s="92" t="inlineStr">
        <is>
          <t>PAVED LOT</t>
        </is>
      </c>
      <c r="I191" s="93" t="n">
        <v>33402</v>
      </c>
      <c r="J191" s="94">
        <f>I191/43560</f>
        <v/>
      </c>
      <c r="K191" s="93" t="n">
        <v>958</v>
      </c>
      <c r="L191" s="95">
        <f>I191/(K191^2)</f>
        <v/>
      </c>
      <c r="M191" s="92" t="inlineStr">
        <is>
          <t>Near 14-18k/32-45k</t>
        </is>
      </c>
      <c r="N191" s="92" t="inlineStr">
        <is>
          <t>D</t>
        </is>
      </c>
      <c r="O191" s="92" t="inlineStr">
        <is>
          <t>Elongated .035-.045</t>
        </is>
      </c>
      <c r="P191" s="92" t="inlineStr">
        <is>
          <t>Low</t>
        </is>
      </c>
      <c r="Q191" s="92" t="inlineStr">
        <is>
          <t>Out-of-state</t>
        </is>
      </c>
      <c r="R191" s="92" t="inlineStr">
        <is>
          <t>Operating entity</t>
        </is>
      </c>
      <c r="S191" s="92" t="n">
        <v>1</v>
      </c>
      <c r="T191" s="96">
        <f>INDEX('Scoring Method'!$B$6:$B$9,MATCH(M191,'Scoring Method'!$A$6:$A$9,0))+INDEX('Scoring Method'!$B$12:$B$16,MATCH(N191,'Scoring Method'!$A$12:$A$16,0))+INDEX('Scoring Method'!$B$19:$B$22,MATCH(O191,'Scoring Method'!$A$19:$A$22,0))+INDEX('Scoring Method'!$B$25:$B$27,MATCH(P191,'Scoring Method'!$A$25:$A$27,0))</f>
        <v/>
      </c>
      <c r="U191" s="96">
        <f>(INDEX('Scoring Method'!$B$30:$B$33,MATCH(Q191,'Scoring Method'!$A$30:$A$33,0))+INDEX('Scoring Method'!$B$36:$B$42,MATCH(R191,'Scoring Method'!$A$36:$A$42,0))+INDEX('Scoring Method'!$B$45:$B$47,MATCH(IF(S191=1,"1",IF(S191=2,"2","3+")),'Scoring Method'!$A$45:$A$47,0)))/90*100</f>
        <v/>
      </c>
      <c r="V191" s="96">
        <f>T191*U191/100</f>
        <v/>
      </c>
      <c r="W191" s="93" t="n"/>
      <c r="X191" s="92" t="inlineStr">
        <is>
          <t>X (minimal hazard)</t>
        </is>
      </c>
      <c r="Y191" s="93" t="n">
        <v>33200</v>
      </c>
      <c r="Z191" s="97" t="n"/>
      <c r="AA191" s="98" t="n"/>
      <c r="AB191" s="92" t="n"/>
      <c r="AC191" s="92" t="n">
        <v>0.77</v>
      </c>
      <c r="AD191" s="92" t="inlineStr">
        <is>
          <t>ok</t>
        </is>
      </c>
      <c r="AE191" s="92" t="inlineStr">
        <is>
          <t>No building</t>
        </is>
      </c>
      <c r="AF191" s="96">
        <f>INDEX('Scoring Method'!$B$63:$B$71,MATCH(AE191,'Scoring Method'!$A$63:$A$71,0))+INDEX('Scoring Method'!$B$75:$B$79,MATCH("Ample &gt;=15k",'Scoring Method'!$A$75:$A$79,0))+INDEX('Scoring Method'!$B$343:$B$347,MATCH(X191,'Scoring Method'!$A$343:$A$347,0))+INDEX('Scoring Method'!$B$25:$B$27,MATCH(P191,'Scoring Method'!$A$25:$A$27,0))</f>
        <v/>
      </c>
      <c r="AG191" s="96">
        <f>AF191*U191/100</f>
        <v/>
      </c>
      <c r="AH191" s="92" t="inlineStr">
        <is>
          <t>LINK-GIS + LoopNet</t>
        </is>
      </c>
      <c r="AI191" s="99" t="n">
        <v>39.0857</v>
      </c>
      <c r="AJ191" s="99" t="n">
        <v>-84.52078</v>
      </c>
      <c r="AK191" s="94" t="n">
        <v>0.18</v>
      </c>
      <c r="AL191" s="94" t="n">
        <v>0.75</v>
      </c>
      <c r="AM191" s="94" t="n">
        <v>1.18</v>
      </c>
      <c r="AN191" s="94" t="n">
        <v>0.18</v>
      </c>
      <c r="AO191" s="92" t="inlineStr">
        <is>
          <t>Core &lt;=0.35mi</t>
        </is>
      </c>
      <c r="AP191" s="92" t="inlineStr">
        <is>
          <t>Lot / minimal bldg</t>
        </is>
      </c>
      <c r="AQ191" s="92" t="inlineStr">
        <is>
          <t>Ample &gt;=15k</t>
        </is>
      </c>
      <c r="AR191" s="100" t="n"/>
      <c r="AS191" s="96">
        <f>ROUND(INDEX('Scoring Method'!$B$63:$B$70,MATCH(AE191,'Scoring Method'!$A$63:$A$70,0))*0.625+INDEX('Scoring Method'!$B$105:$B$113,MATCH(AP191,'Scoring Method'!$A$105:$A$113,0))+INDEX('Scoring Method'!$B$74:$B$78,MATCH(AQ191,'Scoring Method'!$A$74:$A$78,0))*0.6667+INDEX('Scoring Method'!$B$96:$B$101,MATCH(AO191,'Scoring Method'!$A$96:$A$101,0))+INDEX('Scoring Method'!$B$343:$B$347,MATCH(X191,'Scoring Method'!$A$343:$A$347,0))*0.3333+INDEX('Scoring Method'!$B$25:$B$27,MATCH(P191,'Scoring Method'!$A$25:$A$27,0))*0.3333,1)</f>
        <v/>
      </c>
      <c r="AT191" s="96">
        <f>AS191*U191/100</f>
        <v/>
      </c>
      <c r="AU191" s="92" t="inlineStr">
        <is>
          <t>MainStrasse</t>
        </is>
      </c>
      <c r="AV191" s="92" t="n">
        <v>75</v>
      </c>
      <c r="AW191" s="92" t="inlineStr">
        <is>
          <t>Sourced</t>
        </is>
      </c>
      <c r="AX191" s="92" t="inlineStr">
        <is>
          <t>Safe 70-79</t>
        </is>
      </c>
      <c r="AY191" s="96">
        <f>ROUND(INDEX('Scoring Method'!$B$132:$B$140,MATCH(AE191,'Scoring Method'!$A$132:$A$140,0))+INDEX('Scoring Method'!$B$144:$B$152,MATCH(AP191,'Scoring Method'!$A$144:$A$152,0))+INDEX('Scoring Method'!$B$156:$B$160,MATCH(AQ191,'Scoring Method'!$A$156:$A$160,0))+INDEX('Scoring Method'!$B$164:$B$169,MATCH(AO191,'Scoring Method'!$A$164:$A$169,0))+INDEX('Scoring Method'!$B$173:$B$178,MATCH(AX191,'Scoring Method'!$A$173:$A$178,0))+INDEX('Scoring Method'!$B$349:$B$353,MATCH(X191,'Scoring Method'!$A$349:$A$353,0))+INDEX('Scoring Method'!$B$188:$B$190,MATCH(P191,'Scoring Method'!$A$188:$A$190,0)),1)</f>
        <v/>
      </c>
      <c r="AZ191" s="96">
        <f>AY191*U191/100</f>
        <v/>
      </c>
      <c r="BA191" s="92" t="inlineStr">
        <is>
          <t>No chain signal</t>
        </is>
      </c>
      <c r="BB191" s="94" t="n">
        <v>1</v>
      </c>
      <c r="BC191" s="102" t="inlineStr">
        <is>
          <t>Large 0.75-1.25 AC</t>
        </is>
      </c>
      <c r="BD191" s="94" t="n">
        <v>0.9</v>
      </c>
      <c r="BE191" s="96">
        <f>ROUND(INDEX('Scoring Method'!$B$268:$B$276,MATCH(AE191,'Scoring Method'!$A$268:$A$276,0))+INDEX('Scoring Method'!$B$280:$B$288,MATCH(AP191,'Scoring Method'!$A$280:$A$288,0))+INDEX('Scoring Method'!$B$292:$B$296,MATCH(AQ191,'Scoring Method'!$A$292:$A$296,0))+INDEX('Scoring Method'!$B$300:$B$305,MATCH(AO191,'Scoring Method'!$A$300:$A$305,0))+INDEX('Scoring Method'!$B$309:$B$314,MATCH(AX191,'Scoring Method'!$A$309:$A$314,0))+INDEX('Scoring Method'!$B$337:$B$341,MATCH(X191,'Scoring Method'!$A$337:$A$341,0))+INDEX('Scoring Method'!$B$324:$B$326,MATCH(P191,'Scoring Method'!$A$324:$A$326,0)),1)</f>
        <v/>
      </c>
      <c r="BF191" s="96">
        <f>ROUND(INDEX('Scoring Method'!$B$268:$B$276,MATCH(AE191,'Scoring Method'!$A$268:$A$276,0))*BB191*BD191+INDEX('Scoring Method'!$B$280:$B$288,MATCH(AP191,'Scoring Method'!$A$280:$A$288,0))*BM191*BB191*BD191+INDEX('Scoring Method'!$B$292:$B$296,MATCH(AQ191,'Scoring Method'!$A$292:$A$296,0))*BD191+INDEX('Scoring Method'!$B$300:$B$305,MATCH(AO191,'Scoring Method'!$A$300:$A$305,0))*BM191*BB191+INDEX('Scoring Method'!$B$309:$B$314,MATCH(AX191,'Scoring Method'!$A$309:$A$314,0))+INDEX('Scoring Method'!$B$337:$B$341,MATCH(X191,'Scoring Method'!$A$337:$A$341,0))+INDEX('Scoring Method'!$B$324:$B$326,MATCH(P191,'Scoring Method'!$A$324:$A$326,0)),1)</f>
        <v/>
      </c>
      <c r="BG191" s="92" t="n"/>
      <c r="BH191" s="61" t="inlineStr">
        <is>
          <t>AUC</t>
        </is>
      </c>
      <c r="BI191" s="61" t="inlineStr">
        <is>
          <t>Auto-Urban Commercial</t>
        </is>
      </c>
      <c r="BJ191" s="61" t="inlineStr"/>
      <c r="BK191" s="61" t="inlineStr"/>
      <c r="BL191" s="61" t="inlineStr">
        <is>
          <t>Bar permitted</t>
        </is>
      </c>
      <c r="BM191" s="61">
        <f>INDEX('Scoring Method'!$B$358:$B$363,MATCH(BL191,'Scoring Method'!$A$358:$A$363,0))</f>
        <v/>
      </c>
    </row>
    <row r="192" ht="15" customHeight="1" s="62">
      <c r="A192" s="92" t="n">
        <v>191</v>
      </c>
      <c r="B192" s="92" t="inlineStr">
        <is>
          <t>056-14-10-021.00</t>
        </is>
      </c>
      <c r="C192" s="92" t="inlineStr">
        <is>
          <t>14 W 38TH ST</t>
        </is>
      </c>
      <c r="D192" s="92" t="inlineStr">
        <is>
          <t>CALVARY BAPTIST CHURCH OF</t>
        </is>
      </c>
      <c r="E192" s="92" t="inlineStr">
        <is>
          <t>3177 TIBBATTS ST</t>
        </is>
      </c>
      <c r="F192" s="92" t="inlineStr">
        <is>
          <t>COVINGTON</t>
        </is>
      </c>
      <c r="G192" s="92" t="inlineStr">
        <is>
          <t>KY</t>
        </is>
      </c>
      <c r="H192" s="92" t="inlineStr">
        <is>
          <t>GARAGE</t>
        </is>
      </c>
      <c r="I192" s="93" t="n">
        <v>9340</v>
      </c>
      <c r="J192" s="94">
        <f>I192/43560</f>
        <v/>
      </c>
      <c r="K192" s="93" t="n">
        <v>473.6</v>
      </c>
      <c r="L192" s="95">
        <f>I192/(K192^2)</f>
        <v/>
      </c>
      <c r="M192" s="92" t="inlineStr">
        <is>
          <t>Poor &lt;10k/&gt;60k</t>
        </is>
      </c>
      <c r="N192" s="92" t="inlineStr">
        <is>
          <t>A</t>
        </is>
      </c>
      <c r="O192" s="92" t="inlineStr">
        <is>
          <t>Elongated .035-.045</t>
        </is>
      </c>
      <c r="P192" s="92" t="inlineStr">
        <is>
          <t>Moderate</t>
        </is>
      </c>
      <c r="Q192" s="92" t="inlineStr">
        <is>
          <t>Local absentee</t>
        </is>
      </c>
      <c r="R192" s="92" t="inlineStr">
        <is>
          <t>Religious</t>
        </is>
      </c>
      <c r="S192" s="92" t="n">
        <v>4</v>
      </c>
      <c r="T192" s="96">
        <f>INDEX('Scoring Method'!$B$6:$B$9,MATCH(M192,'Scoring Method'!$A$6:$A$9,0))+INDEX('Scoring Method'!$B$12:$B$16,MATCH(N192,'Scoring Method'!$A$12:$A$16,0))+INDEX('Scoring Method'!$B$19:$B$22,MATCH(O192,'Scoring Method'!$A$19:$A$22,0))+INDEX('Scoring Method'!$B$25:$B$27,MATCH(P192,'Scoring Method'!$A$25:$A$27,0))</f>
        <v/>
      </c>
      <c r="U192" s="96">
        <f>(INDEX('Scoring Method'!$B$30:$B$33,MATCH(Q192,'Scoring Method'!$A$30:$A$33,0))+INDEX('Scoring Method'!$B$36:$B$42,MATCH(R192,'Scoring Method'!$A$36:$A$42,0))+INDEX('Scoring Method'!$B$45:$B$47,MATCH(IF(S192=1,"1",IF(S192=2,"2","3+")),'Scoring Method'!$A$45:$A$47,0)))/90*100</f>
        <v/>
      </c>
      <c r="V192" s="96">
        <f>T192*U192/100</f>
        <v/>
      </c>
      <c r="W192" s="93" t="n">
        <v>2040</v>
      </c>
      <c r="X192" s="92" t="inlineStr">
        <is>
          <t>X (minimal hazard)</t>
        </is>
      </c>
      <c r="Y192" s="93" t="n">
        <v>6450</v>
      </c>
      <c r="Z192" s="97" t="n"/>
      <c r="AA192" s="98">
        <f>MAX(0,(Y192-5000)/300)</f>
        <v/>
      </c>
      <c r="AB192" s="92" t="n"/>
      <c r="AC192" s="92" t="n"/>
      <c r="AD192" s="92" t="n"/>
      <c r="AE192" s="92" t="inlineStr">
        <is>
          <t>Target 1.5-2.5k</t>
        </is>
      </c>
      <c r="AF192" s="96">
        <f>INDEX('Scoring Method'!$B$63:$B$71,MATCH(AE192,'Scoring Method'!$A$63:$A$71,0))+INDEX('Scoring Method'!$B$75:$B$79,MATCH("Adequate 5-8k",'Scoring Method'!$A$75:$A$79,0))+INDEX('Scoring Method'!$B$343:$B$347,MATCH(X192,'Scoring Method'!$A$343:$A$347,0))+INDEX('Scoring Method'!$B$25:$B$27,MATCH(P192,'Scoring Method'!$A$25:$A$27,0))</f>
        <v/>
      </c>
      <c r="AG192" s="96">
        <f>AF192*U192/100</f>
        <v/>
      </c>
      <c r="AH192" s="92" t="inlineStr">
        <is>
          <t>LINK-GIS only</t>
        </is>
      </c>
      <c r="AI192" s="99" t="n">
        <v>39.04675</v>
      </c>
      <c r="AJ192" s="99" t="n">
        <v>-84.50445999999999</v>
      </c>
      <c r="AK192" s="94" t="n">
        <v>2.7</v>
      </c>
      <c r="AL192" s="94" t="n">
        <v>3.05</v>
      </c>
      <c r="AM192" s="94" t="n">
        <v>3.81</v>
      </c>
      <c r="AN192" s="94" t="n">
        <v>2.6</v>
      </c>
      <c r="AO192" s="92" t="inlineStr">
        <is>
          <t>Distant 2-3mi</t>
        </is>
      </c>
      <c r="AP192" s="92" t="inlineStr">
        <is>
          <t>Open span</t>
        </is>
      </c>
      <c r="AQ192" s="92" t="inlineStr">
        <is>
          <t>Adequate 5-8k</t>
        </is>
      </c>
      <c r="AR192" s="100" t="n"/>
      <c r="AS192" s="96">
        <f>ROUND(INDEX('Scoring Method'!$B$63:$B$70,MATCH(AE192,'Scoring Method'!$A$63:$A$70,0))*0.625+INDEX('Scoring Method'!$B$105:$B$113,MATCH(AP192,'Scoring Method'!$A$105:$A$113,0))+INDEX('Scoring Method'!$B$74:$B$78,MATCH(AQ192,'Scoring Method'!$A$74:$A$78,0))*0.6667+INDEX('Scoring Method'!$B$96:$B$101,MATCH(AO192,'Scoring Method'!$A$96:$A$101,0))+INDEX('Scoring Method'!$B$343:$B$347,MATCH(X192,'Scoring Method'!$A$343:$A$347,0))*0.3333+INDEX('Scoring Method'!$B$25:$B$27,MATCH(P192,'Scoring Method'!$A$25:$A$27,0))*0.3333,1)</f>
        <v/>
      </c>
      <c r="AT192" s="96">
        <f>AS192*U192/100</f>
        <v/>
      </c>
      <c r="AU192" s="92" t="inlineStr">
        <is>
          <t>Latonia</t>
        </is>
      </c>
      <c r="AV192" s="92" t="n">
        <v>78</v>
      </c>
      <c r="AW192" s="92" t="inlineStr">
        <is>
          <t>Sourced</t>
        </is>
      </c>
      <c r="AX192" s="92" t="inlineStr">
        <is>
          <t>Safe 70-79</t>
        </is>
      </c>
      <c r="AY192" s="96">
        <f>ROUND(INDEX('Scoring Method'!$B$132:$B$140,MATCH(AE192,'Scoring Method'!$A$132:$A$140,0))+INDEX('Scoring Method'!$B$144:$B$152,MATCH(AP192,'Scoring Method'!$A$144:$A$152,0))+INDEX('Scoring Method'!$B$156:$B$160,MATCH(AQ192,'Scoring Method'!$A$156:$A$160,0))+INDEX('Scoring Method'!$B$164:$B$169,MATCH(AO192,'Scoring Method'!$A$164:$A$169,0))+INDEX('Scoring Method'!$B$173:$B$178,MATCH(AX192,'Scoring Method'!$A$173:$A$178,0))+INDEX('Scoring Method'!$B$349:$B$353,MATCH(X192,'Scoring Method'!$A$349:$A$353,0))+INDEX('Scoring Method'!$B$188:$B$190,MATCH(P192,'Scoring Method'!$A$188:$A$190,0)),1)</f>
        <v/>
      </c>
      <c r="AZ192" s="96">
        <f>AY192*U192/100</f>
        <v/>
      </c>
      <c r="BA192" s="92" t="inlineStr">
        <is>
          <t>No chain signal</t>
        </is>
      </c>
      <c r="BB192" s="94" t="n">
        <v>1</v>
      </c>
      <c r="BC192" s="103" t="inlineStr">
        <is>
          <t>Extra small 0.15-0.25 AC</t>
        </is>
      </c>
      <c r="BD192" s="94" t="n">
        <v>0.8</v>
      </c>
      <c r="BE192" s="96">
        <f>ROUND(INDEX('Scoring Method'!$B$268:$B$276,MATCH(AE192,'Scoring Method'!$A$268:$A$276,0))+INDEX('Scoring Method'!$B$280:$B$288,MATCH(AP192,'Scoring Method'!$A$280:$A$288,0))+INDEX('Scoring Method'!$B$292:$B$296,MATCH(AQ192,'Scoring Method'!$A$292:$A$296,0))+INDEX('Scoring Method'!$B$300:$B$305,MATCH(AO192,'Scoring Method'!$A$300:$A$305,0))+INDEX('Scoring Method'!$B$309:$B$314,MATCH(AX192,'Scoring Method'!$A$309:$A$314,0))+INDEX('Scoring Method'!$B$337:$B$341,MATCH(X192,'Scoring Method'!$A$337:$A$341,0))+INDEX('Scoring Method'!$B$324:$B$326,MATCH(P192,'Scoring Method'!$A$324:$A$326,0)),1)</f>
        <v/>
      </c>
      <c r="BF192" s="96">
        <f>ROUND(INDEX('Scoring Method'!$B$268:$B$276,MATCH(AE192,'Scoring Method'!$A$268:$A$276,0))*BB192*BD192+INDEX('Scoring Method'!$B$280:$B$288,MATCH(AP192,'Scoring Method'!$A$280:$A$288,0))*BM192*BB192*BD192+INDEX('Scoring Method'!$B$292:$B$296,MATCH(AQ192,'Scoring Method'!$A$292:$A$296,0))*BD192+INDEX('Scoring Method'!$B$300:$B$305,MATCH(AO192,'Scoring Method'!$A$300:$A$305,0))*BM192*BB192+INDEX('Scoring Method'!$B$309:$B$314,MATCH(AX192,'Scoring Method'!$A$309:$A$314,0))+INDEX('Scoring Method'!$B$337:$B$341,MATCH(X192,'Scoring Method'!$A$337:$A$341,0))+INDEX('Scoring Method'!$B$324:$B$326,MATCH(P192,'Scoring Method'!$A$324:$A$326,0)),1)</f>
        <v/>
      </c>
      <c r="BG192" s="92" t="inlineStr">
        <is>
          <t>Fits (~$1,870/mo)</t>
        </is>
      </c>
      <c r="BH192" s="61" t="inlineStr">
        <is>
          <t>TUMU</t>
        </is>
      </c>
      <c r="BI192" s="61" t="inlineStr">
        <is>
          <t>Traditional Urban Mixed Use</t>
        </is>
      </c>
      <c r="BJ192" s="61" t="inlineStr"/>
      <c r="BK192" s="61" t="inlineStr"/>
      <c r="BL192" s="61" t="inlineStr">
        <is>
          <t>Bar permitted</t>
        </is>
      </c>
      <c r="BM192" s="61">
        <f>INDEX('Scoring Method'!$B$358:$B$363,MATCH(BL192,'Scoring Method'!$A$358:$A$363,0))</f>
        <v/>
      </c>
    </row>
    <row r="193" ht="15" customHeight="1" s="62">
      <c r="A193" s="92" t="n">
        <v>192</v>
      </c>
      <c r="B193" s="92" t="inlineStr">
        <is>
          <t>054-24-14-008.00</t>
        </is>
      </c>
      <c r="C193" s="92" t="inlineStr">
        <is>
          <t>118 LYNN ST</t>
        </is>
      </c>
      <c r="D193" s="92" t="inlineStr">
        <is>
          <t>ST JAMES AFRICAN METHODIST</t>
        </is>
      </c>
      <c r="E193" s="92" t="inlineStr">
        <is>
          <t>121 1/2 LYNN ST</t>
        </is>
      </c>
      <c r="F193" s="92" t="inlineStr">
        <is>
          <t>COVINGTON</t>
        </is>
      </c>
      <c r="G193" s="92" t="inlineStr">
        <is>
          <t>KY</t>
        </is>
      </c>
      <c r="H193" s="92" t="inlineStr">
        <is>
          <t>ORGANIZATIONAL MEETING HALL</t>
        </is>
      </c>
      <c r="I193" s="93" t="n">
        <v>10503</v>
      </c>
      <c r="J193" s="94">
        <f>I193/43560</f>
        <v/>
      </c>
      <c r="K193" s="93" t="n">
        <v>410.1</v>
      </c>
      <c r="L193" s="95">
        <f>I193/(K193^2)</f>
        <v/>
      </c>
      <c r="M193" s="92" t="inlineStr">
        <is>
          <t>Marginal 10-14k/45-60k</t>
        </is>
      </c>
      <c r="N193" s="92" t="inlineStr">
        <is>
          <t>B</t>
        </is>
      </c>
      <c r="O193" s="92" t="inlineStr">
        <is>
          <t>Compact &gt;=.055</t>
        </is>
      </c>
      <c r="P193" s="92" t="inlineStr">
        <is>
          <t>Low</t>
        </is>
      </c>
      <c r="Q193" s="92" t="inlineStr">
        <is>
          <t>Local absentee</t>
        </is>
      </c>
      <c r="R193" s="92" t="inlineStr">
        <is>
          <t>Religious</t>
        </is>
      </c>
      <c r="S193" s="92" t="n">
        <v>1</v>
      </c>
      <c r="T193" s="96">
        <f>INDEX('Scoring Method'!$B$6:$B$9,MATCH(M193,'Scoring Method'!$A$6:$A$9,0))+INDEX('Scoring Method'!$B$12:$B$16,MATCH(N193,'Scoring Method'!$A$12:$A$16,0))+INDEX('Scoring Method'!$B$19:$B$22,MATCH(O193,'Scoring Method'!$A$19:$A$22,0))+INDEX('Scoring Method'!$B$25:$B$27,MATCH(P193,'Scoring Method'!$A$25:$A$27,0))</f>
        <v/>
      </c>
      <c r="U193" s="96">
        <f>(INDEX('Scoring Method'!$B$30:$B$33,MATCH(Q193,'Scoring Method'!$A$30:$A$33,0))+INDEX('Scoring Method'!$B$36:$B$42,MATCH(R193,'Scoring Method'!$A$36:$A$42,0))+INDEX('Scoring Method'!$B$45:$B$47,MATCH(IF(S193=1,"1",IF(S193=2,"2","3+")),'Scoring Method'!$A$45:$A$47,0)))/90*100</f>
        <v/>
      </c>
      <c r="V193" s="96">
        <f>T193*U193/100</f>
        <v/>
      </c>
      <c r="W193" s="93" t="n"/>
      <c r="X193" s="92" t="inlineStr">
        <is>
          <t>X (minimal hazard)</t>
        </is>
      </c>
      <c r="Y193" s="93" t="n">
        <v>8225</v>
      </c>
      <c r="Z193" s="97" t="n"/>
      <c r="AA193" s="98" t="n"/>
      <c r="AB193" s="92" t="n"/>
      <c r="AC193" s="92" t="n">
        <v>0.24</v>
      </c>
      <c r="AD193" s="92" t="inlineStr">
        <is>
          <t>ok</t>
        </is>
      </c>
      <c r="AE193" s="92" t="inlineStr">
        <is>
          <t>No building</t>
        </is>
      </c>
      <c r="AF193" s="96">
        <f>INDEX('Scoring Method'!$B$63:$B$71,MATCH(AE193,'Scoring Method'!$A$63:$A$71,0))+INDEX('Scoring Method'!$B$75:$B$79,MATCH("Good 8-15k",'Scoring Method'!$A$75:$A$79,0))+INDEX('Scoring Method'!$B$343:$B$347,MATCH(X193,'Scoring Method'!$A$343:$A$347,0))+INDEX('Scoring Method'!$B$25:$B$27,MATCH(P193,'Scoring Method'!$A$25:$A$27,0))</f>
        <v/>
      </c>
      <c r="AG193" s="96">
        <f>AF193*U193/100</f>
        <v/>
      </c>
      <c r="AH193" s="92" t="inlineStr">
        <is>
          <t>LINK-GIS + LoopNet</t>
        </is>
      </c>
      <c r="AI193" s="99" t="n">
        <v>39.07998</v>
      </c>
      <c r="AJ193" s="99" t="n">
        <v>-84.50646</v>
      </c>
      <c r="AK193" s="94" t="n">
        <v>0.68</v>
      </c>
      <c r="AL193" s="94" t="n">
        <v>0.76</v>
      </c>
      <c r="AM193" s="94" t="n">
        <v>1.52</v>
      </c>
      <c r="AN193" s="94" t="n">
        <v>0.37</v>
      </c>
      <c r="AO193" s="92" t="inlineStr">
        <is>
          <t>Near 0.35-0.75mi</t>
        </is>
      </c>
      <c r="AP193" s="92" t="inlineStr">
        <is>
          <t>Assembly hall</t>
        </is>
      </c>
      <c r="AQ193" s="92" t="inlineStr">
        <is>
          <t>Good 8-15k</t>
        </is>
      </c>
      <c r="AR193" s="100" t="n"/>
      <c r="AS193" s="96">
        <f>ROUND(INDEX('Scoring Method'!$B$63:$B$70,MATCH(AE193,'Scoring Method'!$A$63:$A$70,0))*0.625+INDEX('Scoring Method'!$B$105:$B$113,MATCH(AP193,'Scoring Method'!$A$105:$A$113,0))+INDEX('Scoring Method'!$B$74:$B$78,MATCH(AQ193,'Scoring Method'!$A$74:$A$78,0))*0.6667+INDEX('Scoring Method'!$B$96:$B$101,MATCH(AO193,'Scoring Method'!$A$96:$A$101,0))+INDEX('Scoring Method'!$B$343:$B$347,MATCH(X193,'Scoring Method'!$A$343:$A$347,0))*0.3333+INDEX('Scoring Method'!$B$25:$B$27,MATCH(P193,'Scoring Method'!$A$25:$A$27,0))*0.3333,1)</f>
        <v/>
      </c>
      <c r="AT193" s="96">
        <f>AS193*U193/100</f>
        <v/>
      </c>
      <c r="AU193" s="92" t="inlineStr">
        <is>
          <t>Central Business District</t>
        </is>
      </c>
      <c r="AV193" s="92" t="n">
        <v>48</v>
      </c>
      <c r="AW193" s="101" t="inlineStr">
        <is>
          <t>ESTIMATED</t>
        </is>
      </c>
      <c r="AX193" s="92" t="inlineStr">
        <is>
          <t>Mixed 45-59</t>
        </is>
      </c>
      <c r="AY193" s="96">
        <f>ROUND(INDEX('Scoring Method'!$B$132:$B$140,MATCH(AE193,'Scoring Method'!$A$132:$A$140,0))+INDEX('Scoring Method'!$B$144:$B$152,MATCH(AP193,'Scoring Method'!$A$144:$A$152,0))+INDEX('Scoring Method'!$B$156:$B$160,MATCH(AQ193,'Scoring Method'!$A$156:$A$160,0))+INDEX('Scoring Method'!$B$164:$B$169,MATCH(AO193,'Scoring Method'!$A$164:$A$169,0))+INDEX('Scoring Method'!$B$173:$B$178,MATCH(AX193,'Scoring Method'!$A$173:$A$178,0))+INDEX('Scoring Method'!$B$349:$B$353,MATCH(X193,'Scoring Method'!$A$349:$A$353,0))+INDEX('Scoring Method'!$B$188:$B$190,MATCH(P193,'Scoring Method'!$A$188:$A$190,0)),1)</f>
        <v/>
      </c>
      <c r="AZ193" s="96">
        <f>AY193*U193/100</f>
        <v/>
      </c>
      <c r="BA193" s="92" t="inlineStr">
        <is>
          <t>No chain signal</t>
        </is>
      </c>
      <c r="BB193" s="94" t="n">
        <v>1</v>
      </c>
      <c r="BC193" s="103" t="inlineStr">
        <is>
          <t>Extra small 0.15-0.25 AC</t>
        </is>
      </c>
      <c r="BD193" s="94" t="n">
        <v>0.8</v>
      </c>
      <c r="BE193" s="96">
        <f>ROUND(INDEX('Scoring Method'!$B$268:$B$276,MATCH(AE193,'Scoring Method'!$A$268:$A$276,0))+INDEX('Scoring Method'!$B$280:$B$288,MATCH(AP193,'Scoring Method'!$A$280:$A$288,0))+INDEX('Scoring Method'!$B$292:$B$296,MATCH(AQ193,'Scoring Method'!$A$292:$A$296,0))+INDEX('Scoring Method'!$B$300:$B$305,MATCH(AO193,'Scoring Method'!$A$300:$A$305,0))+INDEX('Scoring Method'!$B$309:$B$314,MATCH(AX193,'Scoring Method'!$A$309:$A$314,0))+INDEX('Scoring Method'!$B$337:$B$341,MATCH(X193,'Scoring Method'!$A$337:$A$341,0))+INDEX('Scoring Method'!$B$324:$B$326,MATCH(P193,'Scoring Method'!$A$324:$A$326,0)),1)</f>
        <v/>
      </c>
      <c r="BF193" s="96">
        <f>ROUND(INDEX('Scoring Method'!$B$268:$B$276,MATCH(AE193,'Scoring Method'!$A$268:$A$276,0))*BB193*BD193+INDEX('Scoring Method'!$B$280:$B$288,MATCH(AP193,'Scoring Method'!$A$280:$A$288,0))*BM193*BB193*BD193+INDEX('Scoring Method'!$B$292:$B$296,MATCH(AQ193,'Scoring Method'!$A$292:$A$296,0))*BD193+INDEX('Scoring Method'!$B$300:$B$305,MATCH(AO193,'Scoring Method'!$A$300:$A$305,0))*BM193*BB193+INDEX('Scoring Method'!$B$309:$B$314,MATCH(AX193,'Scoring Method'!$A$309:$A$314,0))+INDEX('Scoring Method'!$B$337:$B$341,MATCH(X193,'Scoring Method'!$A$337:$A$341,0))+INDEX('Scoring Method'!$B$324:$B$326,MATCH(P193,'Scoring Method'!$A$324:$A$326,0)),1)</f>
        <v/>
      </c>
      <c r="BG193" s="92" t="n"/>
      <c r="BH193" s="61" t="inlineStr">
        <is>
          <t>TUR</t>
        </is>
      </c>
      <c r="BI193" s="61" t="inlineStr">
        <is>
          <t>Traditional Urban Residential</t>
        </is>
      </c>
      <c r="BJ193" s="61" t="inlineStr"/>
      <c r="BK193" s="61" t="inlineStr"/>
      <c r="BL193" s="61" t="inlineStr">
        <is>
          <t>Bar prohibited, alt-path</t>
        </is>
      </c>
      <c r="BM193" s="61">
        <f>INDEX('Scoring Method'!$B$358:$B$363,MATCH(BL193,'Scoring Method'!$A$358:$A$363,0))</f>
        <v/>
      </c>
    </row>
    <row r="194" ht="15" customHeight="1" s="62">
      <c r="A194" s="92" t="n">
        <v>193</v>
      </c>
      <c r="B194" s="92" t="inlineStr">
        <is>
          <t>055-13-05-026.00</t>
        </is>
      </c>
      <c r="C194" s="92" t="inlineStr">
        <is>
          <t>1549 KELLOGG ST</t>
        </is>
      </c>
      <c r="D194" s="92" t="inlineStr">
        <is>
          <t>TOP NOTCH ENTERPRISES LLC</t>
        </is>
      </c>
      <c r="E194" s="92" t="inlineStr">
        <is>
          <t>1549 KELLOGG ST</t>
        </is>
      </c>
      <c r="F194" s="92" t="inlineStr">
        <is>
          <t>COVINGTON</t>
        </is>
      </c>
      <c r="G194" s="92" t="inlineStr">
        <is>
          <t>KY</t>
        </is>
      </c>
      <c r="H194" s="92" t="inlineStr">
        <is>
          <t>MFG/ASSEMBLY 20000 SF OR LESS</t>
        </is>
      </c>
      <c r="I194" s="93" t="n">
        <v>21475</v>
      </c>
      <c r="J194" s="94">
        <f>I194/43560</f>
        <v/>
      </c>
      <c r="K194" s="93" t="n">
        <v>841.3</v>
      </c>
      <c r="L194" s="95">
        <f>I194/(K194^2)</f>
        <v/>
      </c>
      <c r="M194" s="92" t="inlineStr">
        <is>
          <t>Ideal 18-32k</t>
        </is>
      </c>
      <c r="N194" s="92" t="inlineStr">
        <is>
          <t>A</t>
        </is>
      </c>
      <c r="O194" s="92" t="inlineStr">
        <is>
          <t>Irregular &lt;.035</t>
        </is>
      </c>
      <c r="P194" s="92" t="inlineStr">
        <is>
          <t>Moderate</t>
        </is>
      </c>
      <c r="Q194" s="92" t="inlineStr">
        <is>
          <t>Owner-occupied</t>
        </is>
      </c>
      <c r="R194" s="92" t="inlineStr">
        <is>
          <t>Passive vehicle</t>
        </is>
      </c>
      <c r="S194" s="92" t="n">
        <v>1</v>
      </c>
      <c r="T194" s="96">
        <f>INDEX('Scoring Method'!$B$6:$B$9,MATCH(M194,'Scoring Method'!$A$6:$A$9,0))+INDEX('Scoring Method'!$B$12:$B$16,MATCH(N194,'Scoring Method'!$A$12:$A$16,0))+INDEX('Scoring Method'!$B$19:$B$22,MATCH(O194,'Scoring Method'!$A$19:$A$22,0))+INDEX('Scoring Method'!$B$25:$B$27,MATCH(P194,'Scoring Method'!$A$25:$A$27,0))</f>
        <v/>
      </c>
      <c r="U194" s="96">
        <f>(INDEX('Scoring Method'!$B$30:$B$33,MATCH(Q194,'Scoring Method'!$A$30:$A$33,0))+INDEX('Scoring Method'!$B$36:$B$42,MATCH(R194,'Scoring Method'!$A$36:$A$42,0))+INDEX('Scoring Method'!$B$45:$B$47,MATCH(IF(S194=1,"1",IF(S194=2,"2","3+")),'Scoring Method'!$A$45:$A$47,0)))/90*100</f>
        <v/>
      </c>
      <c r="V194" s="96">
        <f>T194*U194/100</f>
        <v/>
      </c>
      <c r="W194" s="93" t="n">
        <v>17574</v>
      </c>
      <c r="X194" s="92" t="inlineStr">
        <is>
          <t>X (minimal hazard)</t>
        </is>
      </c>
      <c r="Y194" s="93" t="n">
        <v>575</v>
      </c>
      <c r="Z194" s="97" t="n"/>
      <c r="AA194" s="98">
        <f>MAX(0,(Y194-5000)/300)</f>
        <v/>
      </c>
      <c r="AB194" s="92" t="n"/>
      <c r="AC194" s="92" t="n"/>
      <c r="AD194" s="92" t="n"/>
      <c r="AE194" s="92" t="inlineStr">
        <is>
          <t>Far oversize &gt;12k</t>
        </is>
      </c>
      <c r="AF194" s="96">
        <f>INDEX('Scoring Method'!$B$63:$B$71,MATCH(AE194,'Scoring Method'!$A$63:$A$71,0))+INDEX('Scoring Method'!$B$75:$B$79,MATCH("Insufficient &lt;2k",'Scoring Method'!$A$75:$A$79,0))+INDEX('Scoring Method'!$B$343:$B$347,MATCH(X194,'Scoring Method'!$A$343:$A$347,0))+INDEX('Scoring Method'!$B$25:$B$27,MATCH(P194,'Scoring Method'!$A$25:$A$27,0))</f>
        <v/>
      </c>
      <c r="AG194" s="96">
        <f>AF194*U194/100</f>
        <v/>
      </c>
      <c r="AH194" s="92" t="inlineStr">
        <is>
          <t>LINK-GIS + LoopNet (2026-08-02)</t>
        </is>
      </c>
      <c r="AI194" s="99" t="n">
        <v>39.07223</v>
      </c>
      <c r="AJ194" s="99" t="n">
        <v>-84.50829</v>
      </c>
      <c r="AK194" s="94" t="n">
        <v>0.99</v>
      </c>
      <c r="AL194" s="94" t="n">
        <v>1.29</v>
      </c>
      <c r="AM194" s="94" t="n">
        <v>2.03</v>
      </c>
      <c r="AN194" s="94" t="n">
        <v>0.82</v>
      </c>
      <c r="AO194" s="92" t="inlineStr">
        <is>
          <t>Fringe 0.75-1.25mi</t>
        </is>
      </c>
      <c r="AP194" s="92" t="inlineStr">
        <is>
          <t>Open span</t>
        </is>
      </c>
      <c r="AQ194" s="92" t="inlineStr">
        <is>
          <t>Insufficient &lt;2k</t>
        </is>
      </c>
      <c r="AR194" s="100" t="n"/>
      <c r="AS194" s="96">
        <f>ROUND(INDEX('Scoring Method'!$B$63:$B$70,MATCH(AE194,'Scoring Method'!$A$63:$A$70,0))*0.625+INDEX('Scoring Method'!$B$105:$B$113,MATCH(AP194,'Scoring Method'!$A$105:$A$113,0))+INDEX('Scoring Method'!$B$74:$B$78,MATCH(AQ194,'Scoring Method'!$A$74:$A$78,0))*0.6667+INDEX('Scoring Method'!$B$96:$B$101,MATCH(AO194,'Scoring Method'!$A$96:$A$101,0))+INDEX('Scoring Method'!$B$343:$B$347,MATCH(X194,'Scoring Method'!$A$343:$A$347,0))*0.3333+INDEX('Scoring Method'!$B$25:$B$27,MATCH(P194,'Scoring Method'!$A$25:$A$27,0))*0.3333,1)</f>
        <v/>
      </c>
      <c r="AT194" s="96">
        <f>AS194*U194/100</f>
        <v/>
      </c>
      <c r="AU194" s="92" t="inlineStr">
        <is>
          <t>Eastside</t>
        </is>
      </c>
      <c r="AV194" s="92" t="n">
        <v>28</v>
      </c>
      <c r="AW194" s="101" t="inlineStr">
        <is>
          <t>ESTIMATED</t>
        </is>
      </c>
      <c r="AX194" s="92" t="inlineStr">
        <is>
          <t>High &lt;35</t>
        </is>
      </c>
      <c r="AY194" s="96">
        <f>ROUND(INDEX('Scoring Method'!$B$132:$B$140,MATCH(AE194,'Scoring Method'!$A$132:$A$140,0))+INDEX('Scoring Method'!$B$144:$B$152,MATCH(AP194,'Scoring Method'!$A$144:$A$152,0))+INDEX('Scoring Method'!$B$156:$B$160,MATCH(AQ194,'Scoring Method'!$A$156:$A$160,0))+INDEX('Scoring Method'!$B$164:$B$169,MATCH(AO194,'Scoring Method'!$A$164:$A$169,0))+INDEX('Scoring Method'!$B$173:$B$178,MATCH(AX194,'Scoring Method'!$A$173:$A$178,0))+INDEX('Scoring Method'!$B$349:$B$353,MATCH(X194,'Scoring Method'!$A$349:$A$353,0))+INDEX('Scoring Method'!$B$188:$B$190,MATCH(P194,'Scoring Method'!$A$188:$A$190,0)),1)</f>
        <v/>
      </c>
      <c r="AZ194" s="96">
        <f>AY194*U194/100</f>
        <v/>
      </c>
      <c r="BA194" s="92" t="inlineStr">
        <is>
          <t>Owner-occupied operator</t>
        </is>
      </c>
      <c r="BB194" s="94" t="n">
        <v>0.8</v>
      </c>
      <c r="BC194" s="92" t="inlineStr">
        <is>
          <t>Right-sized 0.35-0.75 AC</t>
        </is>
      </c>
      <c r="BD194" s="94" t="n">
        <v>1</v>
      </c>
      <c r="BE194" s="96">
        <f>ROUND(INDEX('Scoring Method'!$B$268:$B$276,MATCH(AE194,'Scoring Method'!$A$268:$A$276,0))+INDEX('Scoring Method'!$B$280:$B$288,MATCH(AP194,'Scoring Method'!$A$280:$A$288,0))+INDEX('Scoring Method'!$B$292:$B$296,MATCH(AQ194,'Scoring Method'!$A$292:$A$296,0))+INDEX('Scoring Method'!$B$300:$B$305,MATCH(AO194,'Scoring Method'!$A$300:$A$305,0))+INDEX('Scoring Method'!$B$309:$B$314,MATCH(AX194,'Scoring Method'!$A$309:$A$314,0))+INDEX('Scoring Method'!$B$337:$B$341,MATCH(X194,'Scoring Method'!$A$337:$A$341,0))+INDEX('Scoring Method'!$B$324:$B$326,MATCH(P194,'Scoring Method'!$A$324:$A$326,0)),1)</f>
        <v/>
      </c>
      <c r="BF194" s="96">
        <f>ROUND(INDEX('Scoring Method'!$B$268:$B$276,MATCH(AE194,'Scoring Method'!$A$268:$A$276,0))*BB194*BD194+INDEX('Scoring Method'!$B$280:$B$288,MATCH(AP194,'Scoring Method'!$A$280:$A$288,0))*BM194*BB194*BD194+INDEX('Scoring Method'!$B$292:$B$296,MATCH(AQ194,'Scoring Method'!$A$292:$A$296,0))*BD194+INDEX('Scoring Method'!$B$300:$B$305,MATCH(AO194,'Scoring Method'!$A$300:$A$305,0))*BM194*BB194+INDEX('Scoring Method'!$B$309:$B$314,MATCH(AX194,'Scoring Method'!$A$309:$A$314,0))+INDEX('Scoring Method'!$B$337:$B$341,MATCH(X194,'Scoring Method'!$A$337:$A$341,0))+INDEX('Scoring Method'!$B$324:$B$326,MATCH(P194,'Scoring Method'!$A$324:$A$326,0)),1)</f>
        <v/>
      </c>
      <c r="BG194" s="102" t="inlineStr">
        <is>
          <t>Over (~$16,110/mo)</t>
        </is>
      </c>
      <c r="BH194" s="61" t="inlineStr">
        <is>
          <t>AUC</t>
        </is>
      </c>
      <c r="BI194" s="61" t="inlineStr">
        <is>
          <t>Auto-Urban Commercial</t>
        </is>
      </c>
      <c r="BJ194" s="61" t="inlineStr"/>
      <c r="BK194" s="61" t="inlineStr"/>
      <c r="BL194" s="61" t="inlineStr">
        <is>
          <t>Bar permitted</t>
        </is>
      </c>
      <c r="BM194" s="61">
        <f>INDEX('Scoring Method'!$B$358:$B$363,MATCH(BL194,'Scoring Method'!$A$358:$A$363,0))</f>
        <v/>
      </c>
    </row>
    <row r="195" ht="15" customHeight="1" s="62">
      <c r="A195" s="92" t="n">
        <v>194</v>
      </c>
      <c r="B195" s="92" t="inlineStr">
        <is>
          <t>056-32-03-002.00</t>
        </is>
      </c>
      <c r="C195" s="92" t="inlineStr">
        <is>
          <t>3709 DECOURSEY AVE</t>
        </is>
      </c>
      <c r="D195" s="92" t="inlineStr">
        <is>
          <t>LATONIA BAPTIST CHURCH INC</t>
        </is>
      </c>
      <c r="E195" s="92" t="inlineStr">
        <is>
          <t>3800 CHURCH ST</t>
        </is>
      </c>
      <c r="F195" s="92" t="inlineStr">
        <is>
          <t>COVINGTON</t>
        </is>
      </c>
      <c r="G195" s="92" t="inlineStr">
        <is>
          <t>KY</t>
        </is>
      </c>
      <c r="H195" s="92" t="inlineStr">
        <is>
          <t>PAVED LOT</t>
        </is>
      </c>
      <c r="I195" s="93" t="n">
        <v>10944</v>
      </c>
      <c r="J195" s="94">
        <f>I195/43560</f>
        <v/>
      </c>
      <c r="K195" s="93" t="n">
        <v>432.4</v>
      </c>
      <c r="L195" s="95">
        <f>I195/(K195^2)</f>
        <v/>
      </c>
      <c r="M195" s="92" t="inlineStr">
        <is>
          <t>Marginal 10-14k/45-60k</t>
        </is>
      </c>
      <c r="N195" s="92" t="inlineStr">
        <is>
          <t>D</t>
        </is>
      </c>
      <c r="O195" s="92" t="inlineStr">
        <is>
          <t>Compact &gt;=.055</t>
        </is>
      </c>
      <c r="P195" s="92" t="inlineStr">
        <is>
          <t>Low</t>
        </is>
      </c>
      <c r="Q195" s="92" t="inlineStr">
        <is>
          <t>Local absentee</t>
        </is>
      </c>
      <c r="R195" s="92" t="inlineStr">
        <is>
          <t>Religious</t>
        </is>
      </c>
      <c r="S195" s="92" t="n">
        <v>2</v>
      </c>
      <c r="T195" s="96">
        <f>INDEX('Scoring Method'!$B$6:$B$9,MATCH(M195,'Scoring Method'!$A$6:$A$9,0))+INDEX('Scoring Method'!$B$12:$B$16,MATCH(N195,'Scoring Method'!$A$12:$A$16,0))+INDEX('Scoring Method'!$B$19:$B$22,MATCH(O195,'Scoring Method'!$A$19:$A$22,0))+INDEX('Scoring Method'!$B$25:$B$27,MATCH(P195,'Scoring Method'!$A$25:$A$27,0))</f>
        <v/>
      </c>
      <c r="U195" s="96">
        <f>(INDEX('Scoring Method'!$B$30:$B$33,MATCH(Q195,'Scoring Method'!$A$30:$A$33,0))+INDEX('Scoring Method'!$B$36:$B$42,MATCH(R195,'Scoring Method'!$A$36:$A$42,0))+INDEX('Scoring Method'!$B$45:$B$47,MATCH(IF(S195=1,"1",IF(S195=2,"2","3+")),'Scoring Method'!$A$45:$A$47,0)))/90*100</f>
        <v/>
      </c>
      <c r="V195" s="96">
        <f>T195*U195/100</f>
        <v/>
      </c>
      <c r="W195" s="93" t="n"/>
      <c r="X195" s="92" t="inlineStr">
        <is>
          <t>Unknown</t>
        </is>
      </c>
      <c r="Y195" s="93" t="n"/>
      <c r="Z195" s="97" t="n"/>
      <c r="AA195" s="98" t="n"/>
      <c r="AB195" s="92" t="n"/>
      <c r="AC195" s="92" t="n"/>
      <c r="AD195" s="92" t="n"/>
      <c r="AE195" s="92" t="n"/>
      <c r="AF195" s="96" t="n"/>
      <c r="AG195" s="96" t="n"/>
      <c r="AH195" s="92" t="inlineStr">
        <is>
          <t>LINK-GIS only</t>
        </is>
      </c>
      <c r="AI195" s="99" t="n">
        <v>39.04666</v>
      </c>
      <c r="AJ195" s="99" t="n">
        <v>-84.50274</v>
      </c>
      <c r="AK195" s="94" t="n">
        <v>2.73</v>
      </c>
      <c r="AL195" s="94" t="n">
        <v>3.07</v>
      </c>
      <c r="AM195" s="94" t="n">
        <v>3.82</v>
      </c>
      <c r="AN195" s="94" t="n">
        <v>2.62</v>
      </c>
      <c r="AO195" s="92" t="inlineStr">
        <is>
          <t>Distant 2-3mi</t>
        </is>
      </c>
      <c r="AP195" s="92" t="inlineStr">
        <is>
          <t>Lot / minimal bldg</t>
        </is>
      </c>
      <c r="AQ195" s="92" t="n"/>
      <c r="AR195" s="100" t="n"/>
      <c r="AS195" s="96" t="n"/>
      <c r="AT195" s="96" t="n"/>
      <c r="AU195" s="92" t="inlineStr">
        <is>
          <t>Latonia</t>
        </is>
      </c>
      <c r="AV195" s="92" t="n">
        <v>78</v>
      </c>
      <c r="AW195" s="92" t="inlineStr">
        <is>
          <t>Sourced</t>
        </is>
      </c>
      <c r="AX195" s="92" t="inlineStr">
        <is>
          <t>Safe 70-79</t>
        </is>
      </c>
      <c r="AY195" s="96" t="n"/>
      <c r="AZ195" s="96" t="n"/>
      <c r="BA195" s="92" t="inlineStr">
        <is>
          <t>No chain signal</t>
        </is>
      </c>
      <c r="BB195" s="94" t="n">
        <v>1</v>
      </c>
      <c r="BC195" s="102" t="inlineStr">
        <is>
          <t>Small 0.25-0.35 AC</t>
        </is>
      </c>
      <c r="BD195" s="94" t="n">
        <v>0.9</v>
      </c>
      <c r="BE195" s="96" t="n"/>
      <c r="BF195" s="96" t="n"/>
      <c r="BG195" s="92" t="n"/>
      <c r="BH195" s="61" t="inlineStr">
        <is>
          <t>Not joined</t>
        </is>
      </c>
      <c r="BL195" s="61" t="inlineStr">
        <is>
          <t>Not joined</t>
        </is>
      </c>
      <c r="BM195" s="61" t="n">
        <v>1</v>
      </c>
    </row>
    <row r="196" ht="15" customHeight="1" s="62">
      <c r="A196" s="92" t="n">
        <v>195</v>
      </c>
      <c r="B196" s="92" t="inlineStr">
        <is>
          <t>055-23-07-014.00</t>
        </is>
      </c>
      <c r="C196" s="92" t="inlineStr">
        <is>
          <t>322 W 23RD ST</t>
        </is>
      </c>
      <c r="D196" s="92" t="inlineStr">
        <is>
          <t>CUSHING JOHN L &amp; MARY E &amp;</t>
        </is>
      </c>
      <c r="E196" s="92" t="inlineStr">
        <is>
          <t>143 THOMPSON AVE</t>
        </is>
      </c>
      <c r="F196" s="92" t="inlineStr">
        <is>
          <t>FT MITCHELL</t>
        </is>
      </c>
      <c r="G196" s="92" t="inlineStr">
        <is>
          <t>KY</t>
        </is>
      </c>
      <c r="H196" s="92" t="inlineStr">
        <is>
          <t>SELF STORAGE WAREHOUSES</t>
        </is>
      </c>
      <c r="I196" s="93" t="n">
        <v>9292</v>
      </c>
      <c r="J196" s="94">
        <f>I196/43560</f>
        <v/>
      </c>
      <c r="K196" s="93" t="n">
        <v>493</v>
      </c>
      <c r="L196" s="95">
        <f>I196/(K196^2)</f>
        <v/>
      </c>
      <c r="M196" s="92" t="inlineStr">
        <is>
          <t>Poor &lt;10k/&gt;60k</t>
        </is>
      </c>
      <c r="N196" s="92" t="inlineStr">
        <is>
          <t>C</t>
        </is>
      </c>
      <c r="O196" s="92" t="inlineStr">
        <is>
          <t>Elongated .035-.045</t>
        </is>
      </c>
      <c r="P196" s="92" t="inlineStr">
        <is>
          <t>Low</t>
        </is>
      </c>
      <c r="Q196" s="92" t="inlineStr">
        <is>
          <t>Out-of-city KY</t>
        </is>
      </c>
      <c r="R196" s="92" t="inlineStr">
        <is>
          <t>Individual</t>
        </is>
      </c>
      <c r="S196" s="92" t="n">
        <v>1</v>
      </c>
      <c r="T196" s="96">
        <f>INDEX('Scoring Method'!$B$6:$B$9,MATCH(M196,'Scoring Method'!$A$6:$A$9,0))+INDEX('Scoring Method'!$B$12:$B$16,MATCH(N196,'Scoring Method'!$A$12:$A$16,0))+INDEX('Scoring Method'!$B$19:$B$22,MATCH(O196,'Scoring Method'!$A$19:$A$22,0))+INDEX('Scoring Method'!$B$25:$B$27,MATCH(P196,'Scoring Method'!$A$25:$A$27,0))</f>
        <v/>
      </c>
      <c r="U196" s="96">
        <f>(INDEX('Scoring Method'!$B$30:$B$33,MATCH(Q196,'Scoring Method'!$A$30:$A$33,0))+INDEX('Scoring Method'!$B$36:$B$42,MATCH(R196,'Scoring Method'!$A$36:$A$42,0))+INDEX('Scoring Method'!$B$45:$B$47,MATCH(IF(S196=1,"1",IF(S196=2,"2","3+")),'Scoring Method'!$A$45:$A$47,0)))/90*100</f>
        <v/>
      </c>
      <c r="V196" s="96">
        <f>T196*U196/100</f>
        <v/>
      </c>
      <c r="W196" s="93" t="n">
        <v>2432</v>
      </c>
      <c r="X196" s="92" t="inlineStr">
        <is>
          <t>X (minimal hazard)</t>
        </is>
      </c>
      <c r="Y196" s="93" t="n">
        <v>3700</v>
      </c>
      <c r="Z196" s="97" t="n"/>
      <c r="AA196" s="98">
        <f>MAX(0,(Y196-5000)/300)</f>
        <v/>
      </c>
      <c r="AB196" s="92" t="n"/>
      <c r="AC196" s="92" t="n"/>
      <c r="AD196" s="92" t="n"/>
      <c r="AE196" s="92" t="inlineStr">
        <is>
          <t>Target 1.5-2.5k</t>
        </is>
      </c>
      <c r="AF196" s="96">
        <f>INDEX('Scoring Method'!$B$63:$B$71,MATCH(AE196,'Scoring Method'!$A$63:$A$71,0))+INDEX('Scoring Method'!$B$75:$B$79,MATCH("Tight 2-5k",'Scoring Method'!$A$75:$A$79,0))+INDEX('Scoring Method'!$B$343:$B$347,MATCH(X196,'Scoring Method'!$A$343:$A$347,0))+INDEX('Scoring Method'!$B$25:$B$27,MATCH(P196,'Scoring Method'!$A$25:$A$27,0))</f>
        <v/>
      </c>
      <c r="AG196" s="96">
        <f>AF196*U196/100</f>
        <v/>
      </c>
      <c r="AH196" s="92" t="inlineStr">
        <is>
          <t>LINK-GIS + LoopNet (2026-08-02)</t>
        </is>
      </c>
      <c r="AI196" s="99" t="n">
        <v>39.06304</v>
      </c>
      <c r="AJ196" s="99" t="n">
        <v>-84.50878</v>
      </c>
      <c r="AK196" s="94" t="n">
        <v>1.55</v>
      </c>
      <c r="AL196" s="94" t="n">
        <v>1.92</v>
      </c>
      <c r="AM196" s="94" t="n">
        <v>2.66</v>
      </c>
      <c r="AN196" s="94" t="n">
        <v>1.45</v>
      </c>
      <c r="AO196" s="92" t="inlineStr">
        <is>
          <t>Outer 1.25-2mi</t>
        </is>
      </c>
      <c r="AP196" s="92" t="inlineStr">
        <is>
          <t>Open span</t>
        </is>
      </c>
      <c r="AQ196" s="92" t="inlineStr">
        <is>
          <t>Tight 2-5k</t>
        </is>
      </c>
      <c r="AR196" s="100" t="n"/>
      <c r="AS196" s="96">
        <f>ROUND(INDEX('Scoring Method'!$B$63:$B$70,MATCH(AE196,'Scoring Method'!$A$63:$A$70,0))*0.625+INDEX('Scoring Method'!$B$105:$B$113,MATCH(AP196,'Scoring Method'!$A$105:$A$113,0))+INDEX('Scoring Method'!$B$74:$B$78,MATCH(AQ196,'Scoring Method'!$A$74:$A$78,0))*0.6667+INDEX('Scoring Method'!$B$96:$B$101,MATCH(AO196,'Scoring Method'!$A$96:$A$101,0))+INDEX('Scoring Method'!$B$343:$B$347,MATCH(X196,'Scoring Method'!$A$343:$A$347,0))*0.3333+INDEX('Scoring Method'!$B$25:$B$27,MATCH(P196,'Scoring Method'!$A$25:$A$27,0))*0.3333,1)</f>
        <v/>
      </c>
      <c r="AT196" s="96">
        <f>AS196*U196/100</f>
        <v/>
      </c>
      <c r="AU196" s="92" t="inlineStr">
        <is>
          <t>Levassor Park</t>
        </is>
      </c>
      <c r="AV196" s="92" t="n">
        <v>42</v>
      </c>
      <c r="AW196" s="101" t="inlineStr">
        <is>
          <t>ESTIMATED</t>
        </is>
      </c>
      <c r="AX196" s="92" t="inlineStr">
        <is>
          <t>Elevated 35-44</t>
        </is>
      </c>
      <c r="AY196" s="96">
        <f>ROUND(INDEX('Scoring Method'!$B$132:$B$140,MATCH(AE196,'Scoring Method'!$A$132:$A$140,0))+INDEX('Scoring Method'!$B$144:$B$152,MATCH(AP196,'Scoring Method'!$A$144:$A$152,0))+INDEX('Scoring Method'!$B$156:$B$160,MATCH(AQ196,'Scoring Method'!$A$156:$A$160,0))+INDEX('Scoring Method'!$B$164:$B$169,MATCH(AO196,'Scoring Method'!$A$164:$A$169,0))+INDEX('Scoring Method'!$B$173:$B$178,MATCH(AX196,'Scoring Method'!$A$173:$A$178,0))+INDEX('Scoring Method'!$B$349:$B$353,MATCH(X196,'Scoring Method'!$A$349:$A$353,0))+INDEX('Scoring Method'!$B$188:$B$190,MATCH(P196,'Scoring Method'!$A$188:$A$190,0)),1)</f>
        <v/>
      </c>
      <c r="AZ196" s="96">
        <f>AY196*U196/100</f>
        <v/>
      </c>
      <c r="BA196" s="92" t="inlineStr">
        <is>
          <t>No chain signal</t>
        </is>
      </c>
      <c r="BB196" s="94" t="n">
        <v>1</v>
      </c>
      <c r="BC196" s="103" t="inlineStr">
        <is>
          <t>Extra small 0.15-0.25 AC</t>
        </is>
      </c>
      <c r="BD196" s="94" t="n">
        <v>0.8</v>
      </c>
      <c r="BE196" s="96">
        <f>ROUND(INDEX('Scoring Method'!$B$268:$B$276,MATCH(AE196,'Scoring Method'!$A$268:$A$276,0))+INDEX('Scoring Method'!$B$280:$B$288,MATCH(AP196,'Scoring Method'!$A$280:$A$288,0))+INDEX('Scoring Method'!$B$292:$B$296,MATCH(AQ196,'Scoring Method'!$A$292:$A$296,0))+INDEX('Scoring Method'!$B$300:$B$305,MATCH(AO196,'Scoring Method'!$A$300:$A$305,0))+INDEX('Scoring Method'!$B$309:$B$314,MATCH(AX196,'Scoring Method'!$A$309:$A$314,0))+INDEX('Scoring Method'!$B$337:$B$341,MATCH(X196,'Scoring Method'!$A$337:$A$341,0))+INDEX('Scoring Method'!$B$324:$B$326,MATCH(P196,'Scoring Method'!$A$324:$A$326,0)),1)</f>
        <v/>
      </c>
      <c r="BF196" s="96">
        <f>ROUND(INDEX('Scoring Method'!$B$268:$B$276,MATCH(AE196,'Scoring Method'!$A$268:$A$276,0))*BB196*BD196+INDEX('Scoring Method'!$B$280:$B$288,MATCH(AP196,'Scoring Method'!$A$280:$A$288,0))*BM196*BB196*BD196+INDEX('Scoring Method'!$B$292:$B$296,MATCH(AQ196,'Scoring Method'!$A$292:$A$296,0))*BD196+INDEX('Scoring Method'!$B$300:$B$305,MATCH(AO196,'Scoring Method'!$A$300:$A$305,0))*BM196*BB196+INDEX('Scoring Method'!$B$309:$B$314,MATCH(AX196,'Scoring Method'!$A$309:$A$314,0))+INDEX('Scoring Method'!$B$337:$B$341,MATCH(X196,'Scoring Method'!$A$337:$A$341,0))+INDEX('Scoring Method'!$B$324:$B$326,MATCH(P196,'Scoring Method'!$A$324:$A$326,0)),1)</f>
        <v/>
      </c>
      <c r="BG196" s="92" t="inlineStr">
        <is>
          <t>Fits (~$2,229/mo)</t>
        </is>
      </c>
      <c r="BH196" s="61" t="inlineStr">
        <is>
          <t>LI</t>
        </is>
      </c>
      <c r="BI196" s="61" t="inlineStr">
        <is>
          <t>Limited Industrial</t>
        </is>
      </c>
      <c r="BJ196" s="61" t="inlineStr"/>
      <c r="BK196" s="61" t="inlineStr"/>
      <c r="BL196" s="61" t="inlineStr">
        <is>
          <t>Bar prohibited, alt-path</t>
        </is>
      </c>
      <c r="BM196" s="61">
        <f>INDEX('Scoring Method'!$B$358:$B$363,MATCH(BL196,'Scoring Method'!$A$358:$A$363,0))</f>
        <v/>
      </c>
    </row>
    <row r="197" ht="15" customHeight="1" s="62">
      <c r="A197" s="92" t="n">
        <v>196</v>
      </c>
      <c r="B197" s="92" t="inlineStr">
        <is>
          <t>055-13-05-021.00</t>
        </is>
      </c>
      <c r="C197" s="92" t="inlineStr">
        <is>
          <t>1561 MADISON AVE</t>
        </is>
      </c>
      <c r="D197" s="92" t="inlineStr">
        <is>
          <t>DIOCESE OF COVINGTON</t>
        </is>
      </c>
      <c r="E197" s="92" t="inlineStr">
        <is>
          <t>3629 CHURCH ST</t>
        </is>
      </c>
      <c r="F197" s="92" t="inlineStr">
        <is>
          <t>COVINGTON</t>
        </is>
      </c>
      <c r="G197" s="92" t="inlineStr">
        <is>
          <t>KY</t>
        </is>
      </c>
      <c r="H197" s="92" t="inlineStr">
        <is>
          <t>RETAIL W/APARTMENTS</t>
        </is>
      </c>
      <c r="I197" s="93" t="n">
        <v>12685</v>
      </c>
      <c r="J197" s="94">
        <f>I197/43560</f>
        <v/>
      </c>
      <c r="K197" s="93" t="n">
        <v>468</v>
      </c>
      <c r="L197" s="95">
        <f>I197/(K197^2)</f>
        <v/>
      </c>
      <c r="M197" s="92" t="inlineStr">
        <is>
          <t>Marginal 10-14k/45-60k</t>
        </is>
      </c>
      <c r="N197" s="92" t="inlineStr">
        <is>
          <t>E</t>
        </is>
      </c>
      <c r="O197" s="92" t="inlineStr">
        <is>
          <t>Compact &gt;=.055</t>
        </is>
      </c>
      <c r="P197" s="92" t="inlineStr">
        <is>
          <t>Low</t>
        </is>
      </c>
      <c r="Q197" s="92" t="inlineStr">
        <is>
          <t>Local absentee</t>
        </is>
      </c>
      <c r="R197" s="92" t="inlineStr">
        <is>
          <t>Religious</t>
        </is>
      </c>
      <c r="S197" s="92" t="n">
        <v>4</v>
      </c>
      <c r="T197" s="96">
        <f>INDEX('Scoring Method'!$B$6:$B$9,MATCH(M197,'Scoring Method'!$A$6:$A$9,0))+INDEX('Scoring Method'!$B$12:$B$16,MATCH(N197,'Scoring Method'!$A$12:$A$16,0))+INDEX('Scoring Method'!$B$19:$B$22,MATCH(O197,'Scoring Method'!$A$19:$A$22,0))+INDEX('Scoring Method'!$B$25:$B$27,MATCH(P197,'Scoring Method'!$A$25:$A$27,0))</f>
        <v/>
      </c>
      <c r="U197" s="96">
        <f>(INDEX('Scoring Method'!$B$30:$B$33,MATCH(Q197,'Scoring Method'!$A$30:$A$33,0))+INDEX('Scoring Method'!$B$36:$B$42,MATCH(R197,'Scoring Method'!$A$36:$A$42,0))+INDEX('Scoring Method'!$B$45:$B$47,MATCH(IF(S197=1,"1",IF(S197=2,"2","3+")),'Scoring Method'!$A$45:$A$47,0)))/90*100</f>
        <v/>
      </c>
      <c r="V197" s="96">
        <f>T197*U197/100</f>
        <v/>
      </c>
      <c r="W197" s="93" t="n">
        <v>4741</v>
      </c>
      <c r="X197" s="92" t="inlineStr">
        <is>
          <t>X (minimal hazard)</t>
        </is>
      </c>
      <c r="Y197" s="93" t="n">
        <v>6975</v>
      </c>
      <c r="Z197" s="97" t="n"/>
      <c r="AA197" s="98">
        <f>MAX(0,(Y197-5000)/300)</f>
        <v/>
      </c>
      <c r="AB197" s="92" t="n"/>
      <c r="AC197" s="92" t="n"/>
      <c r="AD197" s="92" t="n"/>
      <c r="AE197" s="92" t="inlineStr">
        <is>
          <t>Large 4-6k</t>
        </is>
      </c>
      <c r="AF197" s="96">
        <f>INDEX('Scoring Method'!$B$63:$B$71,MATCH(AE197,'Scoring Method'!$A$63:$A$71,0))+INDEX('Scoring Method'!$B$75:$B$79,MATCH("Adequate 5-8k",'Scoring Method'!$A$75:$A$79,0))+INDEX('Scoring Method'!$B$343:$B$347,MATCH(X197,'Scoring Method'!$A$343:$A$347,0))+INDEX('Scoring Method'!$B$25:$B$27,MATCH(P197,'Scoring Method'!$A$25:$A$27,0))</f>
        <v/>
      </c>
      <c r="AG197" s="96">
        <f>AF197*U197/100</f>
        <v/>
      </c>
      <c r="AH197" s="92" t="inlineStr">
        <is>
          <t>LINK-GIS + LoopNet (2026-08-02)</t>
        </is>
      </c>
      <c r="AI197" s="99" t="n">
        <v>39.07185</v>
      </c>
      <c r="AJ197" s="99" t="n">
        <v>-84.50751</v>
      </c>
      <c r="AK197" s="94" t="n">
        <v>1.03</v>
      </c>
      <c r="AL197" s="94" t="n">
        <v>1.31</v>
      </c>
      <c r="AM197" s="94" t="n">
        <v>2.07</v>
      </c>
      <c r="AN197" s="94" t="n">
        <v>0.86</v>
      </c>
      <c r="AO197" s="92" t="inlineStr">
        <is>
          <t>Fringe 0.75-1.25mi</t>
        </is>
      </c>
      <c r="AP197" s="92" t="inlineStr">
        <is>
          <t>Cellular</t>
        </is>
      </c>
      <c r="AQ197" s="92" t="inlineStr">
        <is>
          <t>Adequate 5-8k</t>
        </is>
      </c>
      <c r="AR197" s="100" t="n"/>
      <c r="AS197" s="96">
        <f>ROUND(INDEX('Scoring Method'!$B$63:$B$70,MATCH(AE197,'Scoring Method'!$A$63:$A$70,0))*0.625+INDEX('Scoring Method'!$B$105:$B$113,MATCH(AP197,'Scoring Method'!$A$105:$A$113,0))+INDEX('Scoring Method'!$B$74:$B$78,MATCH(AQ197,'Scoring Method'!$A$74:$A$78,0))*0.6667+INDEX('Scoring Method'!$B$96:$B$101,MATCH(AO197,'Scoring Method'!$A$96:$A$101,0))+INDEX('Scoring Method'!$B$343:$B$347,MATCH(X197,'Scoring Method'!$A$343:$A$347,0))*0.3333+INDEX('Scoring Method'!$B$25:$B$27,MATCH(P197,'Scoring Method'!$A$25:$A$27,0))*0.3333,1)</f>
        <v/>
      </c>
      <c r="AT197" s="96">
        <f>AS197*U197/100</f>
        <v/>
      </c>
      <c r="AU197" s="92" t="inlineStr">
        <is>
          <t>Eastside</t>
        </is>
      </c>
      <c r="AV197" s="92" t="n">
        <v>28</v>
      </c>
      <c r="AW197" s="101" t="inlineStr">
        <is>
          <t>ESTIMATED</t>
        </is>
      </c>
      <c r="AX197" s="92" t="inlineStr">
        <is>
          <t>High &lt;35</t>
        </is>
      </c>
      <c r="AY197" s="96">
        <f>ROUND(INDEX('Scoring Method'!$B$132:$B$140,MATCH(AE197,'Scoring Method'!$A$132:$A$140,0))+INDEX('Scoring Method'!$B$144:$B$152,MATCH(AP197,'Scoring Method'!$A$144:$A$152,0))+INDEX('Scoring Method'!$B$156:$B$160,MATCH(AQ197,'Scoring Method'!$A$156:$A$160,0))+INDEX('Scoring Method'!$B$164:$B$169,MATCH(AO197,'Scoring Method'!$A$164:$A$169,0))+INDEX('Scoring Method'!$B$173:$B$178,MATCH(AX197,'Scoring Method'!$A$173:$A$178,0))+INDEX('Scoring Method'!$B$349:$B$353,MATCH(X197,'Scoring Method'!$A$349:$A$353,0))+INDEX('Scoring Method'!$B$188:$B$190,MATCH(P197,'Scoring Method'!$A$188:$A$190,0)),1)</f>
        <v/>
      </c>
      <c r="AZ197" s="96">
        <f>AY197*U197/100</f>
        <v/>
      </c>
      <c r="BA197" s="92" t="inlineStr">
        <is>
          <t>No chain signal</t>
        </is>
      </c>
      <c r="BB197" s="94" t="n">
        <v>1</v>
      </c>
      <c r="BC197" s="102" t="inlineStr">
        <is>
          <t>Small 0.25-0.35 AC</t>
        </is>
      </c>
      <c r="BD197" s="94" t="n">
        <v>0.9</v>
      </c>
      <c r="BE197" s="96">
        <f>ROUND(INDEX('Scoring Method'!$B$268:$B$276,MATCH(AE197,'Scoring Method'!$A$268:$A$276,0))+INDEX('Scoring Method'!$B$280:$B$288,MATCH(AP197,'Scoring Method'!$A$280:$A$288,0))+INDEX('Scoring Method'!$B$292:$B$296,MATCH(AQ197,'Scoring Method'!$A$292:$A$296,0))+INDEX('Scoring Method'!$B$300:$B$305,MATCH(AO197,'Scoring Method'!$A$300:$A$305,0))+INDEX('Scoring Method'!$B$309:$B$314,MATCH(AX197,'Scoring Method'!$A$309:$A$314,0))+INDEX('Scoring Method'!$B$337:$B$341,MATCH(X197,'Scoring Method'!$A$337:$A$341,0))+INDEX('Scoring Method'!$B$324:$B$326,MATCH(P197,'Scoring Method'!$A$324:$A$326,0)),1)</f>
        <v/>
      </c>
      <c r="BF197" s="96">
        <f>ROUND(INDEX('Scoring Method'!$B$268:$B$276,MATCH(AE197,'Scoring Method'!$A$268:$A$276,0))*BB197*BD197+INDEX('Scoring Method'!$B$280:$B$288,MATCH(AP197,'Scoring Method'!$A$280:$A$288,0))*BM197*BB197*BD197+INDEX('Scoring Method'!$B$292:$B$296,MATCH(AQ197,'Scoring Method'!$A$292:$A$296,0))*BD197+INDEX('Scoring Method'!$B$300:$B$305,MATCH(AO197,'Scoring Method'!$A$300:$A$305,0))*BM197*BB197+INDEX('Scoring Method'!$B$309:$B$314,MATCH(AX197,'Scoring Method'!$A$309:$A$314,0))+INDEX('Scoring Method'!$B$337:$B$341,MATCH(X197,'Scoring Method'!$A$337:$A$341,0))+INDEX('Scoring Method'!$B$324:$B$326,MATCH(P197,'Scoring Method'!$A$324:$A$326,0)),1)</f>
        <v/>
      </c>
      <c r="BG197" s="92" t="inlineStr">
        <is>
          <t>Fits (~$4,346/mo)</t>
        </is>
      </c>
      <c r="BH197" s="61" t="inlineStr">
        <is>
          <t>AUC</t>
        </is>
      </c>
      <c r="BI197" s="61" t="inlineStr">
        <is>
          <t>Auto-Urban Commercial</t>
        </is>
      </c>
      <c r="BJ197" s="61" t="inlineStr"/>
      <c r="BK197" s="61" t="inlineStr"/>
      <c r="BL197" s="61" t="inlineStr">
        <is>
          <t>Bar permitted</t>
        </is>
      </c>
      <c r="BM197" s="61">
        <f>INDEX('Scoring Method'!$B$358:$B$363,MATCH(BL197,'Scoring Method'!$A$358:$A$363,0))</f>
        <v/>
      </c>
    </row>
    <row r="198" ht="15" customHeight="1" s="62">
      <c r="A198" s="92" t="n">
        <v>197</v>
      </c>
      <c r="B198" s="92" t="inlineStr">
        <is>
          <t>055-23-13-002.00</t>
        </is>
      </c>
      <c r="C198" s="92" t="inlineStr">
        <is>
          <t>2421 MADISON AVE</t>
        </is>
      </c>
      <c r="D198" s="92" t="inlineStr">
        <is>
          <t>DIXIE CHILI COVINGTON LLC</t>
        </is>
      </c>
      <c r="E198" s="92" t="inlineStr">
        <is>
          <t>733 MONMOUTH ST</t>
        </is>
      </c>
      <c r="F198" s="92" t="inlineStr">
        <is>
          <t>NEWPORT</t>
        </is>
      </c>
      <c r="G198" s="92" t="inlineStr">
        <is>
          <t>KY</t>
        </is>
      </c>
      <c r="H198" s="92" t="inlineStr">
        <is>
          <t>FAST FOOD-DRIVE THRU REST</t>
        </is>
      </c>
      <c r="I198" s="93" t="n">
        <v>12771</v>
      </c>
      <c r="J198" s="94">
        <f>I198/43560</f>
        <v/>
      </c>
      <c r="K198" s="93" t="n">
        <v>459</v>
      </c>
      <c r="L198" s="95">
        <f>I198/(K198^2)</f>
        <v/>
      </c>
      <c r="M198" s="92" t="inlineStr">
        <is>
          <t>Marginal 10-14k/45-60k</t>
        </is>
      </c>
      <c r="N198" s="92" t="inlineStr">
        <is>
          <t>C</t>
        </is>
      </c>
      <c r="O198" s="92" t="inlineStr">
        <is>
          <t>Compact &gt;=.055</t>
        </is>
      </c>
      <c r="P198" s="92" t="inlineStr">
        <is>
          <t>Low</t>
        </is>
      </c>
      <c r="Q198" s="92" t="inlineStr">
        <is>
          <t>Out-of-city KY</t>
        </is>
      </c>
      <c r="R198" s="92" t="inlineStr">
        <is>
          <t>Operating entity</t>
        </is>
      </c>
      <c r="S198" s="92" t="n">
        <v>1</v>
      </c>
      <c r="T198" s="96">
        <f>INDEX('Scoring Method'!$B$6:$B$9,MATCH(M198,'Scoring Method'!$A$6:$A$9,0))+INDEX('Scoring Method'!$B$12:$B$16,MATCH(N198,'Scoring Method'!$A$12:$A$16,0))+INDEX('Scoring Method'!$B$19:$B$22,MATCH(O198,'Scoring Method'!$A$19:$A$22,0))+INDEX('Scoring Method'!$B$25:$B$27,MATCH(P198,'Scoring Method'!$A$25:$A$27,0))</f>
        <v/>
      </c>
      <c r="U198" s="96">
        <f>(INDEX('Scoring Method'!$B$30:$B$33,MATCH(Q198,'Scoring Method'!$A$30:$A$33,0))+INDEX('Scoring Method'!$B$36:$B$42,MATCH(R198,'Scoring Method'!$A$36:$A$42,0))+INDEX('Scoring Method'!$B$45:$B$47,MATCH(IF(S198=1,"1",IF(S198=2,"2","3+")),'Scoring Method'!$A$45:$A$47,0)))/90*100</f>
        <v/>
      </c>
      <c r="V198" s="96">
        <f>T198*U198/100</f>
        <v/>
      </c>
      <c r="W198" s="93" t="n">
        <v>2036</v>
      </c>
      <c r="X198" s="92" t="inlineStr">
        <is>
          <t>X (minimal hazard)</t>
        </is>
      </c>
      <c r="Y198" s="93" t="n">
        <v>9725</v>
      </c>
      <c r="Z198" s="97">
        <f>W198/I198</f>
        <v/>
      </c>
      <c r="AA198" s="98">
        <f>MAX(0,(Y198-5000)/300)</f>
        <v/>
      </c>
      <c r="AB198" s="92" t="n"/>
      <c r="AC198" s="92" t="n">
        <v>0.29</v>
      </c>
      <c r="AD198" s="92" t="inlineStr">
        <is>
          <t>ok</t>
        </is>
      </c>
      <c r="AE198" s="92" t="inlineStr">
        <is>
          <t>Target 1.5-2.5k</t>
        </is>
      </c>
      <c r="AF198" s="96">
        <f>INDEX('Scoring Method'!$B$63:$B$71,MATCH(AE198,'Scoring Method'!$A$63:$A$71,0))+INDEX('Scoring Method'!$B$75:$B$79,MATCH("Good 8-15k",'Scoring Method'!$A$75:$A$79,0))+INDEX('Scoring Method'!$B$343:$B$347,MATCH(X198,'Scoring Method'!$A$343:$A$347,0))+INDEX('Scoring Method'!$B$25:$B$27,MATCH(P198,'Scoring Method'!$A$25:$A$27,0))</f>
        <v/>
      </c>
      <c r="AG198" s="96">
        <f>AF198*U198/100</f>
        <v/>
      </c>
      <c r="AH198" s="92" t="inlineStr">
        <is>
          <t>LINK-GIS + LoopNet</t>
        </is>
      </c>
      <c r="AI198" s="99" t="n">
        <v>39.06215</v>
      </c>
      <c r="AJ198" s="99" t="n">
        <v>-84.50494999999999</v>
      </c>
      <c r="AK198" s="94" t="n">
        <v>1.69</v>
      </c>
      <c r="AL198" s="94" t="n">
        <v>1.99</v>
      </c>
      <c r="AM198" s="94" t="n">
        <v>2.75</v>
      </c>
      <c r="AN198" s="94" t="n">
        <v>1.54</v>
      </c>
      <c r="AO198" s="92" t="inlineStr">
        <is>
          <t>Outer 1.25-2mi</t>
        </is>
      </c>
      <c r="AP198" s="92" t="inlineStr">
        <is>
          <t>Built-out kitchen</t>
        </is>
      </c>
      <c r="AQ198" s="92" t="inlineStr">
        <is>
          <t>Good 8-15k</t>
        </is>
      </c>
      <c r="AR198" s="100" t="n"/>
      <c r="AS198" s="96">
        <f>ROUND(INDEX('Scoring Method'!$B$63:$B$70,MATCH(AE198,'Scoring Method'!$A$63:$A$70,0))*0.625+INDEX('Scoring Method'!$B$105:$B$113,MATCH(AP198,'Scoring Method'!$A$105:$A$113,0))+INDEX('Scoring Method'!$B$74:$B$78,MATCH(AQ198,'Scoring Method'!$A$74:$A$78,0))*0.6667+INDEX('Scoring Method'!$B$96:$B$101,MATCH(AO198,'Scoring Method'!$A$96:$A$101,0))+INDEX('Scoring Method'!$B$343:$B$347,MATCH(X198,'Scoring Method'!$A$343:$A$347,0))*0.3333+INDEX('Scoring Method'!$B$25:$B$27,MATCH(P198,'Scoring Method'!$A$25:$A$27,0))*0.3333,1)</f>
        <v/>
      </c>
      <c r="AT198" s="96">
        <f>AS198*U198/100</f>
        <v/>
      </c>
      <c r="AU198" s="92" t="inlineStr">
        <is>
          <t>Levassor Park</t>
        </is>
      </c>
      <c r="AV198" s="92" t="n">
        <v>42</v>
      </c>
      <c r="AW198" s="101" t="inlineStr">
        <is>
          <t>ESTIMATED</t>
        </is>
      </c>
      <c r="AX198" s="92" t="inlineStr">
        <is>
          <t>Elevated 35-44</t>
        </is>
      </c>
      <c r="AY198" s="96">
        <f>ROUND(INDEX('Scoring Method'!$B$132:$B$140,MATCH(AE198,'Scoring Method'!$A$132:$A$140,0))+INDEX('Scoring Method'!$B$144:$B$152,MATCH(AP198,'Scoring Method'!$A$144:$A$152,0))+INDEX('Scoring Method'!$B$156:$B$160,MATCH(AQ198,'Scoring Method'!$A$156:$A$160,0))+INDEX('Scoring Method'!$B$164:$B$169,MATCH(AO198,'Scoring Method'!$A$164:$A$169,0))+INDEX('Scoring Method'!$B$173:$B$178,MATCH(AX198,'Scoring Method'!$A$173:$A$178,0))+INDEX('Scoring Method'!$B$349:$B$353,MATCH(X198,'Scoring Method'!$A$349:$A$353,0))+INDEX('Scoring Method'!$B$188:$B$190,MATCH(P198,'Scoring Method'!$A$188:$A$190,0)),1)</f>
        <v/>
      </c>
      <c r="AZ198" s="96">
        <f>AY198*U198/100</f>
        <v/>
      </c>
      <c r="BA198" s="103" t="inlineStr">
        <is>
          <t>Brand-owned / net lease</t>
        </is>
      </c>
      <c r="BB198" s="94" t="n">
        <v>0.3</v>
      </c>
      <c r="BC198" s="102" t="inlineStr">
        <is>
          <t>Small 0.25-0.35 AC</t>
        </is>
      </c>
      <c r="BD198" s="94" t="n">
        <v>0.9</v>
      </c>
      <c r="BE198" s="96">
        <f>ROUND(INDEX('Scoring Method'!$B$268:$B$276,MATCH(AE198,'Scoring Method'!$A$268:$A$276,0))+INDEX('Scoring Method'!$B$280:$B$288,MATCH(AP198,'Scoring Method'!$A$280:$A$288,0))+INDEX('Scoring Method'!$B$292:$B$296,MATCH(AQ198,'Scoring Method'!$A$292:$A$296,0))+INDEX('Scoring Method'!$B$300:$B$305,MATCH(AO198,'Scoring Method'!$A$300:$A$305,0))+INDEX('Scoring Method'!$B$309:$B$314,MATCH(AX198,'Scoring Method'!$A$309:$A$314,0))+INDEX('Scoring Method'!$B$337:$B$341,MATCH(X198,'Scoring Method'!$A$337:$A$341,0))+INDEX('Scoring Method'!$B$324:$B$326,MATCH(P198,'Scoring Method'!$A$324:$A$326,0)),1)</f>
        <v/>
      </c>
      <c r="BF198" s="96">
        <f>ROUND(INDEX('Scoring Method'!$B$268:$B$276,MATCH(AE198,'Scoring Method'!$A$268:$A$276,0))*BB198*BD198+INDEX('Scoring Method'!$B$280:$B$288,MATCH(AP198,'Scoring Method'!$A$280:$A$288,0))*BM198*BB198*BD198+INDEX('Scoring Method'!$B$292:$B$296,MATCH(AQ198,'Scoring Method'!$A$292:$A$296,0))*BD198+INDEX('Scoring Method'!$B$300:$B$305,MATCH(AO198,'Scoring Method'!$A$300:$A$305,0))*BM198*BB198+INDEX('Scoring Method'!$B$309:$B$314,MATCH(AX198,'Scoring Method'!$A$309:$A$314,0))+INDEX('Scoring Method'!$B$337:$B$341,MATCH(X198,'Scoring Method'!$A$337:$A$341,0))+INDEX('Scoring Method'!$B$324:$B$326,MATCH(P198,'Scoring Method'!$A$324:$A$326,0)),1)</f>
        <v/>
      </c>
      <c r="BG198" s="92" t="inlineStr">
        <is>
          <t>Fits (~$1,866/mo)</t>
        </is>
      </c>
      <c r="BH198" s="61" t="inlineStr">
        <is>
          <t>AUC</t>
        </is>
      </c>
      <c r="BI198" s="61" t="inlineStr">
        <is>
          <t>Auto-Urban Commercial</t>
        </is>
      </c>
      <c r="BJ198" s="61" t="inlineStr"/>
      <c r="BK198" s="61" t="inlineStr"/>
      <c r="BL198" s="61" t="inlineStr">
        <is>
          <t>Bar permitted</t>
        </is>
      </c>
      <c r="BM198" s="61">
        <f>INDEX('Scoring Method'!$B$358:$B$363,MATCH(BL198,'Scoring Method'!$A$358:$A$363,0))</f>
        <v/>
      </c>
    </row>
    <row r="199" ht="15" customHeight="1" s="62">
      <c r="A199" s="92" t="n">
        <v>198</v>
      </c>
      <c r="B199" s="92" t="inlineStr">
        <is>
          <t>055-13-05-005.00</t>
        </is>
      </c>
      <c r="C199" s="92" t="inlineStr">
        <is>
          <t>1511 NEAVE ST</t>
        </is>
      </c>
      <c r="D199" s="92" t="inlineStr">
        <is>
          <t>SKATE PROPERTIES LLC</t>
        </is>
      </c>
      <c r="E199" s="92" t="inlineStr">
        <is>
          <t>1511 NEAVE ST</t>
        </is>
      </c>
      <c r="F199" s="92" t="inlineStr">
        <is>
          <t>COVINGTON</t>
        </is>
      </c>
      <c r="G199" s="92" t="inlineStr">
        <is>
          <t>KY</t>
        </is>
      </c>
      <c r="H199" s="92" t="inlineStr">
        <is>
          <t>RETAIL OFFICE/WHSE</t>
        </is>
      </c>
      <c r="I199" s="93" t="n">
        <v>27225</v>
      </c>
      <c r="J199" s="94">
        <f>I199/43560</f>
        <v/>
      </c>
      <c r="K199" s="93" t="n">
        <v>910</v>
      </c>
      <c r="L199" s="95">
        <f>I199/(K199^2)</f>
        <v/>
      </c>
      <c r="M199" s="92" t="inlineStr">
        <is>
          <t>Ideal 18-32k</t>
        </is>
      </c>
      <c r="N199" s="92" t="inlineStr">
        <is>
          <t>B</t>
        </is>
      </c>
      <c r="O199" s="92" t="inlineStr">
        <is>
          <t>Irregular &lt;.035</t>
        </is>
      </c>
      <c r="P199" s="92" t="inlineStr">
        <is>
          <t>Low</t>
        </is>
      </c>
      <c r="Q199" s="92" t="inlineStr">
        <is>
          <t>Owner-occupied</t>
        </is>
      </c>
      <c r="R199" s="92" t="inlineStr">
        <is>
          <t>Passive vehicle</t>
        </is>
      </c>
      <c r="S199" s="92" t="n">
        <v>1</v>
      </c>
      <c r="T199" s="96">
        <f>INDEX('Scoring Method'!$B$6:$B$9,MATCH(M199,'Scoring Method'!$A$6:$A$9,0))+INDEX('Scoring Method'!$B$12:$B$16,MATCH(N199,'Scoring Method'!$A$12:$A$16,0))+INDEX('Scoring Method'!$B$19:$B$22,MATCH(O199,'Scoring Method'!$A$19:$A$22,0))+INDEX('Scoring Method'!$B$25:$B$27,MATCH(P199,'Scoring Method'!$A$25:$A$27,0))</f>
        <v/>
      </c>
      <c r="U199" s="96">
        <f>(INDEX('Scoring Method'!$B$30:$B$33,MATCH(Q199,'Scoring Method'!$A$30:$A$33,0))+INDEX('Scoring Method'!$B$36:$B$42,MATCH(R199,'Scoring Method'!$A$36:$A$42,0))+INDEX('Scoring Method'!$B$45:$B$47,MATCH(IF(S199=1,"1",IF(S199=2,"2","3+")),'Scoring Method'!$A$45:$A$47,0)))/90*100</f>
        <v/>
      </c>
      <c r="V199" s="96">
        <f>T199*U199/100</f>
        <v/>
      </c>
      <c r="W199" s="93" t="n">
        <v>6314</v>
      </c>
      <c r="X199" s="92" t="inlineStr">
        <is>
          <t>X (minimal hazard)</t>
        </is>
      </c>
      <c r="Y199" s="93" t="n">
        <v>20775</v>
      </c>
      <c r="Z199" s="97" t="n"/>
      <c r="AA199" s="98">
        <f>MAX(0,(Y199-5000)/300)</f>
        <v/>
      </c>
      <c r="AB199" s="92" t="n"/>
      <c r="AC199" s="92" t="n"/>
      <c r="AD199" s="92" t="n"/>
      <c r="AE199" s="92" t="inlineStr">
        <is>
          <t>Oversize 6-12k</t>
        </is>
      </c>
      <c r="AF199" s="96">
        <f>INDEX('Scoring Method'!$B$63:$B$71,MATCH(AE199,'Scoring Method'!$A$63:$A$71,0))+INDEX('Scoring Method'!$B$75:$B$79,MATCH("Ample &gt;=15k",'Scoring Method'!$A$75:$A$79,0))+INDEX('Scoring Method'!$B$343:$B$347,MATCH(X199,'Scoring Method'!$A$343:$A$347,0))+INDEX('Scoring Method'!$B$25:$B$27,MATCH(P199,'Scoring Method'!$A$25:$A$27,0))</f>
        <v/>
      </c>
      <c r="AG199" s="96">
        <f>AF199*U199/100</f>
        <v/>
      </c>
      <c r="AH199" s="92" t="inlineStr">
        <is>
          <t>LINK-GIS + LoopNet (2026-08-02)</t>
        </is>
      </c>
      <c r="AI199" s="99" t="n">
        <v>39.07336</v>
      </c>
      <c r="AJ199" s="99" t="n">
        <v>-84.50857999999999</v>
      </c>
      <c r="AK199" s="94" t="n">
        <v>0.91</v>
      </c>
      <c r="AL199" s="94" t="n">
        <v>1.21</v>
      </c>
      <c r="AM199" s="94" t="n">
        <v>1.96</v>
      </c>
      <c r="AN199" s="94" t="n">
        <v>0.75</v>
      </c>
      <c r="AO199" s="92" t="inlineStr">
        <is>
          <t>Near 0.35-0.75mi</t>
        </is>
      </c>
      <c r="AP199" s="92" t="inlineStr">
        <is>
          <t>Open span</t>
        </is>
      </c>
      <c r="AQ199" s="92" t="inlineStr">
        <is>
          <t>Ample &gt;=15k</t>
        </is>
      </c>
      <c r="AR199" s="100" t="n"/>
      <c r="AS199" s="96">
        <f>ROUND(INDEX('Scoring Method'!$B$63:$B$70,MATCH(AE199,'Scoring Method'!$A$63:$A$70,0))*0.625+INDEX('Scoring Method'!$B$105:$B$113,MATCH(AP199,'Scoring Method'!$A$105:$A$113,0))+INDEX('Scoring Method'!$B$74:$B$78,MATCH(AQ199,'Scoring Method'!$A$74:$A$78,0))*0.6667+INDEX('Scoring Method'!$B$96:$B$101,MATCH(AO199,'Scoring Method'!$A$96:$A$101,0))+INDEX('Scoring Method'!$B$343:$B$347,MATCH(X199,'Scoring Method'!$A$343:$A$347,0))*0.3333+INDEX('Scoring Method'!$B$25:$B$27,MATCH(P199,'Scoring Method'!$A$25:$A$27,0))*0.3333,1)</f>
        <v/>
      </c>
      <c r="AT199" s="96">
        <f>AS199*U199/100</f>
        <v/>
      </c>
      <c r="AU199" s="92" t="inlineStr">
        <is>
          <t>Eastside</t>
        </is>
      </c>
      <c r="AV199" s="92" t="n">
        <v>28</v>
      </c>
      <c r="AW199" s="101" t="inlineStr">
        <is>
          <t>ESTIMATED</t>
        </is>
      </c>
      <c r="AX199" s="92" t="inlineStr">
        <is>
          <t>High &lt;35</t>
        </is>
      </c>
      <c r="AY199" s="96">
        <f>ROUND(INDEX('Scoring Method'!$B$132:$B$140,MATCH(AE199,'Scoring Method'!$A$132:$A$140,0))+INDEX('Scoring Method'!$B$144:$B$152,MATCH(AP199,'Scoring Method'!$A$144:$A$152,0))+INDEX('Scoring Method'!$B$156:$B$160,MATCH(AQ199,'Scoring Method'!$A$156:$A$160,0))+INDEX('Scoring Method'!$B$164:$B$169,MATCH(AO199,'Scoring Method'!$A$164:$A$169,0))+INDEX('Scoring Method'!$B$173:$B$178,MATCH(AX199,'Scoring Method'!$A$173:$A$178,0))+INDEX('Scoring Method'!$B$349:$B$353,MATCH(X199,'Scoring Method'!$A$349:$A$353,0))+INDEX('Scoring Method'!$B$188:$B$190,MATCH(P199,'Scoring Method'!$A$188:$A$190,0)),1)</f>
        <v/>
      </c>
      <c r="AZ199" s="96">
        <f>AY199*U199/100</f>
        <v/>
      </c>
      <c r="BA199" s="92" t="inlineStr">
        <is>
          <t>Owner-occupied operator</t>
        </is>
      </c>
      <c r="BB199" s="94" t="n">
        <v>0.8</v>
      </c>
      <c r="BC199" s="92" t="inlineStr">
        <is>
          <t>Right-sized 0.35-0.75 AC</t>
        </is>
      </c>
      <c r="BD199" s="94" t="n">
        <v>1</v>
      </c>
      <c r="BE199" s="96">
        <f>ROUND(INDEX('Scoring Method'!$B$268:$B$276,MATCH(AE199,'Scoring Method'!$A$268:$A$276,0))+INDEX('Scoring Method'!$B$280:$B$288,MATCH(AP199,'Scoring Method'!$A$280:$A$288,0))+INDEX('Scoring Method'!$B$292:$B$296,MATCH(AQ199,'Scoring Method'!$A$292:$A$296,0))+INDEX('Scoring Method'!$B$300:$B$305,MATCH(AO199,'Scoring Method'!$A$300:$A$305,0))+INDEX('Scoring Method'!$B$309:$B$314,MATCH(AX199,'Scoring Method'!$A$309:$A$314,0))+INDEX('Scoring Method'!$B$337:$B$341,MATCH(X199,'Scoring Method'!$A$337:$A$341,0))+INDEX('Scoring Method'!$B$324:$B$326,MATCH(P199,'Scoring Method'!$A$324:$A$326,0)),1)</f>
        <v/>
      </c>
      <c r="BF199" s="96">
        <f>ROUND(INDEX('Scoring Method'!$B$268:$B$276,MATCH(AE199,'Scoring Method'!$A$268:$A$276,0))*BB199*BD199+INDEX('Scoring Method'!$B$280:$B$288,MATCH(AP199,'Scoring Method'!$A$280:$A$288,0))*BM199*BB199*BD199+INDEX('Scoring Method'!$B$292:$B$296,MATCH(AQ199,'Scoring Method'!$A$292:$A$296,0))*BD199+INDEX('Scoring Method'!$B$300:$B$305,MATCH(AO199,'Scoring Method'!$A$300:$A$305,0))*BM199*BB199+INDEX('Scoring Method'!$B$309:$B$314,MATCH(AX199,'Scoring Method'!$A$309:$A$314,0))+INDEX('Scoring Method'!$B$337:$B$341,MATCH(X199,'Scoring Method'!$A$337:$A$341,0))+INDEX('Scoring Method'!$B$324:$B$326,MATCH(P199,'Scoring Method'!$A$324:$A$326,0)),1)</f>
        <v/>
      </c>
      <c r="BG199" s="92" t="inlineStr">
        <is>
          <t>Fits (~$5,788/mo)</t>
        </is>
      </c>
      <c r="BH199" s="61" t="inlineStr">
        <is>
          <t>AUC</t>
        </is>
      </c>
      <c r="BI199" s="61" t="inlineStr">
        <is>
          <t>Auto-Urban Commercial</t>
        </is>
      </c>
      <c r="BJ199" s="61" t="inlineStr"/>
      <c r="BK199" s="61" t="inlineStr"/>
      <c r="BL199" s="61" t="inlineStr">
        <is>
          <t>Bar permitted</t>
        </is>
      </c>
      <c r="BM199" s="61">
        <f>INDEX('Scoring Method'!$B$358:$B$363,MATCH(BL199,'Scoring Method'!$A$358:$A$363,0))</f>
        <v/>
      </c>
    </row>
    <row r="200" ht="15" customHeight="1" s="62">
      <c r="A200" s="92" t="n">
        <v>199</v>
      </c>
      <c r="B200" s="92" t="inlineStr">
        <is>
          <t>058-40-00-263.00</t>
        </is>
      </c>
      <c r="C200" s="92" t="inlineStr">
        <is>
          <t>3771 WOLF RD</t>
        </is>
      </c>
      <c r="D200" s="92" t="inlineStr">
        <is>
          <t>SPRECKER DEREK</t>
        </is>
      </c>
      <c r="E200" s="92" t="inlineStr">
        <is>
          <t>3771 WOLF RD</t>
        </is>
      </c>
      <c r="F200" s="92" t="inlineStr">
        <is>
          <t>COVINGTON</t>
        </is>
      </c>
      <c r="G200" s="92" t="inlineStr">
        <is>
          <t>KY</t>
        </is>
      </c>
      <c r="H200" s="92" t="inlineStr">
        <is>
          <t>MISCELLANEOUS IMPROVEMENT</t>
        </is>
      </c>
      <c r="I200" s="93" t="n">
        <v>15300</v>
      </c>
      <c r="J200" s="94">
        <f>I200/43560</f>
        <v/>
      </c>
      <c r="K200" s="93" t="n">
        <v>511.2</v>
      </c>
      <c r="L200" s="95">
        <f>I200/(K200^2)</f>
        <v/>
      </c>
      <c r="M200" s="92" t="inlineStr">
        <is>
          <t>Near 14-18k/32-45k</t>
        </is>
      </c>
      <c r="N200" s="92" t="inlineStr">
        <is>
          <t>D</t>
        </is>
      </c>
      <c r="O200" s="92" t="inlineStr">
        <is>
          <t>Compact &gt;=.055</t>
        </is>
      </c>
      <c r="P200" s="92" t="inlineStr">
        <is>
          <t>Low</t>
        </is>
      </c>
      <c r="Q200" s="92" t="inlineStr">
        <is>
          <t>Owner-occupied</t>
        </is>
      </c>
      <c r="R200" s="92" t="inlineStr">
        <is>
          <t>Individual</t>
        </is>
      </c>
      <c r="S200" s="92" t="n">
        <v>1</v>
      </c>
      <c r="T200" s="96">
        <f>INDEX('Scoring Method'!$B$6:$B$9,MATCH(M200,'Scoring Method'!$A$6:$A$9,0))+INDEX('Scoring Method'!$B$12:$B$16,MATCH(N200,'Scoring Method'!$A$12:$A$16,0))+INDEX('Scoring Method'!$B$19:$B$22,MATCH(O200,'Scoring Method'!$A$19:$A$22,0))+INDEX('Scoring Method'!$B$25:$B$27,MATCH(P200,'Scoring Method'!$A$25:$A$27,0))</f>
        <v/>
      </c>
      <c r="U200" s="96">
        <f>(INDEX('Scoring Method'!$B$30:$B$33,MATCH(Q200,'Scoring Method'!$A$30:$A$33,0))+INDEX('Scoring Method'!$B$36:$B$42,MATCH(R200,'Scoring Method'!$A$36:$A$42,0))+INDEX('Scoring Method'!$B$45:$B$47,MATCH(IF(S200=1,"1",IF(S200=2,"2","3+")),'Scoring Method'!$A$45:$A$47,0)))/90*100</f>
        <v/>
      </c>
      <c r="V200" s="96">
        <f>T200*U200/100</f>
        <v/>
      </c>
      <c r="W200" s="93" t="n">
        <v>1425</v>
      </c>
      <c r="X200" s="92" t="inlineStr">
        <is>
          <t>X (minimal hazard)</t>
        </is>
      </c>
      <c r="Y200" s="93" t="n">
        <v>13425</v>
      </c>
      <c r="Z200" s="97" t="n"/>
      <c r="AA200" s="98">
        <f>MAX(0,(Y200-5000)/300)</f>
        <v/>
      </c>
      <c r="AB200" s="92" t="n"/>
      <c r="AC200" s="92" t="n"/>
      <c r="AD200" s="92" t="n"/>
      <c r="AE200" s="92" t="inlineStr">
        <is>
          <t>Below 1.2-1.5k</t>
        </is>
      </c>
      <c r="AF200" s="96">
        <f>INDEX('Scoring Method'!$B$63:$B$71,MATCH(AE200,'Scoring Method'!$A$63:$A$71,0))+INDEX('Scoring Method'!$B$75:$B$79,MATCH("Good 8-15k",'Scoring Method'!$A$75:$A$79,0))+INDEX('Scoring Method'!$B$343:$B$347,MATCH(X200,'Scoring Method'!$A$343:$A$347,0))+INDEX('Scoring Method'!$B$25:$B$27,MATCH(P200,'Scoring Method'!$A$25:$A$27,0))</f>
        <v/>
      </c>
      <c r="AG200" s="96">
        <f>AF200*U200/100</f>
        <v/>
      </c>
      <c r="AH200" s="92" t="inlineStr">
        <is>
          <t>LINK-GIS only</t>
        </is>
      </c>
      <c r="AI200" s="99" t="n">
        <v>38.99077</v>
      </c>
      <c r="AJ200" s="99" t="n">
        <v>-84.49379999999999</v>
      </c>
      <c r="AK200" s="94" t="n">
        <v>6.6</v>
      </c>
      <c r="AL200" s="94" t="n">
        <v>6.96</v>
      </c>
      <c r="AM200" s="94" t="n">
        <v>7.72</v>
      </c>
      <c r="AN200" s="94" t="n">
        <v>6.51</v>
      </c>
      <c r="AO200" s="92" t="inlineStr">
        <is>
          <t>Remote &gt;3mi</t>
        </is>
      </c>
      <c r="AP200" s="92" t="inlineStr">
        <is>
          <t>Lot / minimal bldg</t>
        </is>
      </c>
      <c r="AQ200" s="92" t="inlineStr">
        <is>
          <t>Good 8-15k</t>
        </is>
      </c>
      <c r="AR200" s="100" t="n"/>
      <c r="AS200" s="96">
        <f>ROUND(INDEX('Scoring Method'!$B$63:$B$70,MATCH(AE200,'Scoring Method'!$A$63:$A$70,0))*0.625+INDEX('Scoring Method'!$B$105:$B$113,MATCH(AP200,'Scoring Method'!$A$105:$A$113,0))+INDEX('Scoring Method'!$B$74:$B$78,MATCH(AQ200,'Scoring Method'!$A$74:$A$78,0))*0.6667+INDEX('Scoring Method'!$B$96:$B$101,MATCH(AO200,'Scoring Method'!$A$96:$A$101,0))+INDEX('Scoring Method'!$B$343:$B$347,MATCH(X200,'Scoring Method'!$A$343:$A$347,0))*0.3333+INDEX('Scoring Method'!$B$25:$B$27,MATCH(P200,'Scoring Method'!$A$25:$A$27,0))*0.3333,1)</f>
        <v/>
      </c>
      <c r="AT200" s="96">
        <f>AS200*U200/100</f>
        <v/>
      </c>
      <c r="AU200" s="92" t="inlineStr">
        <is>
          <t>South Covington</t>
        </is>
      </c>
      <c r="AV200" s="92" t="n">
        <v>88</v>
      </c>
      <c r="AW200" s="92" t="inlineStr">
        <is>
          <t>Sourced</t>
        </is>
      </c>
      <c r="AX200" s="92" t="inlineStr">
        <is>
          <t>Very safe 80+</t>
        </is>
      </c>
      <c r="AY200" s="96">
        <f>ROUND(INDEX('Scoring Method'!$B$132:$B$140,MATCH(AE200,'Scoring Method'!$A$132:$A$140,0))+INDEX('Scoring Method'!$B$144:$B$152,MATCH(AP200,'Scoring Method'!$A$144:$A$152,0))+INDEX('Scoring Method'!$B$156:$B$160,MATCH(AQ200,'Scoring Method'!$A$156:$A$160,0))+INDEX('Scoring Method'!$B$164:$B$169,MATCH(AO200,'Scoring Method'!$A$164:$A$169,0))+INDEX('Scoring Method'!$B$173:$B$178,MATCH(AX200,'Scoring Method'!$A$173:$A$178,0))+INDEX('Scoring Method'!$B$349:$B$353,MATCH(X200,'Scoring Method'!$A$349:$A$353,0))+INDEX('Scoring Method'!$B$188:$B$190,MATCH(P200,'Scoring Method'!$A$188:$A$190,0)),1)</f>
        <v/>
      </c>
      <c r="AZ200" s="96">
        <f>AY200*U200/100</f>
        <v/>
      </c>
      <c r="BA200" s="92" t="inlineStr">
        <is>
          <t>Owner-occupied operator</t>
        </is>
      </c>
      <c r="BB200" s="94" t="n">
        <v>0.8</v>
      </c>
      <c r="BC200" s="92" t="inlineStr">
        <is>
          <t>Right-sized 0.35-0.75 AC</t>
        </is>
      </c>
      <c r="BD200" s="94" t="n">
        <v>1</v>
      </c>
      <c r="BE200" s="96">
        <f>ROUND(INDEX('Scoring Method'!$B$268:$B$276,MATCH(AE200,'Scoring Method'!$A$268:$A$276,0))+INDEX('Scoring Method'!$B$280:$B$288,MATCH(AP200,'Scoring Method'!$A$280:$A$288,0))+INDEX('Scoring Method'!$B$292:$B$296,MATCH(AQ200,'Scoring Method'!$A$292:$A$296,0))+INDEX('Scoring Method'!$B$300:$B$305,MATCH(AO200,'Scoring Method'!$A$300:$A$305,0))+INDEX('Scoring Method'!$B$309:$B$314,MATCH(AX200,'Scoring Method'!$A$309:$A$314,0))+INDEX('Scoring Method'!$B$337:$B$341,MATCH(X200,'Scoring Method'!$A$337:$A$341,0))+INDEX('Scoring Method'!$B$324:$B$326,MATCH(P200,'Scoring Method'!$A$324:$A$326,0)),1)</f>
        <v/>
      </c>
      <c r="BF200" s="96">
        <f>ROUND(INDEX('Scoring Method'!$B$268:$B$276,MATCH(AE200,'Scoring Method'!$A$268:$A$276,0))*BB200*BD200+INDEX('Scoring Method'!$B$280:$B$288,MATCH(AP200,'Scoring Method'!$A$280:$A$288,0))*BM200*BB200*BD200+INDEX('Scoring Method'!$B$292:$B$296,MATCH(AQ200,'Scoring Method'!$A$292:$A$296,0))*BD200+INDEX('Scoring Method'!$B$300:$B$305,MATCH(AO200,'Scoring Method'!$A$300:$A$305,0))*BM200*BB200+INDEX('Scoring Method'!$B$309:$B$314,MATCH(AX200,'Scoring Method'!$A$309:$A$314,0))+INDEX('Scoring Method'!$B$337:$B$341,MATCH(X200,'Scoring Method'!$A$337:$A$341,0))+INDEX('Scoring Method'!$B$324:$B$326,MATCH(P200,'Scoring Method'!$A$324:$A$326,0)),1)</f>
        <v/>
      </c>
      <c r="BG200" s="92" t="inlineStr">
        <is>
          <t>Fits (~$1,306/mo)</t>
        </is>
      </c>
      <c r="BH200" s="61" t="inlineStr">
        <is>
          <t>SR</t>
        </is>
      </c>
      <c r="BI200" s="61" t="inlineStr">
        <is>
          <t>Suburban Residential</t>
        </is>
      </c>
      <c r="BJ200" s="61" t="inlineStr"/>
      <c r="BK200" s="61" t="inlineStr"/>
      <c r="BL200" s="61" t="inlineStr">
        <is>
          <t>No path</t>
        </is>
      </c>
      <c r="BM200" s="61">
        <f>INDEX('Scoring Method'!$B$358:$B$363,MATCH(BL200,'Scoring Method'!$A$358:$A$363,0))</f>
        <v/>
      </c>
    </row>
    <row r="201" ht="15" customHeight="1" s="62">
      <c r="A201" s="92" t="n">
        <v>200</v>
      </c>
      <c r="B201" s="92" t="inlineStr">
        <is>
          <t>054-21-01-005.00</t>
        </is>
      </c>
      <c r="C201" s="92" t="inlineStr">
        <is>
          <t>401 JOHNSON ST</t>
        </is>
      </c>
      <c r="D201" s="92" t="inlineStr">
        <is>
          <t>SHUG PROPERTIES LLC</t>
        </is>
      </c>
      <c r="E201" s="92" t="inlineStr">
        <is>
          <t>PO BOX 12349</t>
        </is>
      </c>
      <c r="F201" s="92" t="inlineStr">
        <is>
          <t>COVINGTON</t>
        </is>
      </c>
      <c r="G201" s="92" t="inlineStr">
        <is>
          <t>KY</t>
        </is>
      </c>
      <c r="H201" s="92" t="inlineStr">
        <is>
          <t>OTHER RETAIL</t>
        </is>
      </c>
      <c r="I201" s="93" t="n">
        <v>8236</v>
      </c>
      <c r="J201" s="94">
        <f>I201/43560</f>
        <v/>
      </c>
      <c r="K201" s="93" t="n">
        <v>364.7</v>
      </c>
      <c r="L201" s="95">
        <f>I201/(K201^2)</f>
        <v/>
      </c>
      <c r="M201" s="92" t="inlineStr">
        <is>
          <t>Poor &lt;10k/&gt;60k</t>
        </is>
      </c>
      <c r="N201" s="92" t="inlineStr">
        <is>
          <t>C</t>
        </is>
      </c>
      <c r="O201" s="92" t="inlineStr">
        <is>
          <t>Compact &gt;=.055</t>
        </is>
      </c>
      <c r="P201" s="92" t="inlineStr">
        <is>
          <t>Low</t>
        </is>
      </c>
      <c r="Q201" s="92" t="inlineStr">
        <is>
          <t>Local absentee</t>
        </is>
      </c>
      <c r="R201" s="92" t="inlineStr">
        <is>
          <t>Passive vehicle</t>
        </is>
      </c>
      <c r="S201" s="92" t="n">
        <v>1</v>
      </c>
      <c r="T201" s="96">
        <f>INDEX('Scoring Method'!$B$6:$B$9,MATCH(M201,'Scoring Method'!$A$6:$A$9,0))+INDEX('Scoring Method'!$B$12:$B$16,MATCH(N201,'Scoring Method'!$A$12:$A$16,0))+INDEX('Scoring Method'!$B$19:$B$22,MATCH(O201,'Scoring Method'!$A$19:$A$22,0))+INDEX('Scoring Method'!$B$25:$B$27,MATCH(P201,'Scoring Method'!$A$25:$A$27,0))</f>
        <v/>
      </c>
      <c r="U201" s="96">
        <f>(INDEX('Scoring Method'!$B$30:$B$33,MATCH(Q201,'Scoring Method'!$A$30:$A$33,0))+INDEX('Scoring Method'!$B$36:$B$42,MATCH(R201,'Scoring Method'!$A$36:$A$42,0))+INDEX('Scoring Method'!$B$45:$B$47,MATCH(IF(S201=1,"1",IF(S201=2,"2","3+")),'Scoring Method'!$A$45:$A$47,0)))/90*100</f>
        <v/>
      </c>
      <c r="V201" s="96">
        <f>T201*U201/100</f>
        <v/>
      </c>
      <c r="W201" s="93" t="n">
        <v>1950</v>
      </c>
      <c r="X201" s="92" t="inlineStr">
        <is>
          <t>X (minimal hazard)</t>
        </is>
      </c>
      <c r="Y201" s="93" t="n">
        <v>4925</v>
      </c>
      <c r="Z201" s="97">
        <f>W201/I201</f>
        <v/>
      </c>
      <c r="AA201" s="98">
        <f>MAX(0,(Y201-5000)/300)</f>
        <v/>
      </c>
      <c r="AB201" s="92" t="n"/>
      <c r="AC201" s="92" t="n">
        <v>0.19</v>
      </c>
      <c r="AD201" s="92" t="inlineStr">
        <is>
          <t>ok</t>
        </is>
      </c>
      <c r="AE201" s="92" t="inlineStr">
        <is>
          <t>Target 1.5-2.5k</t>
        </is>
      </c>
      <c r="AF201" s="96">
        <f>INDEX('Scoring Method'!$B$63:$B$71,MATCH(AE201,'Scoring Method'!$A$63:$A$71,0))+INDEX('Scoring Method'!$B$75:$B$79,MATCH("Tight 2-5k",'Scoring Method'!$A$75:$A$79,0))+INDEX('Scoring Method'!$B$343:$B$347,MATCH(X201,'Scoring Method'!$A$343:$A$347,0))+INDEX('Scoring Method'!$B$25:$B$27,MATCH(P201,'Scoring Method'!$A$25:$A$27,0))</f>
        <v/>
      </c>
      <c r="AG201" s="96">
        <f>AF201*U201/100</f>
        <v/>
      </c>
      <c r="AH201" s="92" t="inlineStr">
        <is>
          <t>LINK-GIS + LoopNet</t>
        </is>
      </c>
      <c r="AI201" s="99" t="n">
        <v>39.08633</v>
      </c>
      <c r="AJ201" s="99" t="n">
        <v>-84.51621</v>
      </c>
      <c r="AK201" s="94" t="n">
        <v>0.16</v>
      </c>
      <c r="AL201" s="94" t="n">
        <v>0.52</v>
      </c>
      <c r="AM201" s="94" t="n">
        <v>1.07</v>
      </c>
      <c r="AN201" s="94" t="n">
        <v>0.16</v>
      </c>
      <c r="AO201" s="92" t="inlineStr">
        <is>
          <t>Core &lt;=0.35mi</t>
        </is>
      </c>
      <c r="AP201" s="92" t="inlineStr">
        <is>
          <t>Retail shell</t>
        </is>
      </c>
      <c r="AQ201" s="92" t="inlineStr">
        <is>
          <t>Tight 2-5k</t>
        </is>
      </c>
      <c r="AR201" s="100" t="n"/>
      <c r="AS201" s="96">
        <f>ROUND(INDEX('Scoring Method'!$B$63:$B$70,MATCH(AE201,'Scoring Method'!$A$63:$A$70,0))*0.625+INDEX('Scoring Method'!$B$105:$B$113,MATCH(AP201,'Scoring Method'!$A$105:$A$113,0))+INDEX('Scoring Method'!$B$74:$B$78,MATCH(AQ201,'Scoring Method'!$A$74:$A$78,0))*0.6667+INDEX('Scoring Method'!$B$96:$B$101,MATCH(AO201,'Scoring Method'!$A$96:$A$101,0))+INDEX('Scoring Method'!$B$343:$B$347,MATCH(X201,'Scoring Method'!$A$343:$A$347,0))*0.3333+INDEX('Scoring Method'!$B$25:$B$27,MATCH(P201,'Scoring Method'!$A$25:$A$27,0))*0.3333,1)</f>
        <v/>
      </c>
      <c r="AT201" s="96">
        <f>AS201*U201/100</f>
        <v/>
      </c>
      <c r="AU201" s="92" t="inlineStr">
        <is>
          <t>Botany Hills / Riverfront West</t>
        </is>
      </c>
      <c r="AV201" s="92" t="n">
        <v>45</v>
      </c>
      <c r="AW201" s="101" t="inlineStr">
        <is>
          <t>ESTIMATED</t>
        </is>
      </c>
      <c r="AX201" s="92" t="inlineStr">
        <is>
          <t>Mixed 45-59</t>
        </is>
      </c>
      <c r="AY201" s="96">
        <f>ROUND(INDEX('Scoring Method'!$B$132:$B$140,MATCH(AE201,'Scoring Method'!$A$132:$A$140,0))+INDEX('Scoring Method'!$B$144:$B$152,MATCH(AP201,'Scoring Method'!$A$144:$A$152,0))+INDEX('Scoring Method'!$B$156:$B$160,MATCH(AQ201,'Scoring Method'!$A$156:$A$160,0))+INDEX('Scoring Method'!$B$164:$B$169,MATCH(AO201,'Scoring Method'!$A$164:$A$169,0))+INDEX('Scoring Method'!$B$173:$B$178,MATCH(AX201,'Scoring Method'!$A$173:$A$178,0))+INDEX('Scoring Method'!$B$349:$B$353,MATCH(X201,'Scoring Method'!$A$349:$A$353,0))+INDEX('Scoring Method'!$B$188:$B$190,MATCH(P201,'Scoring Method'!$A$188:$A$190,0)),1)</f>
        <v/>
      </c>
      <c r="AZ201" s="96">
        <f>AY201*U201/100</f>
        <v/>
      </c>
      <c r="BA201" s="92" t="inlineStr">
        <is>
          <t>No chain signal</t>
        </is>
      </c>
      <c r="BB201" s="94" t="n">
        <v>1</v>
      </c>
      <c r="BC201" s="103" t="inlineStr">
        <is>
          <t>Extra small 0.15-0.25 AC</t>
        </is>
      </c>
      <c r="BD201" s="94" t="n">
        <v>0.8</v>
      </c>
      <c r="BE201" s="96">
        <f>ROUND(INDEX('Scoring Method'!$B$268:$B$276,MATCH(AE201,'Scoring Method'!$A$268:$A$276,0))+INDEX('Scoring Method'!$B$280:$B$288,MATCH(AP201,'Scoring Method'!$A$280:$A$288,0))+INDEX('Scoring Method'!$B$292:$B$296,MATCH(AQ201,'Scoring Method'!$A$292:$A$296,0))+INDEX('Scoring Method'!$B$300:$B$305,MATCH(AO201,'Scoring Method'!$A$300:$A$305,0))+INDEX('Scoring Method'!$B$309:$B$314,MATCH(AX201,'Scoring Method'!$A$309:$A$314,0))+INDEX('Scoring Method'!$B$337:$B$341,MATCH(X201,'Scoring Method'!$A$337:$A$341,0))+INDEX('Scoring Method'!$B$324:$B$326,MATCH(P201,'Scoring Method'!$A$324:$A$326,0)),1)</f>
        <v/>
      </c>
      <c r="BF201" s="96">
        <f>ROUND(INDEX('Scoring Method'!$B$268:$B$276,MATCH(AE201,'Scoring Method'!$A$268:$A$276,0))*BB201*BD201+INDEX('Scoring Method'!$B$280:$B$288,MATCH(AP201,'Scoring Method'!$A$280:$A$288,0))*BM201*BB201*BD201+INDEX('Scoring Method'!$B$292:$B$296,MATCH(AQ201,'Scoring Method'!$A$292:$A$296,0))*BD201+INDEX('Scoring Method'!$B$300:$B$305,MATCH(AO201,'Scoring Method'!$A$300:$A$305,0))*BM201*BB201+INDEX('Scoring Method'!$B$309:$B$314,MATCH(AX201,'Scoring Method'!$A$309:$A$314,0))+INDEX('Scoring Method'!$B$337:$B$341,MATCH(X201,'Scoring Method'!$A$337:$A$341,0))+INDEX('Scoring Method'!$B$324:$B$326,MATCH(P201,'Scoring Method'!$A$324:$A$326,0)),1)</f>
        <v/>
      </c>
      <c r="BG201" s="92" t="inlineStr">
        <is>
          <t>Fits (~$1,788/mo)</t>
        </is>
      </c>
      <c r="BH201" s="61" t="inlineStr">
        <is>
          <t>TUR</t>
        </is>
      </c>
      <c r="BI201" s="61" t="inlineStr">
        <is>
          <t>Traditional Urban Residential</t>
        </is>
      </c>
      <c r="BJ201" s="61" t="inlineStr"/>
      <c r="BK201" s="61" t="inlineStr"/>
      <c r="BL201" s="61" t="inlineStr">
        <is>
          <t>Bar prohibited, alt-path</t>
        </is>
      </c>
      <c r="BM201" s="61">
        <f>INDEX('Scoring Method'!$B$358:$B$363,MATCH(BL201,'Scoring Method'!$A$358:$A$363,0))</f>
        <v/>
      </c>
    </row>
    <row r="202" ht="15" customHeight="1" s="62">
      <c r="A202" s="92" t="n">
        <v>201</v>
      </c>
      <c r="B202" s="92" t="inlineStr">
        <is>
          <t>054-21-15-009.00</t>
        </is>
      </c>
      <c r="C202" s="92" t="inlineStr">
        <is>
          <t>201 HARVEY CT</t>
        </is>
      </c>
      <c r="D202" s="92" t="inlineStr">
        <is>
          <t>BD HOLDINGS LLC</t>
        </is>
      </c>
      <c r="E202" s="92" t="inlineStr">
        <is>
          <t>200 W PIKE ST</t>
        </is>
      </c>
      <c r="F202" s="92" t="inlineStr">
        <is>
          <t>COVINGTON</t>
        </is>
      </c>
      <c r="G202" s="92" t="inlineStr">
        <is>
          <t>KY</t>
        </is>
      </c>
      <c r="H202" s="92" t="inlineStr">
        <is>
          <t>OFFICE BLDG 1 OR 2 STORY</t>
        </is>
      </c>
      <c r="I202" s="93" t="n">
        <v>28046</v>
      </c>
      <c r="J202" s="94">
        <f>I202/43560</f>
        <v/>
      </c>
      <c r="K202" s="93" t="n">
        <v>1030</v>
      </c>
      <c r="L202" s="95">
        <f>I202/(K202^2)</f>
        <v/>
      </c>
      <c r="M202" s="92" t="inlineStr">
        <is>
          <t>Ideal 18-32k</t>
        </is>
      </c>
      <c r="N202" s="92" t="inlineStr">
        <is>
          <t>E</t>
        </is>
      </c>
      <c r="O202" s="92" t="inlineStr">
        <is>
          <t>Irregular &lt;.035</t>
        </is>
      </c>
      <c r="P202" s="92" t="inlineStr">
        <is>
          <t>Low</t>
        </is>
      </c>
      <c r="Q202" s="92" t="inlineStr">
        <is>
          <t>Local absentee</t>
        </is>
      </c>
      <c r="R202" s="92" t="inlineStr">
        <is>
          <t>Passive vehicle</t>
        </is>
      </c>
      <c r="S202" s="92" t="n">
        <v>1</v>
      </c>
      <c r="T202" s="96">
        <f>INDEX('Scoring Method'!$B$6:$B$9,MATCH(M202,'Scoring Method'!$A$6:$A$9,0))+INDEX('Scoring Method'!$B$12:$B$16,MATCH(N202,'Scoring Method'!$A$12:$A$16,0))+INDEX('Scoring Method'!$B$19:$B$22,MATCH(O202,'Scoring Method'!$A$19:$A$22,0))+INDEX('Scoring Method'!$B$25:$B$27,MATCH(P202,'Scoring Method'!$A$25:$A$27,0))</f>
        <v/>
      </c>
      <c r="U202" s="96">
        <f>(INDEX('Scoring Method'!$B$30:$B$33,MATCH(Q202,'Scoring Method'!$A$30:$A$33,0))+INDEX('Scoring Method'!$B$36:$B$42,MATCH(R202,'Scoring Method'!$A$36:$A$42,0))+INDEX('Scoring Method'!$B$45:$B$47,MATCH(IF(S202=1,"1",IF(S202=2,"2","3+")),'Scoring Method'!$A$45:$A$47,0)))/90*100</f>
        <v/>
      </c>
      <c r="V202" s="96">
        <f>T202*U202/100</f>
        <v/>
      </c>
      <c r="W202" s="93" t="n"/>
      <c r="X202" s="92" t="inlineStr">
        <is>
          <t>X (minimal hazard)</t>
        </is>
      </c>
      <c r="Y202" s="93" t="n">
        <v>20650</v>
      </c>
      <c r="Z202" s="97" t="n"/>
      <c r="AA202" s="98" t="n"/>
      <c r="AB202" s="92" t="n"/>
      <c r="AC202" s="92" t="n">
        <v>0.65</v>
      </c>
      <c r="AD202" s="92" t="inlineStr">
        <is>
          <t>ok</t>
        </is>
      </c>
      <c r="AE202" s="92" t="inlineStr">
        <is>
          <t>No building</t>
        </is>
      </c>
      <c r="AF202" s="96">
        <f>INDEX('Scoring Method'!$B$63:$B$71,MATCH(AE202,'Scoring Method'!$A$63:$A$71,0))+INDEX('Scoring Method'!$B$75:$B$79,MATCH("Ample &gt;=15k",'Scoring Method'!$A$75:$A$79,0))+INDEX('Scoring Method'!$B$343:$B$347,MATCH(X202,'Scoring Method'!$A$343:$A$347,0))+INDEX('Scoring Method'!$B$25:$B$27,MATCH(P202,'Scoring Method'!$A$25:$A$27,0))</f>
        <v/>
      </c>
      <c r="AG202" s="96">
        <f>AF202*U202/100</f>
        <v/>
      </c>
      <c r="AH202" s="92" t="inlineStr">
        <is>
          <t>LINK-GIS + LoopNet</t>
        </is>
      </c>
      <c r="AI202" s="99" t="n">
        <v>39.08324</v>
      </c>
      <c r="AJ202" s="99" t="n">
        <v>-84.51365</v>
      </c>
      <c r="AK202" s="94" t="n">
        <v>0.24</v>
      </c>
      <c r="AL202" s="94" t="n">
        <v>0.6</v>
      </c>
      <c r="AM202" s="94" t="n">
        <v>1.26</v>
      </c>
      <c r="AN202" s="94" t="n">
        <v>0.15</v>
      </c>
      <c r="AO202" s="92" t="inlineStr">
        <is>
          <t>Core &lt;=0.35mi</t>
        </is>
      </c>
      <c r="AP202" s="92" t="inlineStr">
        <is>
          <t>Office/institutional</t>
        </is>
      </c>
      <c r="AQ202" s="92" t="inlineStr">
        <is>
          <t>Ample &gt;=15k</t>
        </is>
      </c>
      <c r="AR202" s="100" t="n"/>
      <c r="AS202" s="96">
        <f>ROUND(INDEX('Scoring Method'!$B$63:$B$70,MATCH(AE202,'Scoring Method'!$A$63:$A$70,0))*0.625+INDEX('Scoring Method'!$B$105:$B$113,MATCH(AP202,'Scoring Method'!$A$105:$A$113,0))+INDEX('Scoring Method'!$B$74:$B$78,MATCH(AQ202,'Scoring Method'!$A$74:$A$78,0))*0.6667+INDEX('Scoring Method'!$B$96:$B$101,MATCH(AO202,'Scoring Method'!$A$96:$A$101,0))+INDEX('Scoring Method'!$B$343:$B$347,MATCH(X202,'Scoring Method'!$A$343:$A$347,0))*0.3333+INDEX('Scoring Method'!$B$25:$B$27,MATCH(P202,'Scoring Method'!$A$25:$A$27,0))*0.3333,1)</f>
        <v/>
      </c>
      <c r="AT202" s="96">
        <f>AS202*U202/100</f>
        <v/>
      </c>
      <c r="AU202" s="92" t="inlineStr">
        <is>
          <t>MainStrasse</t>
        </is>
      </c>
      <c r="AV202" s="92" t="n">
        <v>75</v>
      </c>
      <c r="AW202" s="92" t="inlineStr">
        <is>
          <t>Sourced</t>
        </is>
      </c>
      <c r="AX202" s="92" t="inlineStr">
        <is>
          <t>Safe 70-79</t>
        </is>
      </c>
      <c r="AY202" s="96">
        <f>ROUND(INDEX('Scoring Method'!$B$132:$B$140,MATCH(AE202,'Scoring Method'!$A$132:$A$140,0))+INDEX('Scoring Method'!$B$144:$B$152,MATCH(AP202,'Scoring Method'!$A$144:$A$152,0))+INDEX('Scoring Method'!$B$156:$B$160,MATCH(AQ202,'Scoring Method'!$A$156:$A$160,0))+INDEX('Scoring Method'!$B$164:$B$169,MATCH(AO202,'Scoring Method'!$A$164:$A$169,0))+INDEX('Scoring Method'!$B$173:$B$178,MATCH(AX202,'Scoring Method'!$A$173:$A$178,0))+INDEX('Scoring Method'!$B$349:$B$353,MATCH(X202,'Scoring Method'!$A$349:$A$353,0))+INDEX('Scoring Method'!$B$188:$B$190,MATCH(P202,'Scoring Method'!$A$188:$A$190,0)),1)</f>
        <v/>
      </c>
      <c r="AZ202" s="96">
        <f>AY202*U202/100</f>
        <v/>
      </c>
      <c r="BA202" s="92" t="inlineStr">
        <is>
          <t>No chain signal</t>
        </is>
      </c>
      <c r="BB202" s="94" t="n">
        <v>1</v>
      </c>
      <c r="BC202" s="92" t="inlineStr">
        <is>
          <t>Right-sized 0.35-0.75 AC</t>
        </is>
      </c>
      <c r="BD202" s="94" t="n">
        <v>1</v>
      </c>
      <c r="BE202" s="96">
        <f>ROUND(INDEX('Scoring Method'!$B$268:$B$276,MATCH(AE202,'Scoring Method'!$A$268:$A$276,0))+INDEX('Scoring Method'!$B$280:$B$288,MATCH(AP202,'Scoring Method'!$A$280:$A$288,0))+INDEX('Scoring Method'!$B$292:$B$296,MATCH(AQ202,'Scoring Method'!$A$292:$A$296,0))+INDEX('Scoring Method'!$B$300:$B$305,MATCH(AO202,'Scoring Method'!$A$300:$A$305,0))+INDEX('Scoring Method'!$B$309:$B$314,MATCH(AX202,'Scoring Method'!$A$309:$A$314,0))+INDEX('Scoring Method'!$B$337:$B$341,MATCH(X202,'Scoring Method'!$A$337:$A$341,0))+INDEX('Scoring Method'!$B$324:$B$326,MATCH(P202,'Scoring Method'!$A$324:$A$326,0)),1)</f>
        <v/>
      </c>
      <c r="BF202" s="96">
        <f>ROUND(INDEX('Scoring Method'!$B$268:$B$276,MATCH(AE202,'Scoring Method'!$A$268:$A$276,0))*BB202*BD202+INDEX('Scoring Method'!$B$280:$B$288,MATCH(AP202,'Scoring Method'!$A$280:$A$288,0))*BM202*BB202*BD202+INDEX('Scoring Method'!$B$292:$B$296,MATCH(AQ202,'Scoring Method'!$A$292:$A$296,0))*BD202+INDEX('Scoring Method'!$B$300:$B$305,MATCH(AO202,'Scoring Method'!$A$300:$A$305,0))*BM202*BB202+INDEX('Scoring Method'!$B$309:$B$314,MATCH(AX202,'Scoring Method'!$A$309:$A$314,0))+INDEX('Scoring Method'!$B$337:$B$341,MATCH(X202,'Scoring Method'!$A$337:$A$341,0))+INDEX('Scoring Method'!$B$324:$B$326,MATCH(P202,'Scoring Method'!$A$324:$A$326,0)),1)</f>
        <v/>
      </c>
      <c r="BG202" s="92" t="n"/>
      <c r="BH202" s="61" t="inlineStr">
        <is>
          <t>DTC (HP)</t>
        </is>
      </c>
      <c r="BI202" s="61" t="inlineStr">
        <is>
          <t>Downtown Core</t>
        </is>
      </c>
      <c r="BJ202" s="61" t="inlineStr">
        <is>
          <t>HP</t>
        </is>
      </c>
      <c r="BK202" s="61" t="inlineStr"/>
      <c r="BL202" s="61" t="inlineStr">
        <is>
          <t>Bar permitted</t>
        </is>
      </c>
      <c r="BM202" s="61">
        <f>INDEX('Scoring Method'!$B$358:$B$363,MATCH(BL202,'Scoring Method'!$A$358:$A$363,0))</f>
        <v/>
      </c>
    </row>
    <row r="203" ht="15" customHeight="1" s="62">
      <c r="A203" s="92" t="n">
        <v>202</v>
      </c>
      <c r="B203" s="92" t="inlineStr">
        <is>
          <t>054-14-11-002.00</t>
        </is>
      </c>
      <c r="C203" s="92" t="inlineStr">
        <is>
          <t>122 E 4TH ST</t>
        </is>
      </c>
      <c r="D203" s="92" t="inlineStr">
        <is>
          <t>RP PROP OZ LLC</t>
        </is>
      </c>
      <c r="E203" s="92" t="inlineStr">
        <is>
          <t>419 GREENUP ST</t>
        </is>
      </c>
      <c r="F203" s="92" t="inlineStr">
        <is>
          <t>COVINGTON</t>
        </is>
      </c>
      <c r="G203" s="92" t="inlineStr">
        <is>
          <t>KY</t>
        </is>
      </c>
      <c r="H203" s="92" t="inlineStr">
        <is>
          <t>PAVED LOT</t>
        </is>
      </c>
      <c r="I203" s="93" t="n">
        <v>10286</v>
      </c>
      <c r="J203" s="94">
        <f>I203/43560</f>
        <v/>
      </c>
      <c r="K203" s="93" t="n">
        <v>420.1</v>
      </c>
      <c r="L203" s="95">
        <f>I203/(K203^2)</f>
        <v/>
      </c>
      <c r="M203" s="92" t="inlineStr">
        <is>
          <t>Marginal 10-14k/45-60k</t>
        </is>
      </c>
      <c r="N203" s="92" t="inlineStr">
        <is>
          <t>D</t>
        </is>
      </c>
      <c r="O203" s="92" t="inlineStr">
        <is>
          <t>Compact &gt;=.055</t>
        </is>
      </c>
      <c r="P203" s="92" t="inlineStr">
        <is>
          <t>Low</t>
        </is>
      </c>
      <c r="Q203" s="92" t="inlineStr">
        <is>
          <t>Local absentee</t>
        </is>
      </c>
      <c r="R203" s="92" t="inlineStr">
        <is>
          <t>Operating entity</t>
        </is>
      </c>
      <c r="S203" s="92" t="n">
        <v>3</v>
      </c>
      <c r="T203" s="96">
        <f>INDEX('Scoring Method'!$B$6:$B$9,MATCH(M203,'Scoring Method'!$A$6:$A$9,0))+INDEX('Scoring Method'!$B$12:$B$16,MATCH(N203,'Scoring Method'!$A$12:$A$16,0))+INDEX('Scoring Method'!$B$19:$B$22,MATCH(O203,'Scoring Method'!$A$19:$A$22,0))+INDEX('Scoring Method'!$B$25:$B$27,MATCH(P203,'Scoring Method'!$A$25:$A$27,0))</f>
        <v/>
      </c>
      <c r="U203" s="96">
        <f>(INDEX('Scoring Method'!$B$30:$B$33,MATCH(Q203,'Scoring Method'!$A$30:$A$33,0))+INDEX('Scoring Method'!$B$36:$B$42,MATCH(R203,'Scoring Method'!$A$36:$A$42,0))+INDEX('Scoring Method'!$B$45:$B$47,MATCH(IF(S203=1,"1",IF(S203=2,"2","3+")),'Scoring Method'!$A$45:$A$47,0)))/90*100</f>
        <v/>
      </c>
      <c r="V203" s="96">
        <f>T203*U203/100</f>
        <v/>
      </c>
      <c r="W203" s="93" t="n"/>
      <c r="X203" s="92" t="inlineStr">
        <is>
          <t>X (minimal hazard)</t>
        </is>
      </c>
      <c r="Y203" s="93" t="n">
        <v>9975</v>
      </c>
      <c r="Z203" s="97" t="n"/>
      <c r="AA203" s="98" t="n"/>
      <c r="AB203" s="92" t="n"/>
      <c r="AC203" s="92" t="n">
        <v>0.25</v>
      </c>
      <c r="AD203" s="92" t="inlineStr">
        <is>
          <t>ok</t>
        </is>
      </c>
      <c r="AE203" s="92" t="inlineStr">
        <is>
          <t>No building</t>
        </is>
      </c>
      <c r="AF203" s="96">
        <f>INDEX('Scoring Method'!$B$63:$B$71,MATCH(AE203,'Scoring Method'!$A$63:$A$71,0))+INDEX('Scoring Method'!$B$75:$B$79,MATCH("Good 8-15k",'Scoring Method'!$A$75:$A$79,0))+INDEX('Scoring Method'!$B$343:$B$347,MATCH(X203,'Scoring Method'!$A$343:$A$347,0))+INDEX('Scoring Method'!$B$25:$B$27,MATCH(P203,'Scoring Method'!$A$25:$A$27,0))</f>
        <v/>
      </c>
      <c r="AG203" s="96">
        <f>AF203*U203/100</f>
        <v/>
      </c>
      <c r="AH203" s="92" t="inlineStr">
        <is>
          <t>LINK-GIS + LoopNet</t>
        </is>
      </c>
      <c r="AI203" s="99" t="n">
        <v>39.08764</v>
      </c>
      <c r="AJ203" s="99" t="n">
        <v>-84.50826000000001</v>
      </c>
      <c r="AK203" s="94" t="n">
        <v>0.5600000000000001</v>
      </c>
      <c r="AL203" s="94" t="n">
        <v>0.22</v>
      </c>
      <c r="AM203" s="94" t="n">
        <v>0.98</v>
      </c>
      <c r="AN203" s="94" t="n">
        <v>0.22</v>
      </c>
      <c r="AO203" s="92" t="inlineStr">
        <is>
          <t>Core &lt;=0.35mi</t>
        </is>
      </c>
      <c r="AP203" s="92" t="inlineStr">
        <is>
          <t>Lot / minimal bldg</t>
        </is>
      </c>
      <c r="AQ203" s="92" t="inlineStr">
        <is>
          <t>Good 8-15k</t>
        </is>
      </c>
      <c r="AR203" s="100" t="n"/>
      <c r="AS203" s="96">
        <f>ROUND(INDEX('Scoring Method'!$B$63:$B$70,MATCH(AE203,'Scoring Method'!$A$63:$A$70,0))*0.625+INDEX('Scoring Method'!$B$105:$B$113,MATCH(AP203,'Scoring Method'!$A$105:$A$113,0))+INDEX('Scoring Method'!$B$74:$B$78,MATCH(AQ203,'Scoring Method'!$A$74:$A$78,0))*0.6667+INDEX('Scoring Method'!$B$96:$B$101,MATCH(AO203,'Scoring Method'!$A$96:$A$101,0))+INDEX('Scoring Method'!$B$343:$B$347,MATCH(X203,'Scoring Method'!$A$343:$A$347,0))*0.3333+INDEX('Scoring Method'!$B$25:$B$27,MATCH(P203,'Scoring Method'!$A$25:$A$27,0))*0.3333,1)</f>
        <v/>
      </c>
      <c r="AT203" s="96">
        <f>AS203*U203/100</f>
        <v/>
      </c>
      <c r="AU203" s="92" t="inlineStr">
        <is>
          <t>Central Business District</t>
        </is>
      </c>
      <c r="AV203" s="92" t="n">
        <v>48</v>
      </c>
      <c r="AW203" s="101" t="inlineStr">
        <is>
          <t>ESTIMATED</t>
        </is>
      </c>
      <c r="AX203" s="92" t="inlineStr">
        <is>
          <t>Mixed 45-59</t>
        </is>
      </c>
      <c r="AY203" s="96">
        <f>ROUND(INDEX('Scoring Method'!$B$132:$B$140,MATCH(AE203,'Scoring Method'!$A$132:$A$140,0))+INDEX('Scoring Method'!$B$144:$B$152,MATCH(AP203,'Scoring Method'!$A$144:$A$152,0))+INDEX('Scoring Method'!$B$156:$B$160,MATCH(AQ203,'Scoring Method'!$A$156:$A$160,0))+INDEX('Scoring Method'!$B$164:$B$169,MATCH(AO203,'Scoring Method'!$A$164:$A$169,0))+INDEX('Scoring Method'!$B$173:$B$178,MATCH(AX203,'Scoring Method'!$A$173:$A$178,0))+INDEX('Scoring Method'!$B$349:$B$353,MATCH(X203,'Scoring Method'!$A$349:$A$353,0))+INDEX('Scoring Method'!$B$188:$B$190,MATCH(P203,'Scoring Method'!$A$188:$A$190,0)),1)</f>
        <v/>
      </c>
      <c r="AZ203" s="96">
        <f>AY203*U203/100</f>
        <v/>
      </c>
      <c r="BA203" s="92" t="inlineStr">
        <is>
          <t>No chain signal</t>
        </is>
      </c>
      <c r="BB203" s="94" t="n">
        <v>1</v>
      </c>
      <c r="BC203" s="103" t="inlineStr">
        <is>
          <t>Extra small 0.15-0.25 AC</t>
        </is>
      </c>
      <c r="BD203" s="94" t="n">
        <v>0.8</v>
      </c>
      <c r="BE203" s="96">
        <f>ROUND(INDEX('Scoring Method'!$B$268:$B$276,MATCH(AE203,'Scoring Method'!$A$268:$A$276,0))+INDEX('Scoring Method'!$B$280:$B$288,MATCH(AP203,'Scoring Method'!$A$280:$A$288,0))+INDEX('Scoring Method'!$B$292:$B$296,MATCH(AQ203,'Scoring Method'!$A$292:$A$296,0))+INDEX('Scoring Method'!$B$300:$B$305,MATCH(AO203,'Scoring Method'!$A$300:$A$305,0))+INDEX('Scoring Method'!$B$309:$B$314,MATCH(AX203,'Scoring Method'!$A$309:$A$314,0))+INDEX('Scoring Method'!$B$337:$B$341,MATCH(X203,'Scoring Method'!$A$337:$A$341,0))+INDEX('Scoring Method'!$B$324:$B$326,MATCH(P203,'Scoring Method'!$A$324:$A$326,0)),1)</f>
        <v/>
      </c>
      <c r="BF203" s="96">
        <f>ROUND(INDEX('Scoring Method'!$B$268:$B$276,MATCH(AE203,'Scoring Method'!$A$268:$A$276,0))*BB203*BD203+INDEX('Scoring Method'!$B$280:$B$288,MATCH(AP203,'Scoring Method'!$A$280:$A$288,0))*BM203*BB203*BD203+INDEX('Scoring Method'!$B$292:$B$296,MATCH(AQ203,'Scoring Method'!$A$292:$A$296,0))*BD203+INDEX('Scoring Method'!$B$300:$B$305,MATCH(AO203,'Scoring Method'!$A$300:$A$305,0))*BM203*BB203+INDEX('Scoring Method'!$B$309:$B$314,MATCH(AX203,'Scoring Method'!$A$309:$A$314,0))+INDEX('Scoring Method'!$B$337:$B$341,MATCH(X203,'Scoring Method'!$A$337:$A$341,0))+INDEX('Scoring Method'!$B$324:$B$326,MATCH(P203,'Scoring Method'!$A$324:$A$326,0)),1)</f>
        <v/>
      </c>
      <c r="BG203" s="92" t="n"/>
      <c r="BH203" s="61" t="inlineStr">
        <is>
          <t>DTC (HP)</t>
        </is>
      </c>
      <c r="BI203" s="61" t="inlineStr">
        <is>
          <t>Downtown Core</t>
        </is>
      </c>
      <c r="BJ203" s="61" t="inlineStr">
        <is>
          <t>HP</t>
        </is>
      </c>
      <c r="BK203" s="61" t="inlineStr"/>
      <c r="BL203" s="61" t="inlineStr">
        <is>
          <t>Bar permitted</t>
        </is>
      </c>
      <c r="BM203" s="61">
        <f>INDEX('Scoring Method'!$B$358:$B$363,MATCH(BL203,'Scoring Method'!$A$358:$A$363,0))</f>
        <v/>
      </c>
    </row>
    <row r="204" ht="15" customHeight="1" s="62">
      <c r="A204" s="92" t="n">
        <v>203</v>
      </c>
      <c r="B204" s="92" t="inlineStr">
        <is>
          <t>054-21-01-002.02</t>
        </is>
      </c>
      <c r="C204" s="92" t="inlineStr">
        <is>
          <t>311 W 4TH ST</t>
        </is>
      </c>
      <c r="D204" s="92" t="inlineStr">
        <is>
          <t>REGIONS BANK TRUSTEE</t>
        </is>
      </c>
      <c r="E204" s="92" t="inlineStr">
        <is>
          <t>PO BOX 13519</t>
        </is>
      </c>
      <c r="F204" s="92" t="inlineStr">
        <is>
          <t>ARLINGTON</t>
        </is>
      </c>
      <c r="G204" s="92" t="inlineStr">
        <is>
          <t>TX</t>
        </is>
      </c>
      <c r="H204" s="92" t="inlineStr">
        <is>
          <t>PAVED LOT</t>
        </is>
      </c>
      <c r="I204" s="93" t="n">
        <v>11400</v>
      </c>
      <c r="J204" s="94">
        <f>I204/43560</f>
        <v/>
      </c>
      <c r="K204" s="93" t="n">
        <v>500</v>
      </c>
      <c r="L204" s="95">
        <f>I204/(K204^2)</f>
        <v/>
      </c>
      <c r="M204" s="92" t="inlineStr">
        <is>
          <t>Marginal 10-14k/45-60k</t>
        </is>
      </c>
      <c r="N204" s="92" t="inlineStr">
        <is>
          <t>D</t>
        </is>
      </c>
      <c r="O204" s="92" t="inlineStr">
        <is>
          <t>Regular .045-.055</t>
        </is>
      </c>
      <c r="P204" s="92" t="inlineStr">
        <is>
          <t>Low</t>
        </is>
      </c>
      <c r="Q204" s="92" t="inlineStr">
        <is>
          <t>Out-of-state</t>
        </is>
      </c>
      <c r="R204" s="92" t="inlineStr">
        <is>
          <t>National corporate</t>
        </is>
      </c>
      <c r="S204" s="92" t="n">
        <v>2</v>
      </c>
      <c r="T204" s="96">
        <f>INDEX('Scoring Method'!$B$6:$B$9,MATCH(M204,'Scoring Method'!$A$6:$A$9,0))+INDEX('Scoring Method'!$B$12:$B$16,MATCH(N204,'Scoring Method'!$A$12:$A$16,0))+INDEX('Scoring Method'!$B$19:$B$22,MATCH(O204,'Scoring Method'!$A$19:$A$22,0))+INDEX('Scoring Method'!$B$25:$B$27,MATCH(P204,'Scoring Method'!$A$25:$A$27,0))</f>
        <v/>
      </c>
      <c r="U204" s="96">
        <f>(INDEX('Scoring Method'!$B$30:$B$33,MATCH(Q204,'Scoring Method'!$A$30:$A$33,0))+INDEX('Scoring Method'!$B$36:$B$42,MATCH(R204,'Scoring Method'!$A$36:$A$42,0))+INDEX('Scoring Method'!$B$45:$B$47,MATCH(IF(S204=1,"1",IF(S204=2,"2","3+")),'Scoring Method'!$A$45:$A$47,0)))/90*100</f>
        <v/>
      </c>
      <c r="V204" s="96">
        <f>T204*U204/100</f>
        <v/>
      </c>
      <c r="W204" s="93" t="n">
        <v>1125</v>
      </c>
      <c r="X204" s="92" t="inlineStr">
        <is>
          <t>X (minimal hazard)</t>
        </is>
      </c>
      <c r="Y204" s="93" t="n">
        <v>9750</v>
      </c>
      <c r="Z204" s="97" t="n"/>
      <c r="AA204" s="98">
        <f>MAX(0,(Y204-5000)/300)</f>
        <v/>
      </c>
      <c r="AB204" s="92" t="n"/>
      <c r="AC204" s="92" t="n"/>
      <c r="AD204" s="92" t="n"/>
      <c r="AE204" s="92" t="inlineStr">
        <is>
          <t>Too small &lt;1.2k</t>
        </is>
      </c>
      <c r="AF204" s="96">
        <f>INDEX('Scoring Method'!$B$63:$B$71,MATCH(AE204,'Scoring Method'!$A$63:$A$71,0))+INDEX('Scoring Method'!$B$75:$B$79,MATCH("Good 8-15k",'Scoring Method'!$A$75:$A$79,0))+INDEX('Scoring Method'!$B$343:$B$347,MATCH(X204,'Scoring Method'!$A$343:$A$347,0))+INDEX('Scoring Method'!$B$25:$B$27,MATCH(P204,'Scoring Method'!$A$25:$A$27,0))</f>
        <v/>
      </c>
      <c r="AG204" s="96">
        <f>AF204*U204/100</f>
        <v/>
      </c>
      <c r="AH204" s="92" t="inlineStr">
        <is>
          <t>LINK-GIS only</t>
        </is>
      </c>
      <c r="AI204" s="99" t="n">
        <v>39.08626</v>
      </c>
      <c r="AJ204" s="99" t="n">
        <v>-84.51671</v>
      </c>
      <c r="AK204" s="94" t="n">
        <v>0.14</v>
      </c>
      <c r="AL204" s="94" t="n">
        <v>0.55</v>
      </c>
      <c r="AM204" s="94" t="n">
        <v>1.08</v>
      </c>
      <c r="AN204" s="94" t="n">
        <v>0.14</v>
      </c>
      <c r="AO204" s="92" t="inlineStr">
        <is>
          <t>Core &lt;=0.35mi</t>
        </is>
      </c>
      <c r="AP204" s="92" t="inlineStr">
        <is>
          <t>Lot / minimal bldg</t>
        </is>
      </c>
      <c r="AQ204" s="92" t="inlineStr">
        <is>
          <t>Good 8-15k</t>
        </is>
      </c>
      <c r="AR204" s="100" t="n"/>
      <c r="AS204" s="96">
        <f>ROUND(INDEX('Scoring Method'!$B$63:$B$70,MATCH(AE204,'Scoring Method'!$A$63:$A$70,0))*0.625+INDEX('Scoring Method'!$B$105:$B$113,MATCH(AP204,'Scoring Method'!$A$105:$A$113,0))+INDEX('Scoring Method'!$B$74:$B$78,MATCH(AQ204,'Scoring Method'!$A$74:$A$78,0))*0.6667+INDEX('Scoring Method'!$B$96:$B$101,MATCH(AO204,'Scoring Method'!$A$96:$A$101,0))+INDEX('Scoring Method'!$B$343:$B$347,MATCH(X204,'Scoring Method'!$A$343:$A$347,0))*0.3333+INDEX('Scoring Method'!$B$25:$B$27,MATCH(P204,'Scoring Method'!$A$25:$A$27,0))*0.3333,1)</f>
        <v/>
      </c>
      <c r="AT204" s="96">
        <f>AS204*U204/100</f>
        <v/>
      </c>
      <c r="AU204" s="92" t="inlineStr">
        <is>
          <t>Botany Hills / Riverfront West</t>
        </is>
      </c>
      <c r="AV204" s="92" t="n">
        <v>45</v>
      </c>
      <c r="AW204" s="101" t="inlineStr">
        <is>
          <t>ESTIMATED</t>
        </is>
      </c>
      <c r="AX204" s="92" t="inlineStr">
        <is>
          <t>Mixed 45-59</t>
        </is>
      </c>
      <c r="AY204" s="96">
        <f>ROUND(INDEX('Scoring Method'!$B$132:$B$140,MATCH(AE204,'Scoring Method'!$A$132:$A$140,0))+INDEX('Scoring Method'!$B$144:$B$152,MATCH(AP204,'Scoring Method'!$A$144:$A$152,0))+INDEX('Scoring Method'!$B$156:$B$160,MATCH(AQ204,'Scoring Method'!$A$156:$A$160,0))+INDEX('Scoring Method'!$B$164:$B$169,MATCH(AO204,'Scoring Method'!$A$164:$A$169,0))+INDEX('Scoring Method'!$B$173:$B$178,MATCH(AX204,'Scoring Method'!$A$173:$A$178,0))+INDEX('Scoring Method'!$B$349:$B$353,MATCH(X204,'Scoring Method'!$A$349:$A$353,0))+INDEX('Scoring Method'!$B$188:$B$190,MATCH(P204,'Scoring Method'!$A$188:$A$190,0)),1)</f>
        <v/>
      </c>
      <c r="AZ204" s="96">
        <f>AY204*U204/100</f>
        <v/>
      </c>
      <c r="BA204" s="103" t="inlineStr">
        <is>
          <t>Brand-owned / net lease</t>
        </is>
      </c>
      <c r="BB204" s="94" t="n">
        <v>0.3</v>
      </c>
      <c r="BC204" s="102" t="inlineStr">
        <is>
          <t>Small 0.25-0.35 AC</t>
        </is>
      </c>
      <c r="BD204" s="94" t="n">
        <v>0.9</v>
      </c>
      <c r="BE204" s="96">
        <f>ROUND(INDEX('Scoring Method'!$B$268:$B$276,MATCH(AE204,'Scoring Method'!$A$268:$A$276,0))+INDEX('Scoring Method'!$B$280:$B$288,MATCH(AP204,'Scoring Method'!$A$280:$A$288,0))+INDEX('Scoring Method'!$B$292:$B$296,MATCH(AQ204,'Scoring Method'!$A$292:$A$296,0))+INDEX('Scoring Method'!$B$300:$B$305,MATCH(AO204,'Scoring Method'!$A$300:$A$305,0))+INDEX('Scoring Method'!$B$309:$B$314,MATCH(AX204,'Scoring Method'!$A$309:$A$314,0))+INDEX('Scoring Method'!$B$337:$B$341,MATCH(X204,'Scoring Method'!$A$337:$A$341,0))+INDEX('Scoring Method'!$B$324:$B$326,MATCH(P204,'Scoring Method'!$A$324:$A$326,0)),1)</f>
        <v/>
      </c>
      <c r="BF204" s="96">
        <f>ROUND(INDEX('Scoring Method'!$B$268:$B$276,MATCH(AE204,'Scoring Method'!$A$268:$A$276,0))*BB204*BD204+INDEX('Scoring Method'!$B$280:$B$288,MATCH(AP204,'Scoring Method'!$A$280:$A$288,0))*BM204*BB204*BD204+INDEX('Scoring Method'!$B$292:$B$296,MATCH(AQ204,'Scoring Method'!$A$292:$A$296,0))*BD204+INDEX('Scoring Method'!$B$300:$B$305,MATCH(AO204,'Scoring Method'!$A$300:$A$305,0))*BM204*BB204+INDEX('Scoring Method'!$B$309:$B$314,MATCH(AX204,'Scoring Method'!$A$309:$A$314,0))+INDEX('Scoring Method'!$B$337:$B$341,MATCH(X204,'Scoring Method'!$A$337:$A$341,0))+INDEX('Scoring Method'!$B$324:$B$326,MATCH(P204,'Scoring Method'!$A$324:$A$326,0)),1)</f>
        <v/>
      </c>
      <c r="BG204" s="92" t="inlineStr">
        <is>
          <t>Fits (~$1,031/mo)</t>
        </is>
      </c>
      <c r="BH204" s="61" t="inlineStr">
        <is>
          <t>TUR</t>
        </is>
      </c>
      <c r="BI204" s="61" t="inlineStr">
        <is>
          <t>Traditional Urban Residential</t>
        </is>
      </c>
      <c r="BJ204" s="61" t="inlineStr"/>
      <c r="BK204" s="61" t="inlineStr"/>
      <c r="BL204" s="61" t="inlineStr">
        <is>
          <t>Bar prohibited, alt-path</t>
        </is>
      </c>
      <c r="BM204" s="61">
        <f>INDEX('Scoring Method'!$B$358:$B$363,MATCH(BL204,'Scoring Method'!$A$358:$A$363,0))</f>
        <v/>
      </c>
    </row>
    <row r="205" ht="15" customHeight="1" s="62">
      <c r="A205" s="92" t="n">
        <v>204</v>
      </c>
      <c r="B205" s="92" t="inlineStr">
        <is>
          <t>054-22-08-008.00</t>
        </is>
      </c>
      <c r="C205" s="92" t="inlineStr">
        <is>
          <t>1019 LEE ST</t>
        </is>
      </c>
      <c r="D205" s="92" t="inlineStr">
        <is>
          <t>RICHARD G KEMPER INC</t>
        </is>
      </c>
      <c r="E205" s="92" t="inlineStr">
        <is>
          <t>411 PIKE ST</t>
        </is>
      </c>
      <c r="F205" s="92" t="inlineStr">
        <is>
          <t>COVINGTON</t>
        </is>
      </c>
      <c r="G205" s="92" t="inlineStr">
        <is>
          <t>KY</t>
        </is>
      </c>
      <c r="H205" s="92" t="inlineStr">
        <is>
          <t>PAVED LOT</t>
        </is>
      </c>
      <c r="I205" s="93" t="n">
        <v>12096</v>
      </c>
      <c r="J205" s="94">
        <f>I205/43560</f>
        <v/>
      </c>
      <c r="K205" s="93" t="n">
        <v>444</v>
      </c>
      <c r="L205" s="95">
        <f>I205/(K205^2)</f>
        <v/>
      </c>
      <c r="M205" s="92" t="inlineStr">
        <is>
          <t>Marginal 10-14k/45-60k</t>
        </is>
      </c>
      <c r="N205" s="92" t="inlineStr">
        <is>
          <t>D</t>
        </is>
      </c>
      <c r="O205" s="92" t="inlineStr">
        <is>
          <t>Compact &gt;=.055</t>
        </is>
      </c>
      <c r="P205" s="92" t="inlineStr">
        <is>
          <t>Low</t>
        </is>
      </c>
      <c r="Q205" s="92" t="inlineStr">
        <is>
          <t>Local absentee</t>
        </is>
      </c>
      <c r="R205" s="92" t="inlineStr">
        <is>
          <t>Operating entity</t>
        </is>
      </c>
      <c r="S205" s="92" t="n">
        <v>4</v>
      </c>
      <c r="T205" s="96">
        <f>INDEX('Scoring Method'!$B$6:$B$9,MATCH(M205,'Scoring Method'!$A$6:$A$9,0))+INDEX('Scoring Method'!$B$12:$B$16,MATCH(N205,'Scoring Method'!$A$12:$A$16,0))+INDEX('Scoring Method'!$B$19:$B$22,MATCH(O205,'Scoring Method'!$A$19:$A$22,0))+INDEX('Scoring Method'!$B$25:$B$27,MATCH(P205,'Scoring Method'!$A$25:$A$27,0))</f>
        <v/>
      </c>
      <c r="U205" s="96">
        <f>(INDEX('Scoring Method'!$B$30:$B$33,MATCH(Q205,'Scoring Method'!$A$30:$A$33,0))+INDEX('Scoring Method'!$B$36:$B$42,MATCH(R205,'Scoring Method'!$A$36:$A$42,0))+INDEX('Scoring Method'!$B$45:$B$47,MATCH(IF(S205=1,"1",IF(S205=2,"2","3+")),'Scoring Method'!$A$45:$A$47,0)))/90*100</f>
        <v/>
      </c>
      <c r="V205" s="96">
        <f>T205*U205/100</f>
        <v/>
      </c>
      <c r="W205" s="93" t="n"/>
      <c r="X205" s="92" t="inlineStr">
        <is>
          <t>X (minimal hazard)</t>
        </is>
      </c>
      <c r="Y205" s="93" t="n">
        <v>11800</v>
      </c>
      <c r="Z205" s="97" t="n"/>
      <c r="AA205" s="98" t="n"/>
      <c r="AB205" s="92" t="n"/>
      <c r="AC205" s="92" t="n">
        <v>0.28</v>
      </c>
      <c r="AD205" s="92" t="inlineStr">
        <is>
          <t>ok</t>
        </is>
      </c>
      <c r="AE205" s="92" t="inlineStr">
        <is>
          <t>No building</t>
        </is>
      </c>
      <c r="AF205" s="96">
        <f>INDEX('Scoring Method'!$B$63:$B$71,MATCH(AE205,'Scoring Method'!$A$63:$A$71,0))+INDEX('Scoring Method'!$B$75:$B$79,MATCH("Good 8-15k",'Scoring Method'!$A$75:$A$79,0))+INDEX('Scoring Method'!$B$343:$B$347,MATCH(X205,'Scoring Method'!$A$343:$A$347,0))+INDEX('Scoring Method'!$B$25:$B$27,MATCH(P205,'Scoring Method'!$A$25:$A$27,0))</f>
        <v/>
      </c>
      <c r="AG205" s="96">
        <f>AF205*U205/100</f>
        <v/>
      </c>
      <c r="AH205" s="92" t="inlineStr">
        <is>
          <t>LINK-GIS + LoopNet</t>
        </is>
      </c>
      <c r="AI205" s="99" t="n">
        <v>39.07852</v>
      </c>
      <c r="AJ205" s="99" t="n">
        <v>-84.51608</v>
      </c>
      <c r="AK205" s="94" t="n">
        <v>0.42</v>
      </c>
      <c r="AL205" s="94" t="n">
        <v>0.95</v>
      </c>
      <c r="AM205" s="94" t="n">
        <v>1.6</v>
      </c>
      <c r="AN205" s="94" t="n">
        <v>0.42</v>
      </c>
      <c r="AO205" s="92" t="inlineStr">
        <is>
          <t>Near 0.35-0.75mi</t>
        </is>
      </c>
      <c r="AP205" s="92" t="inlineStr">
        <is>
          <t>Lot / minimal bldg</t>
        </is>
      </c>
      <c r="AQ205" s="92" t="inlineStr">
        <is>
          <t>Good 8-15k</t>
        </is>
      </c>
      <c r="AR205" s="100" t="n"/>
      <c r="AS205" s="96">
        <f>ROUND(INDEX('Scoring Method'!$B$63:$B$70,MATCH(AE205,'Scoring Method'!$A$63:$A$70,0))*0.625+INDEX('Scoring Method'!$B$105:$B$113,MATCH(AP205,'Scoring Method'!$A$105:$A$113,0))+INDEX('Scoring Method'!$B$74:$B$78,MATCH(AQ205,'Scoring Method'!$A$74:$A$78,0))*0.6667+INDEX('Scoring Method'!$B$96:$B$101,MATCH(AO205,'Scoring Method'!$A$96:$A$101,0))+INDEX('Scoring Method'!$B$343:$B$347,MATCH(X205,'Scoring Method'!$A$343:$A$347,0))*0.3333+INDEX('Scoring Method'!$B$25:$B$27,MATCH(P205,'Scoring Method'!$A$25:$A$27,0))*0.3333,1)</f>
        <v/>
      </c>
      <c r="AT205" s="96">
        <f>AS205*U205/100</f>
        <v/>
      </c>
      <c r="AU205" s="92" t="inlineStr">
        <is>
          <t>Old Seminary Square</t>
        </is>
      </c>
      <c r="AV205" s="92" t="n">
        <v>35</v>
      </c>
      <c r="AW205" s="101" t="inlineStr">
        <is>
          <t>ESTIMATED</t>
        </is>
      </c>
      <c r="AX205" s="92" t="inlineStr">
        <is>
          <t>Elevated 35-44</t>
        </is>
      </c>
      <c r="AY205" s="96">
        <f>ROUND(INDEX('Scoring Method'!$B$132:$B$140,MATCH(AE205,'Scoring Method'!$A$132:$A$140,0))+INDEX('Scoring Method'!$B$144:$B$152,MATCH(AP205,'Scoring Method'!$A$144:$A$152,0))+INDEX('Scoring Method'!$B$156:$B$160,MATCH(AQ205,'Scoring Method'!$A$156:$A$160,0))+INDEX('Scoring Method'!$B$164:$B$169,MATCH(AO205,'Scoring Method'!$A$164:$A$169,0))+INDEX('Scoring Method'!$B$173:$B$178,MATCH(AX205,'Scoring Method'!$A$173:$A$178,0))+INDEX('Scoring Method'!$B$349:$B$353,MATCH(X205,'Scoring Method'!$A$349:$A$353,0))+INDEX('Scoring Method'!$B$188:$B$190,MATCH(P205,'Scoring Method'!$A$188:$A$190,0)),1)</f>
        <v/>
      </c>
      <c r="AZ205" s="96">
        <f>AY205*U205/100</f>
        <v/>
      </c>
      <c r="BA205" s="92" t="inlineStr">
        <is>
          <t>No chain signal</t>
        </is>
      </c>
      <c r="BB205" s="94" t="n">
        <v>1</v>
      </c>
      <c r="BC205" s="102" t="inlineStr">
        <is>
          <t>Small 0.25-0.35 AC</t>
        </is>
      </c>
      <c r="BD205" s="94" t="n">
        <v>0.9</v>
      </c>
      <c r="BE205" s="96">
        <f>ROUND(INDEX('Scoring Method'!$B$268:$B$276,MATCH(AE205,'Scoring Method'!$A$268:$A$276,0))+INDEX('Scoring Method'!$B$280:$B$288,MATCH(AP205,'Scoring Method'!$A$280:$A$288,0))+INDEX('Scoring Method'!$B$292:$B$296,MATCH(AQ205,'Scoring Method'!$A$292:$A$296,0))+INDEX('Scoring Method'!$B$300:$B$305,MATCH(AO205,'Scoring Method'!$A$300:$A$305,0))+INDEX('Scoring Method'!$B$309:$B$314,MATCH(AX205,'Scoring Method'!$A$309:$A$314,0))+INDEX('Scoring Method'!$B$337:$B$341,MATCH(X205,'Scoring Method'!$A$337:$A$341,0))+INDEX('Scoring Method'!$B$324:$B$326,MATCH(P205,'Scoring Method'!$A$324:$A$326,0)),1)</f>
        <v/>
      </c>
      <c r="BF205" s="96">
        <f>ROUND(INDEX('Scoring Method'!$B$268:$B$276,MATCH(AE205,'Scoring Method'!$A$268:$A$276,0))*BB205*BD205+INDEX('Scoring Method'!$B$280:$B$288,MATCH(AP205,'Scoring Method'!$A$280:$A$288,0))*BM205*BB205*BD205+INDEX('Scoring Method'!$B$292:$B$296,MATCH(AQ205,'Scoring Method'!$A$292:$A$296,0))*BD205+INDEX('Scoring Method'!$B$300:$B$305,MATCH(AO205,'Scoring Method'!$A$300:$A$305,0))*BM205*BB205+INDEX('Scoring Method'!$B$309:$B$314,MATCH(AX205,'Scoring Method'!$A$309:$A$314,0))+INDEX('Scoring Method'!$B$337:$B$341,MATCH(X205,'Scoring Method'!$A$337:$A$341,0))+INDEX('Scoring Method'!$B$324:$B$326,MATCH(P205,'Scoring Method'!$A$324:$A$326,0)),1)</f>
        <v/>
      </c>
      <c r="BG205" s="92" t="n"/>
      <c r="BH205" s="61" t="inlineStr">
        <is>
          <t>TUMU (HP)</t>
        </is>
      </c>
      <c r="BI205" s="61" t="inlineStr">
        <is>
          <t>Traditional Urban Mixed Use</t>
        </is>
      </c>
      <c r="BJ205" s="61" t="inlineStr">
        <is>
          <t>HP</t>
        </is>
      </c>
      <c r="BK205" s="61" t="inlineStr"/>
      <c r="BL205" s="61" t="inlineStr">
        <is>
          <t>Bar permitted</t>
        </is>
      </c>
      <c r="BM205" s="61">
        <f>INDEX('Scoring Method'!$B$358:$B$363,MATCH(BL205,'Scoring Method'!$A$358:$A$363,0))</f>
        <v/>
      </c>
    </row>
    <row r="206" ht="15" customHeight="1" s="62">
      <c r="A206" s="92" t="n">
        <v>205</v>
      </c>
      <c r="B206" s="92" t="inlineStr">
        <is>
          <t>054-22-08-018.00</t>
        </is>
      </c>
      <c r="C206" s="92" t="inlineStr">
        <is>
          <t>W 11TH ST</t>
        </is>
      </c>
      <c r="D206" s="92" t="inlineStr">
        <is>
          <t>RICHARD G KEMPER INC</t>
        </is>
      </c>
      <c r="E206" s="92" t="inlineStr">
        <is>
          <t>411 PIKE ST</t>
        </is>
      </c>
      <c r="F206" s="92" t="inlineStr">
        <is>
          <t>COVINGTON</t>
        </is>
      </c>
      <c r="G206" s="92" t="inlineStr">
        <is>
          <t>KY</t>
        </is>
      </c>
      <c r="H206" s="92" t="inlineStr">
        <is>
          <t>PAVED LOT</t>
        </is>
      </c>
      <c r="I206" s="93" t="n">
        <v>15134</v>
      </c>
      <c r="J206" s="94">
        <f>I206/43560</f>
        <v/>
      </c>
      <c r="K206" s="93" t="n">
        <v>621.4</v>
      </c>
      <c r="L206" s="95">
        <f>I206/(K206^2)</f>
        <v/>
      </c>
      <c r="M206" s="92" t="inlineStr">
        <is>
          <t>Near 14-18k/32-45k</t>
        </is>
      </c>
      <c r="N206" s="92" t="inlineStr">
        <is>
          <t>D</t>
        </is>
      </c>
      <c r="O206" s="92" t="inlineStr">
        <is>
          <t>Elongated .035-.045</t>
        </is>
      </c>
      <c r="P206" s="92" t="inlineStr">
        <is>
          <t>Low</t>
        </is>
      </c>
      <c r="Q206" s="92" t="inlineStr">
        <is>
          <t>Local absentee</t>
        </is>
      </c>
      <c r="R206" s="92" t="inlineStr">
        <is>
          <t>Operating entity</t>
        </is>
      </c>
      <c r="S206" s="92" t="n">
        <v>4</v>
      </c>
      <c r="T206" s="96">
        <f>INDEX('Scoring Method'!$B$6:$B$9,MATCH(M206,'Scoring Method'!$A$6:$A$9,0))+INDEX('Scoring Method'!$B$12:$B$16,MATCH(N206,'Scoring Method'!$A$12:$A$16,0))+INDEX('Scoring Method'!$B$19:$B$22,MATCH(O206,'Scoring Method'!$A$19:$A$22,0))+INDEX('Scoring Method'!$B$25:$B$27,MATCH(P206,'Scoring Method'!$A$25:$A$27,0))</f>
        <v/>
      </c>
      <c r="U206" s="96">
        <f>(INDEX('Scoring Method'!$B$30:$B$33,MATCH(Q206,'Scoring Method'!$A$30:$A$33,0))+INDEX('Scoring Method'!$B$36:$B$42,MATCH(R206,'Scoring Method'!$A$36:$A$42,0))+INDEX('Scoring Method'!$B$45:$B$47,MATCH(IF(S206=1,"1",IF(S206=2,"2","3+")),'Scoring Method'!$A$45:$A$47,0)))/90*100</f>
        <v/>
      </c>
      <c r="V206" s="96">
        <f>T206*U206/100</f>
        <v/>
      </c>
      <c r="W206" s="93" t="n"/>
      <c r="X206" s="92" t="inlineStr">
        <is>
          <t>X (minimal hazard)</t>
        </is>
      </c>
      <c r="Y206" s="93" t="n">
        <v>12725</v>
      </c>
      <c r="Z206" s="97" t="n"/>
      <c r="AA206" s="98" t="n"/>
      <c r="AB206" s="92" t="n"/>
      <c r="AC206" s="92" t="n">
        <v>0.49</v>
      </c>
      <c r="AD206" s="102" t="inlineStr">
        <is>
          <t>CHECK</t>
        </is>
      </c>
      <c r="AE206" s="92" t="inlineStr">
        <is>
          <t>No building</t>
        </is>
      </c>
      <c r="AF206" s="96">
        <f>INDEX('Scoring Method'!$B$63:$B$71,MATCH(AE206,'Scoring Method'!$A$63:$A$71,0))+INDEX('Scoring Method'!$B$75:$B$79,MATCH("Good 8-15k",'Scoring Method'!$A$75:$A$79,0))+INDEX('Scoring Method'!$B$343:$B$347,MATCH(X206,'Scoring Method'!$A$343:$A$347,0))+INDEX('Scoring Method'!$B$25:$B$27,MATCH(P206,'Scoring Method'!$A$25:$A$27,0))</f>
        <v/>
      </c>
      <c r="AG206" s="96">
        <f>AF206*U206/100</f>
        <v/>
      </c>
      <c r="AH206" s="92" t="inlineStr">
        <is>
          <t>LINK-GIS + LoopNet</t>
        </is>
      </c>
      <c r="AI206" s="99" t="n">
        <v>39.078</v>
      </c>
      <c r="AJ206" s="99" t="n">
        <v>-84.51658999999999</v>
      </c>
      <c r="AK206" s="94" t="n">
        <v>0.45</v>
      </c>
      <c r="AL206" s="94" t="n">
        <v>0.99</v>
      </c>
      <c r="AM206" s="94" t="n">
        <v>1.64</v>
      </c>
      <c r="AN206" s="94" t="n">
        <v>0.45</v>
      </c>
      <c r="AO206" s="92" t="inlineStr">
        <is>
          <t>Near 0.35-0.75mi</t>
        </is>
      </c>
      <c r="AP206" s="92" t="inlineStr">
        <is>
          <t>Lot / minimal bldg</t>
        </is>
      </c>
      <c r="AQ206" s="92" t="inlineStr">
        <is>
          <t>Good 8-15k</t>
        </is>
      </c>
      <c r="AR206" s="100" t="n"/>
      <c r="AS206" s="96">
        <f>ROUND(INDEX('Scoring Method'!$B$63:$B$70,MATCH(AE206,'Scoring Method'!$A$63:$A$70,0))*0.625+INDEX('Scoring Method'!$B$105:$B$113,MATCH(AP206,'Scoring Method'!$A$105:$A$113,0))+INDEX('Scoring Method'!$B$74:$B$78,MATCH(AQ206,'Scoring Method'!$A$74:$A$78,0))*0.6667+INDEX('Scoring Method'!$B$96:$B$101,MATCH(AO206,'Scoring Method'!$A$96:$A$101,0))+INDEX('Scoring Method'!$B$343:$B$347,MATCH(X206,'Scoring Method'!$A$343:$A$347,0))*0.3333+INDEX('Scoring Method'!$B$25:$B$27,MATCH(P206,'Scoring Method'!$A$25:$A$27,0))*0.3333,1)</f>
        <v/>
      </c>
      <c r="AT206" s="96">
        <f>AS206*U206/100</f>
        <v/>
      </c>
      <c r="AU206" s="92" t="inlineStr">
        <is>
          <t>Old Seminary Square</t>
        </is>
      </c>
      <c r="AV206" s="92" t="n">
        <v>35</v>
      </c>
      <c r="AW206" s="101" t="inlineStr">
        <is>
          <t>ESTIMATED</t>
        </is>
      </c>
      <c r="AX206" s="92" t="inlineStr">
        <is>
          <t>Elevated 35-44</t>
        </is>
      </c>
      <c r="AY206" s="96">
        <f>ROUND(INDEX('Scoring Method'!$B$132:$B$140,MATCH(AE206,'Scoring Method'!$A$132:$A$140,0))+INDEX('Scoring Method'!$B$144:$B$152,MATCH(AP206,'Scoring Method'!$A$144:$A$152,0))+INDEX('Scoring Method'!$B$156:$B$160,MATCH(AQ206,'Scoring Method'!$A$156:$A$160,0))+INDEX('Scoring Method'!$B$164:$B$169,MATCH(AO206,'Scoring Method'!$A$164:$A$169,0))+INDEX('Scoring Method'!$B$173:$B$178,MATCH(AX206,'Scoring Method'!$A$173:$A$178,0))+INDEX('Scoring Method'!$B$349:$B$353,MATCH(X206,'Scoring Method'!$A$349:$A$353,0))+INDEX('Scoring Method'!$B$188:$B$190,MATCH(P206,'Scoring Method'!$A$188:$A$190,0)),1)</f>
        <v/>
      </c>
      <c r="AZ206" s="96">
        <f>AY206*U206/100</f>
        <v/>
      </c>
      <c r="BA206" s="92" t="inlineStr">
        <is>
          <t>No chain signal</t>
        </is>
      </c>
      <c r="BB206" s="94" t="n">
        <v>1</v>
      </c>
      <c r="BC206" s="102" t="inlineStr">
        <is>
          <t>Small 0.25-0.35 AC</t>
        </is>
      </c>
      <c r="BD206" s="94" t="n">
        <v>0.9</v>
      </c>
      <c r="BE206" s="96">
        <f>ROUND(INDEX('Scoring Method'!$B$268:$B$276,MATCH(AE206,'Scoring Method'!$A$268:$A$276,0))+INDEX('Scoring Method'!$B$280:$B$288,MATCH(AP206,'Scoring Method'!$A$280:$A$288,0))+INDEX('Scoring Method'!$B$292:$B$296,MATCH(AQ206,'Scoring Method'!$A$292:$A$296,0))+INDEX('Scoring Method'!$B$300:$B$305,MATCH(AO206,'Scoring Method'!$A$300:$A$305,0))+INDEX('Scoring Method'!$B$309:$B$314,MATCH(AX206,'Scoring Method'!$A$309:$A$314,0))+INDEX('Scoring Method'!$B$337:$B$341,MATCH(X206,'Scoring Method'!$A$337:$A$341,0))+INDEX('Scoring Method'!$B$324:$B$326,MATCH(P206,'Scoring Method'!$A$324:$A$326,0)),1)</f>
        <v/>
      </c>
      <c r="BF206" s="96">
        <f>ROUND(INDEX('Scoring Method'!$B$268:$B$276,MATCH(AE206,'Scoring Method'!$A$268:$A$276,0))*BB206*BD206+INDEX('Scoring Method'!$B$280:$B$288,MATCH(AP206,'Scoring Method'!$A$280:$A$288,0))*BM206*BB206*BD206+INDEX('Scoring Method'!$B$292:$B$296,MATCH(AQ206,'Scoring Method'!$A$292:$A$296,0))*BD206+INDEX('Scoring Method'!$B$300:$B$305,MATCH(AO206,'Scoring Method'!$A$300:$A$305,0))*BM206*BB206+INDEX('Scoring Method'!$B$309:$B$314,MATCH(AX206,'Scoring Method'!$A$309:$A$314,0))+INDEX('Scoring Method'!$B$337:$B$341,MATCH(X206,'Scoring Method'!$A$337:$A$341,0))+INDEX('Scoring Method'!$B$324:$B$326,MATCH(P206,'Scoring Method'!$A$324:$A$326,0)),1)</f>
        <v/>
      </c>
      <c r="BG206" s="92" t="n"/>
      <c r="BH206" s="61" t="inlineStr">
        <is>
          <t>TUMU (HP)</t>
        </is>
      </c>
      <c r="BI206" s="61" t="inlineStr">
        <is>
          <t>Traditional Urban Mixed Use</t>
        </is>
      </c>
      <c r="BJ206" s="61" t="inlineStr">
        <is>
          <t>HP</t>
        </is>
      </c>
      <c r="BK206" s="61" t="inlineStr"/>
      <c r="BL206" s="61" t="inlineStr">
        <is>
          <t>Bar permitted</t>
        </is>
      </c>
      <c r="BM206" s="61">
        <f>INDEX('Scoring Method'!$B$358:$B$363,MATCH(BL206,'Scoring Method'!$A$358:$A$363,0))</f>
        <v/>
      </c>
    </row>
    <row r="207" ht="15" customHeight="1" s="62">
      <c r="A207" s="92" t="n">
        <v>206</v>
      </c>
      <c r="B207" s="92" t="inlineStr">
        <is>
          <t>054-22-35-001.00</t>
        </is>
      </c>
      <c r="C207" s="92" t="inlineStr">
        <is>
          <t>810 RUSSELL ST</t>
        </is>
      </c>
      <c r="D207" s="92" t="inlineStr">
        <is>
          <t>812 RUSSELL LLC</t>
        </is>
      </c>
      <c r="E207" s="92" t="inlineStr">
        <is>
          <t>2335 BUTTERMILK XING</t>
        </is>
      </c>
      <c r="F207" s="92" t="inlineStr">
        <is>
          <t>CRESCENT SPRINGS</t>
        </is>
      </c>
      <c r="G207" s="92" t="inlineStr">
        <is>
          <t>KY</t>
        </is>
      </c>
      <c r="H207" s="92" t="inlineStr">
        <is>
          <t>WAREHOUSE 20001 - 100000 SQ FT</t>
        </is>
      </c>
      <c r="I207" s="93" t="n">
        <v>79083</v>
      </c>
      <c r="J207" s="94">
        <f>I207/43560</f>
        <v/>
      </c>
      <c r="K207" s="93" t="n">
        <v>1139</v>
      </c>
      <c r="L207" s="95">
        <f>I207/(K207^2)</f>
        <v/>
      </c>
      <c r="M207" s="92" t="inlineStr">
        <is>
          <t>Poor &lt;10k/&gt;60k</t>
        </is>
      </c>
      <c r="N207" s="92" t="inlineStr">
        <is>
          <t>B</t>
        </is>
      </c>
      <c r="O207" s="92" t="inlineStr">
        <is>
          <t>Compact &gt;=.055</t>
        </is>
      </c>
      <c r="P207" s="92" t="inlineStr">
        <is>
          <t>Low</t>
        </is>
      </c>
      <c r="Q207" s="92" t="inlineStr">
        <is>
          <t>Out-of-city KY</t>
        </is>
      </c>
      <c r="R207" s="92" t="inlineStr">
        <is>
          <t>Operating entity</t>
        </is>
      </c>
      <c r="S207" s="92" t="n">
        <v>1</v>
      </c>
      <c r="T207" s="96">
        <f>INDEX('Scoring Method'!$B$6:$B$9,MATCH(M207,'Scoring Method'!$A$6:$A$9,0))+INDEX('Scoring Method'!$B$12:$B$16,MATCH(N207,'Scoring Method'!$A$12:$A$16,0))+INDEX('Scoring Method'!$B$19:$B$22,MATCH(O207,'Scoring Method'!$A$19:$A$22,0))+INDEX('Scoring Method'!$B$25:$B$27,MATCH(P207,'Scoring Method'!$A$25:$A$27,0))</f>
        <v/>
      </c>
      <c r="U207" s="96">
        <f>(INDEX('Scoring Method'!$B$30:$B$33,MATCH(Q207,'Scoring Method'!$A$30:$A$33,0))+INDEX('Scoring Method'!$B$36:$B$42,MATCH(R207,'Scoring Method'!$A$36:$A$42,0))+INDEX('Scoring Method'!$B$45:$B$47,MATCH(IF(S207=1,"1",IF(S207=2,"2","3+")),'Scoring Method'!$A$45:$A$47,0)))/90*100</f>
        <v/>
      </c>
      <c r="V207" s="96">
        <f>T207*U207/100</f>
        <v/>
      </c>
      <c r="W207" s="93" t="n">
        <v>67004</v>
      </c>
      <c r="X207" s="92" t="inlineStr">
        <is>
          <t>X (minimal hazard)</t>
        </is>
      </c>
      <c r="Y207" s="93" t="n">
        <v>17850</v>
      </c>
      <c r="Z207" s="97">
        <f>W207/I207</f>
        <v/>
      </c>
      <c r="AA207" s="98">
        <f>MAX(0,(Y207-5000)/300)</f>
        <v/>
      </c>
      <c r="AB207" s="92" t="n"/>
      <c r="AC207" s="92" t="n">
        <v>2.25</v>
      </c>
      <c r="AD207" s="92" t="inlineStr">
        <is>
          <t>ok</t>
        </is>
      </c>
      <c r="AE207" s="92" t="inlineStr">
        <is>
          <t>Far oversize &gt;12k</t>
        </is>
      </c>
      <c r="AF207" s="96">
        <f>INDEX('Scoring Method'!$B$63:$B$71,MATCH(AE207,'Scoring Method'!$A$63:$A$71,0))+INDEX('Scoring Method'!$B$75:$B$79,MATCH("Ample &gt;=15k",'Scoring Method'!$A$75:$A$79,0))+INDEX('Scoring Method'!$B$343:$B$347,MATCH(X207,'Scoring Method'!$A$343:$A$347,0))+INDEX('Scoring Method'!$B$25:$B$27,MATCH(P207,'Scoring Method'!$A$25:$A$27,0))</f>
        <v/>
      </c>
      <c r="AG207" s="96">
        <f>AF207*U207/100</f>
        <v/>
      </c>
      <c r="AH207" s="92" t="inlineStr">
        <is>
          <t>LINK-GIS + LoopNet</t>
        </is>
      </c>
      <c r="AI207" s="99" t="n">
        <v>39.08138</v>
      </c>
      <c r="AJ207" s="99" t="n">
        <v>-84.51214</v>
      </c>
      <c r="AK207" s="94" t="n">
        <v>0.37</v>
      </c>
      <c r="AL207" s="94" t="n">
        <v>0.68</v>
      </c>
      <c r="AM207" s="94" t="n">
        <v>1.39</v>
      </c>
      <c r="AN207" s="94" t="n">
        <v>0.19</v>
      </c>
      <c r="AO207" s="92" t="inlineStr">
        <is>
          <t>Core &lt;=0.35mi</t>
        </is>
      </c>
      <c r="AP207" s="92" t="inlineStr">
        <is>
          <t>Open span</t>
        </is>
      </c>
      <c r="AQ207" s="92" t="inlineStr">
        <is>
          <t>Ample &gt;=15k</t>
        </is>
      </c>
      <c r="AR207" s="100" t="n"/>
      <c r="AS207" s="96">
        <f>ROUND(INDEX('Scoring Method'!$B$63:$B$70,MATCH(AE207,'Scoring Method'!$A$63:$A$70,0))*0.625+INDEX('Scoring Method'!$B$105:$B$113,MATCH(AP207,'Scoring Method'!$A$105:$A$113,0))+INDEX('Scoring Method'!$B$74:$B$78,MATCH(AQ207,'Scoring Method'!$A$74:$A$78,0))*0.6667+INDEX('Scoring Method'!$B$96:$B$101,MATCH(AO207,'Scoring Method'!$A$96:$A$101,0))+INDEX('Scoring Method'!$B$343:$B$347,MATCH(X207,'Scoring Method'!$A$343:$A$347,0))*0.3333+INDEX('Scoring Method'!$B$25:$B$27,MATCH(P207,'Scoring Method'!$A$25:$A$27,0))*0.3333,1)</f>
        <v/>
      </c>
      <c r="AT207" s="96">
        <f>AS207*U207/100</f>
        <v/>
      </c>
      <c r="AU207" s="92" t="inlineStr">
        <is>
          <t>Central Business District</t>
        </is>
      </c>
      <c r="AV207" s="92" t="n">
        <v>48</v>
      </c>
      <c r="AW207" s="101" t="inlineStr">
        <is>
          <t>ESTIMATED</t>
        </is>
      </c>
      <c r="AX207" s="92" t="inlineStr">
        <is>
          <t>Mixed 45-59</t>
        </is>
      </c>
      <c r="AY207" s="96">
        <f>ROUND(INDEX('Scoring Method'!$B$132:$B$140,MATCH(AE207,'Scoring Method'!$A$132:$A$140,0))+INDEX('Scoring Method'!$B$144:$B$152,MATCH(AP207,'Scoring Method'!$A$144:$A$152,0))+INDEX('Scoring Method'!$B$156:$B$160,MATCH(AQ207,'Scoring Method'!$A$156:$A$160,0))+INDEX('Scoring Method'!$B$164:$B$169,MATCH(AO207,'Scoring Method'!$A$164:$A$169,0))+INDEX('Scoring Method'!$B$173:$B$178,MATCH(AX207,'Scoring Method'!$A$173:$A$178,0))+INDEX('Scoring Method'!$B$349:$B$353,MATCH(X207,'Scoring Method'!$A$349:$A$353,0))+INDEX('Scoring Method'!$B$188:$B$190,MATCH(P207,'Scoring Method'!$A$188:$A$190,0)),1)</f>
        <v/>
      </c>
      <c r="AZ207" s="96">
        <f>AY207*U207/100</f>
        <v/>
      </c>
      <c r="BA207" s="92" t="inlineStr">
        <is>
          <t>No chain signal</t>
        </is>
      </c>
      <c r="BB207" s="94" t="n">
        <v>1</v>
      </c>
      <c r="BC207" s="103" t="inlineStr">
        <is>
          <t>Oversized &gt;1.25 AC</t>
        </is>
      </c>
      <c r="BD207" s="94" t="n">
        <v>0.65</v>
      </c>
      <c r="BE207" s="96">
        <f>ROUND(INDEX('Scoring Method'!$B$268:$B$276,MATCH(AE207,'Scoring Method'!$A$268:$A$276,0))+INDEX('Scoring Method'!$B$280:$B$288,MATCH(AP207,'Scoring Method'!$A$280:$A$288,0))+INDEX('Scoring Method'!$B$292:$B$296,MATCH(AQ207,'Scoring Method'!$A$292:$A$296,0))+INDEX('Scoring Method'!$B$300:$B$305,MATCH(AO207,'Scoring Method'!$A$300:$A$305,0))+INDEX('Scoring Method'!$B$309:$B$314,MATCH(AX207,'Scoring Method'!$A$309:$A$314,0))+INDEX('Scoring Method'!$B$337:$B$341,MATCH(X207,'Scoring Method'!$A$337:$A$341,0))+INDEX('Scoring Method'!$B$324:$B$326,MATCH(P207,'Scoring Method'!$A$324:$A$326,0)),1)</f>
        <v/>
      </c>
      <c r="BF207" s="96">
        <f>ROUND(INDEX('Scoring Method'!$B$268:$B$276,MATCH(AE207,'Scoring Method'!$A$268:$A$276,0))*BB207*BD207+INDEX('Scoring Method'!$B$280:$B$288,MATCH(AP207,'Scoring Method'!$A$280:$A$288,0))*BM207*BB207*BD207+INDEX('Scoring Method'!$B$292:$B$296,MATCH(AQ207,'Scoring Method'!$A$292:$A$296,0))*BD207+INDEX('Scoring Method'!$B$300:$B$305,MATCH(AO207,'Scoring Method'!$A$300:$A$305,0))*BM207*BB207+INDEX('Scoring Method'!$B$309:$B$314,MATCH(AX207,'Scoring Method'!$A$309:$A$314,0))+INDEX('Scoring Method'!$B$337:$B$341,MATCH(X207,'Scoring Method'!$A$337:$A$341,0))+INDEX('Scoring Method'!$B$324:$B$326,MATCH(P207,'Scoring Method'!$A$324:$A$326,0)),1)</f>
        <v/>
      </c>
      <c r="BG207" s="102" t="inlineStr">
        <is>
          <t>Over (~$61,420/mo)</t>
        </is>
      </c>
      <c r="BH207" s="61" t="inlineStr">
        <is>
          <t>LI</t>
        </is>
      </c>
      <c r="BI207" s="61" t="inlineStr">
        <is>
          <t>Limited Industrial</t>
        </is>
      </c>
      <c r="BJ207" s="61" t="inlineStr"/>
      <c r="BK207" s="61" t="inlineStr"/>
      <c r="BL207" s="61" t="inlineStr">
        <is>
          <t>Bar prohibited, alt-path</t>
        </is>
      </c>
      <c r="BM207" s="61">
        <f>INDEX('Scoring Method'!$B$358:$B$363,MATCH(BL207,'Scoring Method'!$A$358:$A$363,0))</f>
        <v/>
      </c>
    </row>
    <row r="208" ht="15" customHeight="1" s="62">
      <c r="A208" s="92" t="n">
        <v>207</v>
      </c>
      <c r="B208" s="92" t="inlineStr">
        <is>
          <t>054-23-06-001.01</t>
        </is>
      </c>
      <c r="C208" s="92" t="inlineStr">
        <is>
          <t>602 MADISON AVE</t>
        </is>
      </c>
      <c r="D208" s="92" t="inlineStr">
        <is>
          <t>608 MADISON LLC</t>
        </is>
      </c>
      <c r="E208" s="92" t="inlineStr">
        <is>
          <t>25 W ROBBINS ST</t>
        </is>
      </c>
      <c r="F208" s="92" t="inlineStr">
        <is>
          <t>COVINGTON</t>
        </is>
      </c>
      <c r="G208" s="92" t="inlineStr">
        <is>
          <t>KY</t>
        </is>
      </c>
      <c r="H208" s="92" t="inlineStr">
        <is>
          <t>OFFICE TOWER - 3 STORY &amp; UP</t>
        </is>
      </c>
      <c r="I208" s="93" t="n">
        <v>17234</v>
      </c>
      <c r="J208" s="94">
        <f>I208/43560</f>
        <v/>
      </c>
      <c r="K208" s="93" t="n">
        <v>544</v>
      </c>
      <c r="L208" s="95">
        <f>I208/(K208^2)</f>
        <v/>
      </c>
      <c r="M208" s="92" t="inlineStr">
        <is>
          <t>Near 14-18k/32-45k</t>
        </is>
      </c>
      <c r="N208" s="92" t="inlineStr">
        <is>
          <t>E</t>
        </is>
      </c>
      <c r="O208" s="92" t="inlineStr">
        <is>
          <t>Compact &gt;=.055</t>
        </is>
      </c>
      <c r="P208" s="92" t="inlineStr">
        <is>
          <t>Low</t>
        </is>
      </c>
      <c r="Q208" s="92" t="inlineStr">
        <is>
          <t>Local absentee</t>
        </is>
      </c>
      <c r="R208" s="92" t="inlineStr">
        <is>
          <t>Operating entity</t>
        </is>
      </c>
      <c r="S208" s="92" t="n">
        <v>2</v>
      </c>
      <c r="T208" s="96">
        <f>INDEX('Scoring Method'!$B$6:$B$9,MATCH(M208,'Scoring Method'!$A$6:$A$9,0))+INDEX('Scoring Method'!$B$12:$B$16,MATCH(N208,'Scoring Method'!$A$12:$A$16,0))+INDEX('Scoring Method'!$B$19:$B$22,MATCH(O208,'Scoring Method'!$A$19:$A$22,0))+INDEX('Scoring Method'!$B$25:$B$27,MATCH(P208,'Scoring Method'!$A$25:$A$27,0))</f>
        <v/>
      </c>
      <c r="U208" s="96">
        <f>(INDEX('Scoring Method'!$B$30:$B$33,MATCH(Q208,'Scoring Method'!$A$30:$A$33,0))+INDEX('Scoring Method'!$B$36:$B$42,MATCH(R208,'Scoring Method'!$A$36:$A$42,0))+INDEX('Scoring Method'!$B$45:$B$47,MATCH(IF(S208=1,"1",IF(S208=2,"2","3+")),'Scoring Method'!$A$45:$A$47,0)))/90*100</f>
        <v/>
      </c>
      <c r="V208" s="96">
        <f>T208*U208/100</f>
        <v/>
      </c>
      <c r="W208" s="93" t="n">
        <v>11859</v>
      </c>
      <c r="X208" s="92" t="inlineStr">
        <is>
          <t>X (minimal hazard)</t>
        </is>
      </c>
      <c r="Y208" s="93" t="n">
        <v>4125</v>
      </c>
      <c r="Z208" s="97" t="n"/>
      <c r="AA208" s="98">
        <f>MAX(0,(Y208-5000)/300)</f>
        <v/>
      </c>
      <c r="AB208" s="92" t="n"/>
      <c r="AC208" s="92" t="n"/>
      <c r="AD208" s="92" t="n"/>
      <c r="AE208" s="92" t="inlineStr">
        <is>
          <t>Office tower 3+ storey</t>
        </is>
      </c>
      <c r="AF208" s="96">
        <f>INDEX('Scoring Method'!$B$63:$B$71,MATCH(AE208,'Scoring Method'!$A$63:$A$71,0))+INDEX('Scoring Method'!$B$75:$B$79,MATCH("Tight 2-5k",'Scoring Method'!$A$75:$A$79,0))+INDEX('Scoring Method'!$B$343:$B$347,MATCH(X208,'Scoring Method'!$A$343:$A$347,0))+INDEX('Scoring Method'!$B$25:$B$27,MATCH(P208,'Scoring Method'!$A$25:$A$27,0))</f>
        <v/>
      </c>
      <c r="AG208" s="96">
        <f>AF208*U208/100</f>
        <v/>
      </c>
      <c r="AH208" s="92" t="inlineStr">
        <is>
          <t>LINK-GIS only</t>
        </is>
      </c>
      <c r="AI208" s="99" t="n">
        <v>39.08451</v>
      </c>
      <c r="AJ208" s="99" t="n">
        <v>-84.51002</v>
      </c>
      <c r="AK208" s="94" t="n">
        <v>0.42</v>
      </c>
      <c r="AL208" s="94" t="n">
        <v>0.45</v>
      </c>
      <c r="AM208" s="94" t="n">
        <v>1.18</v>
      </c>
      <c r="AN208" s="94" t="n">
        <v>0.07000000000000001</v>
      </c>
      <c r="AO208" s="92" t="inlineStr">
        <is>
          <t>Core &lt;=0.35mi</t>
        </is>
      </c>
      <c r="AP208" s="92" t="inlineStr">
        <is>
          <t>Office tower 3+ storey</t>
        </is>
      </c>
      <c r="AQ208" s="92" t="inlineStr">
        <is>
          <t>Tight 2-5k</t>
        </is>
      </c>
      <c r="AR208" s="100" t="n"/>
      <c r="AS208" s="96">
        <f>ROUND(INDEX('Scoring Method'!$B$63:$B$70,MATCH(AE208,'Scoring Method'!$A$63:$A$70,0))*0.625+INDEX('Scoring Method'!$B$105:$B$113,MATCH(AP208,'Scoring Method'!$A$105:$A$113,0))+INDEX('Scoring Method'!$B$74:$B$78,MATCH(AQ208,'Scoring Method'!$A$74:$A$78,0))*0.6667+INDEX('Scoring Method'!$B$96:$B$101,MATCH(AO208,'Scoring Method'!$A$96:$A$101,0))+INDEX('Scoring Method'!$B$343:$B$347,MATCH(X208,'Scoring Method'!$A$343:$A$347,0))*0.3333+INDEX('Scoring Method'!$B$25:$B$27,MATCH(P208,'Scoring Method'!$A$25:$A$27,0))*0.3333,1)</f>
        <v/>
      </c>
      <c r="AT208" s="96">
        <f>AS208*U208/100</f>
        <v/>
      </c>
      <c r="AU208" s="92" t="inlineStr">
        <is>
          <t>Central Business District</t>
        </is>
      </c>
      <c r="AV208" s="92" t="n">
        <v>48</v>
      </c>
      <c r="AW208" s="101" t="inlineStr">
        <is>
          <t>ESTIMATED</t>
        </is>
      </c>
      <c r="AX208" s="92" t="inlineStr">
        <is>
          <t>Mixed 45-59</t>
        </is>
      </c>
      <c r="AY208" s="96">
        <f>ROUND(INDEX('Scoring Method'!$B$132:$B$140,MATCH(AE208,'Scoring Method'!$A$132:$A$140,0))+INDEX('Scoring Method'!$B$144:$B$152,MATCH(AP208,'Scoring Method'!$A$144:$A$152,0))+INDEX('Scoring Method'!$B$156:$B$160,MATCH(AQ208,'Scoring Method'!$A$156:$A$160,0))+INDEX('Scoring Method'!$B$164:$B$169,MATCH(AO208,'Scoring Method'!$A$164:$A$169,0))+INDEX('Scoring Method'!$B$173:$B$178,MATCH(AX208,'Scoring Method'!$A$173:$A$178,0))+INDEX('Scoring Method'!$B$349:$B$353,MATCH(X208,'Scoring Method'!$A$349:$A$353,0))+INDEX('Scoring Method'!$B$188:$B$190,MATCH(P208,'Scoring Method'!$A$188:$A$190,0)),1)</f>
        <v/>
      </c>
      <c r="AZ208" s="96">
        <f>AY208*U208/100</f>
        <v/>
      </c>
      <c r="BA208" s="92" t="inlineStr">
        <is>
          <t>No chain signal</t>
        </is>
      </c>
      <c r="BB208" s="94" t="n">
        <v>1</v>
      </c>
      <c r="BC208" s="92" t="inlineStr">
        <is>
          <t>Right-sized 0.35-0.75 AC</t>
        </is>
      </c>
      <c r="BD208" s="94" t="n">
        <v>1</v>
      </c>
      <c r="BE208" s="96">
        <f>ROUND(INDEX('Scoring Method'!$B$268:$B$276,MATCH(AE208,'Scoring Method'!$A$268:$A$276,0))+INDEX('Scoring Method'!$B$280:$B$288,MATCH(AP208,'Scoring Method'!$A$280:$A$288,0))+INDEX('Scoring Method'!$B$292:$B$296,MATCH(AQ208,'Scoring Method'!$A$292:$A$296,0))+INDEX('Scoring Method'!$B$300:$B$305,MATCH(AO208,'Scoring Method'!$A$300:$A$305,0))+INDEX('Scoring Method'!$B$309:$B$314,MATCH(AX208,'Scoring Method'!$A$309:$A$314,0))+INDEX('Scoring Method'!$B$337:$B$341,MATCH(X208,'Scoring Method'!$A$337:$A$341,0))+INDEX('Scoring Method'!$B$324:$B$326,MATCH(P208,'Scoring Method'!$A$324:$A$326,0)),1)</f>
        <v/>
      </c>
      <c r="BF208" s="96">
        <f>ROUND(INDEX('Scoring Method'!$B$268:$B$276,MATCH(AE208,'Scoring Method'!$A$268:$A$276,0))*BB208*BD208+INDEX('Scoring Method'!$B$280:$B$288,MATCH(AP208,'Scoring Method'!$A$280:$A$288,0))*BM208*BB208*BD208+INDEX('Scoring Method'!$B$292:$B$296,MATCH(AQ208,'Scoring Method'!$A$292:$A$296,0))*BD208+INDEX('Scoring Method'!$B$300:$B$305,MATCH(AO208,'Scoring Method'!$A$300:$A$305,0))*BM208*BB208+INDEX('Scoring Method'!$B$309:$B$314,MATCH(AX208,'Scoring Method'!$A$309:$A$314,0))+INDEX('Scoring Method'!$B$337:$B$341,MATCH(X208,'Scoring Method'!$A$337:$A$341,0))+INDEX('Scoring Method'!$B$324:$B$326,MATCH(P208,'Scoring Method'!$A$324:$A$326,0)),1)</f>
        <v/>
      </c>
      <c r="BG208" s="92" t="inlineStr">
        <is>
          <t>Fits (~$10,871/mo)</t>
        </is>
      </c>
      <c r="BH208" s="61" t="inlineStr">
        <is>
          <t>DTC (HP)</t>
        </is>
      </c>
      <c r="BI208" s="61" t="inlineStr">
        <is>
          <t>Downtown Core</t>
        </is>
      </c>
      <c r="BJ208" s="61" t="inlineStr">
        <is>
          <t>HP</t>
        </is>
      </c>
      <c r="BK208" s="61" t="inlineStr"/>
      <c r="BL208" s="61" t="inlineStr">
        <is>
          <t>Bar permitted</t>
        </is>
      </c>
      <c r="BM208" s="61">
        <f>INDEX('Scoring Method'!$B$358:$B$363,MATCH(BL208,'Scoring Method'!$A$358:$A$363,0))</f>
        <v/>
      </c>
    </row>
    <row r="209" ht="15" customHeight="1" s="62">
      <c r="A209" s="92" t="n">
        <v>208</v>
      </c>
      <c r="B209" s="92" t="inlineStr">
        <is>
          <t>054-23-22-001.00</t>
        </is>
      </c>
      <c r="C209" s="92" t="inlineStr">
        <is>
          <t>405 GARRARD ST</t>
        </is>
      </c>
      <c r="D209" s="92" t="inlineStr">
        <is>
          <t>MILBURN GROUP LLC</t>
        </is>
      </c>
      <c r="E209" s="92" t="inlineStr">
        <is>
          <t>3113 CAROL LEE DR</t>
        </is>
      </c>
      <c r="F209" s="92" t="inlineStr">
        <is>
          <t>ERLANGER</t>
        </is>
      </c>
      <c r="G209" s="92" t="inlineStr">
        <is>
          <t>KY</t>
        </is>
      </c>
      <c r="H209" s="92" t="inlineStr">
        <is>
          <t>OFFICE BLDG 1 OR 2 STORY</t>
        </is>
      </c>
      <c r="I209" s="93" t="n">
        <v>15600</v>
      </c>
      <c r="J209" s="94">
        <f>I209/43560</f>
        <v/>
      </c>
      <c r="K209" s="93" t="n">
        <v>512</v>
      </c>
      <c r="L209" s="95">
        <f>I209/(K209^2)</f>
        <v/>
      </c>
      <c r="M209" s="92" t="inlineStr">
        <is>
          <t>Near 14-18k/32-45k</t>
        </is>
      </c>
      <c r="N209" s="92" t="inlineStr">
        <is>
          <t>E</t>
        </is>
      </c>
      <c r="O209" s="92" t="inlineStr">
        <is>
          <t>Compact &gt;=.055</t>
        </is>
      </c>
      <c r="P209" s="92" t="inlineStr">
        <is>
          <t>Low</t>
        </is>
      </c>
      <c r="Q209" s="92" t="inlineStr">
        <is>
          <t>Out-of-city KY</t>
        </is>
      </c>
      <c r="R209" s="92" t="inlineStr">
        <is>
          <t>Operating entity</t>
        </is>
      </c>
      <c r="S209" s="92" t="n">
        <v>1</v>
      </c>
      <c r="T209" s="96">
        <f>INDEX('Scoring Method'!$B$6:$B$9,MATCH(M209,'Scoring Method'!$A$6:$A$9,0))+INDEX('Scoring Method'!$B$12:$B$16,MATCH(N209,'Scoring Method'!$A$12:$A$16,0))+INDEX('Scoring Method'!$B$19:$B$22,MATCH(O209,'Scoring Method'!$A$19:$A$22,0))+INDEX('Scoring Method'!$B$25:$B$27,MATCH(P209,'Scoring Method'!$A$25:$A$27,0))</f>
        <v/>
      </c>
      <c r="U209" s="96">
        <f>(INDEX('Scoring Method'!$B$30:$B$33,MATCH(Q209,'Scoring Method'!$A$30:$A$33,0))+INDEX('Scoring Method'!$B$36:$B$42,MATCH(R209,'Scoring Method'!$A$36:$A$42,0))+INDEX('Scoring Method'!$B$45:$B$47,MATCH(IF(S209=1,"1",IF(S209=2,"2","3+")),'Scoring Method'!$A$45:$A$47,0)))/90*100</f>
        <v/>
      </c>
      <c r="V209" s="96">
        <f>T209*U209/100</f>
        <v/>
      </c>
      <c r="W209" s="93" t="n">
        <v>5698</v>
      </c>
      <c r="X209" s="92" t="inlineStr">
        <is>
          <t>X (minimal hazard)</t>
        </is>
      </c>
      <c r="Y209" s="93" t="n">
        <v>10150</v>
      </c>
      <c r="Z209" s="97">
        <f>W209/I209</f>
        <v/>
      </c>
      <c r="AA209" s="98">
        <f>MAX(0,(Y209-5000)/300)</f>
        <v/>
      </c>
      <c r="AB209" s="92" t="n"/>
      <c r="AC209" s="92" t="n">
        <v>0.36</v>
      </c>
      <c r="AD209" s="92" t="inlineStr">
        <is>
          <t>ok</t>
        </is>
      </c>
      <c r="AE209" s="92" t="inlineStr">
        <is>
          <t>Large 4-6k</t>
        </is>
      </c>
      <c r="AF209" s="96">
        <f>INDEX('Scoring Method'!$B$63:$B$71,MATCH(AE209,'Scoring Method'!$A$63:$A$71,0))+INDEX('Scoring Method'!$B$75:$B$79,MATCH("Good 8-15k",'Scoring Method'!$A$75:$A$79,0))+INDEX('Scoring Method'!$B$343:$B$347,MATCH(X209,'Scoring Method'!$A$343:$A$347,0))+INDEX('Scoring Method'!$B$25:$B$27,MATCH(P209,'Scoring Method'!$A$25:$A$27,0))</f>
        <v/>
      </c>
      <c r="AG209" s="96">
        <f>AF209*U209/100</f>
        <v/>
      </c>
      <c r="AH209" s="92" t="inlineStr">
        <is>
          <t>LINK-GIS + LoopNet</t>
        </is>
      </c>
      <c r="AI209" s="99" t="n">
        <v>39.08754</v>
      </c>
      <c r="AJ209" s="99" t="n">
        <v>-84.50660999999999</v>
      </c>
      <c r="AK209" s="94" t="n">
        <v>0.64</v>
      </c>
      <c r="AL209" s="94" t="n">
        <v>0.25</v>
      </c>
      <c r="AM209" s="94" t="n">
        <v>1.01</v>
      </c>
      <c r="AN209" s="94" t="n">
        <v>0.25</v>
      </c>
      <c r="AO209" s="92" t="inlineStr">
        <is>
          <t>Core &lt;=0.35mi</t>
        </is>
      </c>
      <c r="AP209" s="92" t="inlineStr">
        <is>
          <t>Office/institutional</t>
        </is>
      </c>
      <c r="AQ209" s="92" t="inlineStr">
        <is>
          <t>Good 8-15k</t>
        </is>
      </c>
      <c r="AR209" s="100" t="n"/>
      <c r="AS209" s="96">
        <f>ROUND(INDEX('Scoring Method'!$B$63:$B$70,MATCH(AE209,'Scoring Method'!$A$63:$A$70,0))*0.625+INDEX('Scoring Method'!$B$105:$B$113,MATCH(AP209,'Scoring Method'!$A$105:$A$113,0))+INDEX('Scoring Method'!$B$74:$B$78,MATCH(AQ209,'Scoring Method'!$A$74:$A$78,0))*0.6667+INDEX('Scoring Method'!$B$96:$B$101,MATCH(AO209,'Scoring Method'!$A$96:$A$101,0))+INDEX('Scoring Method'!$B$343:$B$347,MATCH(X209,'Scoring Method'!$A$343:$A$347,0))*0.3333+INDEX('Scoring Method'!$B$25:$B$27,MATCH(P209,'Scoring Method'!$A$25:$A$27,0))*0.3333,1)</f>
        <v/>
      </c>
      <c r="AT209" s="96">
        <f>AS209*U209/100</f>
        <v/>
      </c>
      <c r="AU209" s="92" t="inlineStr">
        <is>
          <t>Central Business District</t>
        </is>
      </c>
      <c r="AV209" s="92" t="n">
        <v>48</v>
      </c>
      <c r="AW209" s="101" t="inlineStr">
        <is>
          <t>ESTIMATED</t>
        </is>
      </c>
      <c r="AX209" s="92" t="inlineStr">
        <is>
          <t>Mixed 45-59</t>
        </is>
      </c>
      <c r="AY209" s="96">
        <f>ROUND(INDEX('Scoring Method'!$B$132:$B$140,MATCH(AE209,'Scoring Method'!$A$132:$A$140,0))+INDEX('Scoring Method'!$B$144:$B$152,MATCH(AP209,'Scoring Method'!$A$144:$A$152,0))+INDEX('Scoring Method'!$B$156:$B$160,MATCH(AQ209,'Scoring Method'!$A$156:$A$160,0))+INDEX('Scoring Method'!$B$164:$B$169,MATCH(AO209,'Scoring Method'!$A$164:$A$169,0))+INDEX('Scoring Method'!$B$173:$B$178,MATCH(AX209,'Scoring Method'!$A$173:$A$178,0))+INDEX('Scoring Method'!$B$349:$B$353,MATCH(X209,'Scoring Method'!$A$349:$A$353,0))+INDEX('Scoring Method'!$B$188:$B$190,MATCH(P209,'Scoring Method'!$A$188:$A$190,0)),1)</f>
        <v/>
      </c>
      <c r="AZ209" s="96">
        <f>AY209*U209/100</f>
        <v/>
      </c>
      <c r="BA209" s="92" t="inlineStr">
        <is>
          <t>No chain signal</t>
        </is>
      </c>
      <c r="BB209" s="94" t="n">
        <v>1</v>
      </c>
      <c r="BC209" s="92" t="inlineStr">
        <is>
          <t>Right-sized 0.35-0.75 AC</t>
        </is>
      </c>
      <c r="BD209" s="94" t="n">
        <v>1</v>
      </c>
      <c r="BE209" s="96">
        <f>ROUND(INDEX('Scoring Method'!$B$268:$B$276,MATCH(AE209,'Scoring Method'!$A$268:$A$276,0))+INDEX('Scoring Method'!$B$280:$B$288,MATCH(AP209,'Scoring Method'!$A$280:$A$288,0))+INDEX('Scoring Method'!$B$292:$B$296,MATCH(AQ209,'Scoring Method'!$A$292:$A$296,0))+INDEX('Scoring Method'!$B$300:$B$305,MATCH(AO209,'Scoring Method'!$A$300:$A$305,0))+INDEX('Scoring Method'!$B$309:$B$314,MATCH(AX209,'Scoring Method'!$A$309:$A$314,0))+INDEX('Scoring Method'!$B$337:$B$341,MATCH(X209,'Scoring Method'!$A$337:$A$341,0))+INDEX('Scoring Method'!$B$324:$B$326,MATCH(P209,'Scoring Method'!$A$324:$A$326,0)),1)</f>
        <v/>
      </c>
      <c r="BF209" s="96">
        <f>ROUND(INDEX('Scoring Method'!$B$268:$B$276,MATCH(AE209,'Scoring Method'!$A$268:$A$276,0))*BB209*BD209+INDEX('Scoring Method'!$B$280:$B$288,MATCH(AP209,'Scoring Method'!$A$280:$A$288,0))*BM209*BB209*BD209+INDEX('Scoring Method'!$B$292:$B$296,MATCH(AQ209,'Scoring Method'!$A$292:$A$296,0))*BD209+INDEX('Scoring Method'!$B$300:$B$305,MATCH(AO209,'Scoring Method'!$A$300:$A$305,0))*BM209*BB209+INDEX('Scoring Method'!$B$309:$B$314,MATCH(AX209,'Scoring Method'!$A$309:$A$314,0))+INDEX('Scoring Method'!$B$337:$B$341,MATCH(X209,'Scoring Method'!$A$337:$A$341,0))+INDEX('Scoring Method'!$B$324:$B$326,MATCH(P209,'Scoring Method'!$A$324:$A$326,0)),1)</f>
        <v/>
      </c>
      <c r="BG209" s="92" t="inlineStr">
        <is>
          <t>Fits (~$5,223/mo)</t>
        </is>
      </c>
      <c r="BH209" s="61" t="inlineStr">
        <is>
          <t>TUR (HP)</t>
        </is>
      </c>
      <c r="BI209" s="61" t="inlineStr">
        <is>
          <t>Traditional Urban Residential</t>
        </is>
      </c>
      <c r="BJ209" s="61" t="inlineStr">
        <is>
          <t>HP</t>
        </is>
      </c>
      <c r="BK209" s="61" t="inlineStr"/>
      <c r="BL209" s="61" t="inlineStr">
        <is>
          <t>Bar prohibited, alt-path</t>
        </is>
      </c>
      <c r="BM209" s="61">
        <f>INDEX('Scoring Method'!$B$358:$B$363,MATCH(BL209,'Scoring Method'!$A$358:$A$363,0))</f>
        <v/>
      </c>
    </row>
    <row r="210" ht="15" customHeight="1" s="62">
      <c r="A210" s="92" t="n">
        <v>209</v>
      </c>
      <c r="B210" s="92" t="inlineStr">
        <is>
          <t>056-32-01-001.00</t>
        </is>
      </c>
      <c r="C210" s="92" t="inlineStr">
        <is>
          <t>3600 DECOURSEY AVE</t>
        </is>
      </c>
      <c r="D210" s="92" t="inlineStr">
        <is>
          <t>HERITAGE BANCORP INC</t>
        </is>
      </c>
      <c r="E210" s="92" t="inlineStr">
        <is>
          <t>1818 FLORENCE PK</t>
        </is>
      </c>
      <c r="F210" s="92" t="inlineStr">
        <is>
          <t>BURLINGTON</t>
        </is>
      </c>
      <c r="G210" s="92" t="inlineStr">
        <is>
          <t>KY</t>
        </is>
      </c>
      <c r="H210" s="92" t="inlineStr">
        <is>
          <t>FULL SERVICE BANK</t>
        </is>
      </c>
      <c r="I210" s="93" t="n">
        <v>15008</v>
      </c>
      <c r="J210" s="94">
        <f>I210/43560</f>
        <v/>
      </c>
      <c r="K210" s="93" t="n">
        <v>500</v>
      </c>
      <c r="L210" s="95">
        <f>I210/(K210^2)</f>
        <v/>
      </c>
      <c r="M210" s="92" t="inlineStr">
        <is>
          <t>Near 14-18k/32-45k</t>
        </is>
      </c>
      <c r="N210" s="92" t="inlineStr">
        <is>
          <t>E</t>
        </is>
      </c>
      <c r="O210" s="92" t="inlineStr">
        <is>
          <t>Compact &gt;=.055</t>
        </is>
      </c>
      <c r="P210" s="92" t="inlineStr">
        <is>
          <t>Low</t>
        </is>
      </c>
      <c r="Q210" s="92" t="inlineStr">
        <is>
          <t>Out-of-city KY</t>
        </is>
      </c>
      <c r="R210" s="92" t="inlineStr">
        <is>
          <t>Operating entity</t>
        </is>
      </c>
      <c r="S210" s="92" t="n">
        <v>1</v>
      </c>
      <c r="T210" s="96">
        <f>INDEX('Scoring Method'!$B$6:$B$9,MATCH(M210,'Scoring Method'!$A$6:$A$9,0))+INDEX('Scoring Method'!$B$12:$B$16,MATCH(N210,'Scoring Method'!$A$12:$A$16,0))+INDEX('Scoring Method'!$B$19:$B$22,MATCH(O210,'Scoring Method'!$A$19:$A$22,0))+INDEX('Scoring Method'!$B$25:$B$27,MATCH(P210,'Scoring Method'!$A$25:$A$27,0))</f>
        <v/>
      </c>
      <c r="U210" s="96">
        <f>(INDEX('Scoring Method'!$B$30:$B$33,MATCH(Q210,'Scoring Method'!$A$30:$A$33,0))+INDEX('Scoring Method'!$B$36:$B$42,MATCH(R210,'Scoring Method'!$A$36:$A$42,0))+INDEX('Scoring Method'!$B$45:$B$47,MATCH(IF(S210=1,"1",IF(S210=2,"2","3+")),'Scoring Method'!$A$45:$A$47,0)))/90*100</f>
        <v/>
      </c>
      <c r="V210" s="96">
        <f>T210*U210/100</f>
        <v/>
      </c>
      <c r="W210" s="93" t="n">
        <v>2658</v>
      </c>
      <c r="X210" s="92" t="inlineStr">
        <is>
          <t>X (minimal hazard)</t>
        </is>
      </c>
      <c r="Y210" s="93" t="n">
        <v>10875</v>
      </c>
      <c r="Z210" s="97" t="n"/>
      <c r="AA210" s="98">
        <f>MAX(0,(Y210-5000)/300)</f>
        <v/>
      </c>
      <c r="AB210" s="92" t="n"/>
      <c r="AC210" s="92" t="n"/>
      <c r="AD210" s="92" t="n"/>
      <c r="AE210" s="92" t="inlineStr">
        <is>
          <t>Above 2.5-4k</t>
        </is>
      </c>
      <c r="AF210" s="96">
        <f>INDEX('Scoring Method'!$B$63:$B$71,MATCH(AE210,'Scoring Method'!$A$63:$A$71,0))+INDEX('Scoring Method'!$B$75:$B$79,MATCH("Good 8-15k",'Scoring Method'!$A$75:$A$79,0))+INDEX('Scoring Method'!$B$343:$B$347,MATCH(X210,'Scoring Method'!$A$343:$A$347,0))+INDEX('Scoring Method'!$B$25:$B$27,MATCH(P210,'Scoring Method'!$A$25:$A$27,0))</f>
        <v/>
      </c>
      <c r="AG210" s="96">
        <f>AF210*U210/100</f>
        <v/>
      </c>
      <c r="AH210" s="92" t="inlineStr">
        <is>
          <t>LINK-GIS only</t>
        </is>
      </c>
      <c r="AI210" s="99" t="n">
        <v>39.04843</v>
      </c>
      <c r="AJ210" s="99" t="n">
        <v>-84.50278</v>
      </c>
      <c r="AK210" s="94" t="n">
        <v>2.61</v>
      </c>
      <c r="AL210" s="94" t="n">
        <v>2.95</v>
      </c>
      <c r="AM210" s="94" t="n">
        <v>3.7</v>
      </c>
      <c r="AN210" s="94" t="n">
        <v>2.5</v>
      </c>
      <c r="AO210" s="92" t="inlineStr">
        <is>
          <t>Distant 2-3mi</t>
        </is>
      </c>
      <c r="AP210" s="92" t="inlineStr">
        <is>
          <t>Office/institutional</t>
        </is>
      </c>
      <c r="AQ210" s="92" t="inlineStr">
        <is>
          <t>Good 8-15k</t>
        </is>
      </c>
      <c r="AR210" s="100" t="n"/>
      <c r="AS210" s="96">
        <f>ROUND(INDEX('Scoring Method'!$B$63:$B$70,MATCH(AE210,'Scoring Method'!$A$63:$A$70,0))*0.625+INDEX('Scoring Method'!$B$105:$B$113,MATCH(AP210,'Scoring Method'!$A$105:$A$113,0))+INDEX('Scoring Method'!$B$74:$B$78,MATCH(AQ210,'Scoring Method'!$A$74:$A$78,0))*0.6667+INDEX('Scoring Method'!$B$96:$B$101,MATCH(AO210,'Scoring Method'!$A$96:$A$101,0))+INDEX('Scoring Method'!$B$343:$B$347,MATCH(X210,'Scoring Method'!$A$343:$A$347,0))*0.3333+INDEX('Scoring Method'!$B$25:$B$27,MATCH(P210,'Scoring Method'!$A$25:$A$27,0))*0.3333,1)</f>
        <v/>
      </c>
      <c r="AT210" s="96">
        <f>AS210*U210/100</f>
        <v/>
      </c>
      <c r="AU210" s="92" t="inlineStr">
        <is>
          <t>Latonia</t>
        </is>
      </c>
      <c r="AV210" s="92" t="n">
        <v>78</v>
      </c>
      <c r="AW210" s="92" t="inlineStr">
        <is>
          <t>Sourced</t>
        </is>
      </c>
      <c r="AX210" s="92" t="inlineStr">
        <is>
          <t>Safe 70-79</t>
        </is>
      </c>
      <c r="AY210" s="96">
        <f>ROUND(INDEX('Scoring Method'!$B$132:$B$140,MATCH(AE210,'Scoring Method'!$A$132:$A$140,0))+INDEX('Scoring Method'!$B$144:$B$152,MATCH(AP210,'Scoring Method'!$A$144:$A$152,0))+INDEX('Scoring Method'!$B$156:$B$160,MATCH(AQ210,'Scoring Method'!$A$156:$A$160,0))+INDEX('Scoring Method'!$B$164:$B$169,MATCH(AO210,'Scoring Method'!$A$164:$A$169,0))+INDEX('Scoring Method'!$B$173:$B$178,MATCH(AX210,'Scoring Method'!$A$173:$A$178,0))+INDEX('Scoring Method'!$B$349:$B$353,MATCH(X210,'Scoring Method'!$A$349:$A$353,0))+INDEX('Scoring Method'!$B$188:$B$190,MATCH(P210,'Scoring Method'!$A$188:$A$190,0)),1)</f>
        <v/>
      </c>
      <c r="AZ210" s="96">
        <f>AY210*U210/100</f>
        <v/>
      </c>
      <c r="BA210" s="103" t="inlineStr">
        <is>
          <t>Brand-owned / net lease</t>
        </is>
      </c>
      <c r="BB210" s="94" t="n">
        <v>0.3</v>
      </c>
      <c r="BC210" s="102" t="inlineStr">
        <is>
          <t>Small 0.25-0.35 AC</t>
        </is>
      </c>
      <c r="BD210" s="94" t="n">
        <v>0.9</v>
      </c>
      <c r="BE210" s="96">
        <f>ROUND(INDEX('Scoring Method'!$B$268:$B$276,MATCH(AE210,'Scoring Method'!$A$268:$A$276,0))+INDEX('Scoring Method'!$B$280:$B$288,MATCH(AP210,'Scoring Method'!$A$280:$A$288,0))+INDEX('Scoring Method'!$B$292:$B$296,MATCH(AQ210,'Scoring Method'!$A$292:$A$296,0))+INDEX('Scoring Method'!$B$300:$B$305,MATCH(AO210,'Scoring Method'!$A$300:$A$305,0))+INDEX('Scoring Method'!$B$309:$B$314,MATCH(AX210,'Scoring Method'!$A$309:$A$314,0))+INDEX('Scoring Method'!$B$337:$B$341,MATCH(X210,'Scoring Method'!$A$337:$A$341,0))+INDEX('Scoring Method'!$B$324:$B$326,MATCH(P210,'Scoring Method'!$A$324:$A$326,0)),1)</f>
        <v/>
      </c>
      <c r="BF210" s="96">
        <f>ROUND(INDEX('Scoring Method'!$B$268:$B$276,MATCH(AE210,'Scoring Method'!$A$268:$A$276,0))*BB210*BD210+INDEX('Scoring Method'!$B$280:$B$288,MATCH(AP210,'Scoring Method'!$A$280:$A$288,0))*BM210*BB210*BD210+INDEX('Scoring Method'!$B$292:$B$296,MATCH(AQ210,'Scoring Method'!$A$292:$A$296,0))*BD210+INDEX('Scoring Method'!$B$300:$B$305,MATCH(AO210,'Scoring Method'!$A$300:$A$305,0))*BM210*BB210+INDEX('Scoring Method'!$B$309:$B$314,MATCH(AX210,'Scoring Method'!$A$309:$A$314,0))+INDEX('Scoring Method'!$B$337:$B$341,MATCH(X210,'Scoring Method'!$A$337:$A$341,0))+INDEX('Scoring Method'!$B$324:$B$326,MATCH(P210,'Scoring Method'!$A$324:$A$326,0)),1)</f>
        <v/>
      </c>
      <c r="BG210" s="92" t="inlineStr">
        <is>
          <t>Fits (~$2,436/mo)</t>
        </is>
      </c>
      <c r="BH210" s="61" t="inlineStr">
        <is>
          <t>TUMU</t>
        </is>
      </c>
      <c r="BI210" s="61" t="inlineStr">
        <is>
          <t>Traditional Urban Mixed Use</t>
        </is>
      </c>
      <c r="BJ210" s="61" t="inlineStr"/>
      <c r="BK210" s="61" t="inlineStr"/>
      <c r="BL210" s="61" t="inlineStr">
        <is>
          <t>Bar permitted</t>
        </is>
      </c>
      <c r="BM210" s="61">
        <f>INDEX('Scoring Method'!$B$358:$B$363,MATCH(BL210,'Scoring Method'!$A$358:$A$363,0))</f>
        <v/>
      </c>
    </row>
    <row r="211" ht="15" customHeight="1" s="62">
      <c r="A211" s="92" t="n">
        <v>210</v>
      </c>
      <c r="B211" s="92" t="inlineStr">
        <is>
          <t>055-14-11-001.00</t>
        </is>
      </c>
      <c r="C211" s="92" t="inlineStr">
        <is>
          <t>25 SHALER ST</t>
        </is>
      </c>
      <c r="D211" s="92" t="inlineStr">
        <is>
          <t>COVERT FURNITURE COMPANY</t>
        </is>
      </c>
      <c r="E211" s="92" t="inlineStr">
        <is>
          <t>1415 GARRARD ST</t>
        </is>
      </c>
      <c r="F211" s="92" t="inlineStr">
        <is>
          <t>COVINGTON</t>
        </is>
      </c>
      <c r="G211" s="92" t="inlineStr">
        <is>
          <t>KY</t>
        </is>
      </c>
      <c r="H211" s="92" t="inlineStr">
        <is>
          <t>WAREHOUSE 1-20000 SQ FT</t>
        </is>
      </c>
      <c r="I211" s="93" t="n">
        <v>12553</v>
      </c>
      <c r="J211" s="94">
        <f>I211/43560</f>
        <v/>
      </c>
      <c r="K211" s="93" t="n">
        <v>454</v>
      </c>
      <c r="L211" s="95">
        <f>I211/(K211^2)</f>
        <v/>
      </c>
      <c r="M211" s="92" t="inlineStr">
        <is>
          <t>Marginal 10-14k/45-60k</t>
        </is>
      </c>
      <c r="N211" s="92" t="inlineStr">
        <is>
          <t>A</t>
        </is>
      </c>
      <c r="O211" s="92" t="inlineStr">
        <is>
          <t>Compact &gt;=.055</t>
        </is>
      </c>
      <c r="P211" s="92" t="inlineStr">
        <is>
          <t>Low</t>
        </is>
      </c>
      <c r="Q211" s="92" t="inlineStr">
        <is>
          <t>Local absentee</t>
        </is>
      </c>
      <c r="R211" s="92" t="inlineStr">
        <is>
          <t>Operating entity</t>
        </is>
      </c>
      <c r="S211" s="92" t="n">
        <v>1</v>
      </c>
      <c r="T211" s="96">
        <f>INDEX('Scoring Method'!$B$6:$B$9,MATCH(M211,'Scoring Method'!$A$6:$A$9,0))+INDEX('Scoring Method'!$B$12:$B$16,MATCH(N211,'Scoring Method'!$A$12:$A$16,0))+INDEX('Scoring Method'!$B$19:$B$22,MATCH(O211,'Scoring Method'!$A$19:$A$22,0))+INDEX('Scoring Method'!$B$25:$B$27,MATCH(P211,'Scoring Method'!$A$25:$A$27,0))</f>
        <v/>
      </c>
      <c r="U211" s="96">
        <f>(INDEX('Scoring Method'!$B$30:$B$33,MATCH(Q211,'Scoring Method'!$A$30:$A$33,0))+INDEX('Scoring Method'!$B$36:$B$42,MATCH(R211,'Scoring Method'!$A$36:$A$42,0))+INDEX('Scoring Method'!$B$45:$B$47,MATCH(IF(S211=1,"1",IF(S211=2,"2","3+")),'Scoring Method'!$A$45:$A$47,0)))/90*100</f>
        <v/>
      </c>
      <c r="V211" s="96">
        <f>T211*U211/100</f>
        <v/>
      </c>
      <c r="W211" s="93" t="n">
        <v>5900</v>
      </c>
      <c r="X211" s="92" t="inlineStr">
        <is>
          <t>X (minimal hazard)</t>
        </is>
      </c>
      <c r="Y211" s="93" t="n">
        <v>0</v>
      </c>
      <c r="Z211" s="97">
        <f>W211/I211</f>
        <v/>
      </c>
      <c r="AA211" s="98">
        <f>MAX(0,(Y211-5000)/300)</f>
        <v/>
      </c>
      <c r="AB211" s="92" t="n"/>
      <c r="AC211" s="92" t="n">
        <v>0.28</v>
      </c>
      <c r="AD211" s="92" t="inlineStr">
        <is>
          <t>ok</t>
        </is>
      </c>
      <c r="AE211" s="92" t="inlineStr">
        <is>
          <t>Large 4-6k</t>
        </is>
      </c>
      <c r="AF211" s="96">
        <f>INDEX('Scoring Method'!$B$63:$B$71,MATCH(AE211,'Scoring Method'!$A$63:$A$71,0))+INDEX('Scoring Method'!$B$75:$B$79,MATCH("Insufficient &lt;2k",'Scoring Method'!$A$75:$A$79,0))+INDEX('Scoring Method'!$B$343:$B$347,MATCH(X211,'Scoring Method'!$A$343:$A$347,0))+INDEX('Scoring Method'!$B$25:$B$27,MATCH(P211,'Scoring Method'!$A$25:$A$27,0))</f>
        <v/>
      </c>
      <c r="AG211" s="96">
        <f>AF211*U211/100</f>
        <v/>
      </c>
      <c r="AH211" s="92" t="inlineStr">
        <is>
          <t>LINK-GIS + LoopNet</t>
        </is>
      </c>
      <c r="AI211" s="99" t="n">
        <v>39.06827</v>
      </c>
      <c r="AJ211" s="99" t="n">
        <v>-84.50725</v>
      </c>
      <c r="AK211" s="94" t="n">
        <v>1.25</v>
      </c>
      <c r="AL211" s="94" t="n">
        <v>1.56</v>
      </c>
      <c r="AM211" s="94" t="n">
        <v>2.31</v>
      </c>
      <c r="AN211" s="94" t="n">
        <v>1.1</v>
      </c>
      <c r="AO211" s="92" t="inlineStr">
        <is>
          <t>Fringe 0.75-1.25mi</t>
        </is>
      </c>
      <c r="AP211" s="92" t="inlineStr">
        <is>
          <t>Open span</t>
        </is>
      </c>
      <c r="AQ211" s="92" t="inlineStr">
        <is>
          <t>Insufficient &lt;2k</t>
        </is>
      </c>
      <c r="AR211" s="100" t="n"/>
      <c r="AS211" s="96">
        <f>ROUND(INDEX('Scoring Method'!$B$63:$B$70,MATCH(AE211,'Scoring Method'!$A$63:$A$70,0))*0.625+INDEX('Scoring Method'!$B$105:$B$113,MATCH(AP211,'Scoring Method'!$A$105:$A$113,0))+INDEX('Scoring Method'!$B$74:$B$78,MATCH(AQ211,'Scoring Method'!$A$74:$A$78,0))*0.6667+INDEX('Scoring Method'!$B$96:$B$101,MATCH(AO211,'Scoring Method'!$A$96:$A$101,0))+INDEX('Scoring Method'!$B$343:$B$347,MATCH(X211,'Scoring Method'!$A$343:$A$347,0))*0.3333+INDEX('Scoring Method'!$B$25:$B$27,MATCH(P211,'Scoring Method'!$A$25:$A$27,0))*0.3333,1)</f>
        <v/>
      </c>
      <c r="AT211" s="96">
        <f>AS211*U211/100</f>
        <v/>
      </c>
      <c r="AU211" s="92" t="inlineStr">
        <is>
          <t>Levassor Park</t>
        </is>
      </c>
      <c r="AV211" s="92" t="n">
        <v>42</v>
      </c>
      <c r="AW211" s="101" t="inlineStr">
        <is>
          <t>ESTIMATED</t>
        </is>
      </c>
      <c r="AX211" s="92" t="inlineStr">
        <is>
          <t>Elevated 35-44</t>
        </is>
      </c>
      <c r="AY211" s="96">
        <f>ROUND(INDEX('Scoring Method'!$B$132:$B$140,MATCH(AE211,'Scoring Method'!$A$132:$A$140,0))+INDEX('Scoring Method'!$B$144:$B$152,MATCH(AP211,'Scoring Method'!$A$144:$A$152,0))+INDEX('Scoring Method'!$B$156:$B$160,MATCH(AQ211,'Scoring Method'!$A$156:$A$160,0))+INDEX('Scoring Method'!$B$164:$B$169,MATCH(AO211,'Scoring Method'!$A$164:$A$169,0))+INDEX('Scoring Method'!$B$173:$B$178,MATCH(AX211,'Scoring Method'!$A$173:$A$178,0))+INDEX('Scoring Method'!$B$349:$B$353,MATCH(X211,'Scoring Method'!$A$349:$A$353,0))+INDEX('Scoring Method'!$B$188:$B$190,MATCH(P211,'Scoring Method'!$A$188:$A$190,0)),1)</f>
        <v/>
      </c>
      <c r="AZ211" s="96">
        <f>AY211*U211/100</f>
        <v/>
      </c>
      <c r="BA211" s="92" t="inlineStr">
        <is>
          <t>No chain signal</t>
        </is>
      </c>
      <c r="BB211" s="94" t="n">
        <v>1</v>
      </c>
      <c r="BC211" s="102" t="inlineStr">
        <is>
          <t>Small 0.25-0.35 AC</t>
        </is>
      </c>
      <c r="BD211" s="94" t="n">
        <v>0.9</v>
      </c>
      <c r="BE211" s="96">
        <f>ROUND(INDEX('Scoring Method'!$B$268:$B$276,MATCH(AE211,'Scoring Method'!$A$268:$A$276,0))+INDEX('Scoring Method'!$B$280:$B$288,MATCH(AP211,'Scoring Method'!$A$280:$A$288,0))+INDEX('Scoring Method'!$B$292:$B$296,MATCH(AQ211,'Scoring Method'!$A$292:$A$296,0))+INDEX('Scoring Method'!$B$300:$B$305,MATCH(AO211,'Scoring Method'!$A$300:$A$305,0))+INDEX('Scoring Method'!$B$309:$B$314,MATCH(AX211,'Scoring Method'!$A$309:$A$314,0))+INDEX('Scoring Method'!$B$337:$B$341,MATCH(X211,'Scoring Method'!$A$337:$A$341,0))+INDEX('Scoring Method'!$B$324:$B$326,MATCH(P211,'Scoring Method'!$A$324:$A$326,0)),1)</f>
        <v/>
      </c>
      <c r="BF211" s="96">
        <f>ROUND(INDEX('Scoring Method'!$B$268:$B$276,MATCH(AE211,'Scoring Method'!$A$268:$A$276,0))*BB211*BD211+INDEX('Scoring Method'!$B$280:$B$288,MATCH(AP211,'Scoring Method'!$A$280:$A$288,0))*BM211*BB211*BD211+INDEX('Scoring Method'!$B$292:$B$296,MATCH(AQ211,'Scoring Method'!$A$292:$A$296,0))*BD211+INDEX('Scoring Method'!$B$300:$B$305,MATCH(AO211,'Scoring Method'!$A$300:$A$305,0))*BM211*BB211+INDEX('Scoring Method'!$B$309:$B$314,MATCH(AX211,'Scoring Method'!$A$309:$A$314,0))+INDEX('Scoring Method'!$B$337:$B$341,MATCH(X211,'Scoring Method'!$A$337:$A$341,0))+INDEX('Scoring Method'!$B$324:$B$326,MATCH(P211,'Scoring Method'!$A$324:$A$326,0)),1)</f>
        <v/>
      </c>
      <c r="BG211" s="92" t="inlineStr">
        <is>
          <t>Fits (~$5,408/mo)</t>
        </is>
      </c>
      <c r="BH211" s="61" t="inlineStr">
        <is>
          <t>LI</t>
        </is>
      </c>
      <c r="BI211" s="61" t="inlineStr">
        <is>
          <t>Limited Industrial</t>
        </is>
      </c>
      <c r="BJ211" s="61" t="inlineStr"/>
      <c r="BK211" s="61" t="inlineStr"/>
      <c r="BL211" s="61" t="inlineStr">
        <is>
          <t>Bar prohibited, alt-path</t>
        </is>
      </c>
      <c r="BM211" s="61">
        <f>INDEX('Scoring Method'!$B$358:$B$363,MATCH(BL211,'Scoring Method'!$A$358:$A$363,0))</f>
        <v/>
      </c>
    </row>
    <row r="212" ht="15" customHeight="1" s="62">
      <c r="A212" s="92" t="n">
        <v>211</v>
      </c>
      <c r="B212" s="92" t="inlineStr">
        <is>
          <t>054-24-09-008.00</t>
        </is>
      </c>
      <c r="C212" s="92" t="inlineStr">
        <is>
          <t>1131 SCOTT ST</t>
        </is>
      </c>
      <c r="D212" s="92" t="inlineStr">
        <is>
          <t>CATHOLIC CENTER</t>
        </is>
      </c>
      <c r="E212" s="92" t="inlineStr">
        <is>
          <t>PO BOX 18548</t>
        </is>
      </c>
      <c r="F212" s="92" t="inlineStr">
        <is>
          <t>COVINGTON</t>
        </is>
      </c>
      <c r="G212" s="92" t="inlineStr">
        <is>
          <t>KY</t>
        </is>
      </c>
      <c r="H212" s="92" t="inlineStr">
        <is>
          <t>PAVED LOT</t>
        </is>
      </c>
      <c r="I212" s="93" t="n">
        <v>36464</v>
      </c>
      <c r="J212" s="94">
        <f>I212/43560</f>
        <v/>
      </c>
      <c r="K212" s="93" t="n">
        <v>765.2</v>
      </c>
      <c r="L212" s="95">
        <f>I212/(K212^2)</f>
        <v/>
      </c>
      <c r="M212" s="92" t="inlineStr">
        <is>
          <t>Near 14-18k/32-45k</t>
        </is>
      </c>
      <c r="N212" s="92" t="inlineStr">
        <is>
          <t>D</t>
        </is>
      </c>
      <c r="O212" s="92" t="inlineStr">
        <is>
          <t>Compact &gt;=.055</t>
        </is>
      </c>
      <c r="P212" s="92" t="inlineStr">
        <is>
          <t>Low</t>
        </is>
      </c>
      <c r="Q212" s="92" t="inlineStr">
        <is>
          <t>Local absentee</t>
        </is>
      </c>
      <c r="R212" s="92" t="inlineStr">
        <is>
          <t>Religious</t>
        </is>
      </c>
      <c r="S212" s="92" t="n">
        <v>1</v>
      </c>
      <c r="T212" s="96">
        <f>INDEX('Scoring Method'!$B$6:$B$9,MATCH(M212,'Scoring Method'!$A$6:$A$9,0))+INDEX('Scoring Method'!$B$12:$B$16,MATCH(N212,'Scoring Method'!$A$12:$A$16,0))+INDEX('Scoring Method'!$B$19:$B$22,MATCH(O212,'Scoring Method'!$A$19:$A$22,0))+INDEX('Scoring Method'!$B$25:$B$27,MATCH(P212,'Scoring Method'!$A$25:$A$27,0))</f>
        <v/>
      </c>
      <c r="U212" s="96">
        <f>(INDEX('Scoring Method'!$B$30:$B$33,MATCH(Q212,'Scoring Method'!$A$30:$A$33,0))+INDEX('Scoring Method'!$B$36:$B$42,MATCH(R212,'Scoring Method'!$A$36:$A$42,0))+INDEX('Scoring Method'!$B$45:$B$47,MATCH(IF(S212=1,"1",IF(S212=2,"2","3+")),'Scoring Method'!$A$45:$A$47,0)))/90*100</f>
        <v/>
      </c>
      <c r="V212" s="96">
        <f>T212*U212/100</f>
        <v/>
      </c>
      <c r="W212" s="93" t="n">
        <v>3314</v>
      </c>
      <c r="X212" s="92" t="inlineStr">
        <is>
          <t>X (minimal hazard)</t>
        </is>
      </c>
      <c r="Y212" s="93" t="n">
        <v>31325</v>
      </c>
      <c r="Z212" s="97" t="n"/>
      <c r="AA212" s="98">
        <f>MAX(0,(Y212-5000)/300)</f>
        <v/>
      </c>
      <c r="AB212" s="92" t="n"/>
      <c r="AC212" s="92" t="n"/>
      <c r="AD212" s="92" t="n"/>
      <c r="AE212" s="92" t="inlineStr">
        <is>
          <t>Above 2.5-4k</t>
        </is>
      </c>
      <c r="AF212" s="96">
        <f>INDEX('Scoring Method'!$B$63:$B$71,MATCH(AE212,'Scoring Method'!$A$63:$A$71,0))+INDEX('Scoring Method'!$B$75:$B$79,MATCH("Ample &gt;=15k",'Scoring Method'!$A$75:$A$79,0))+INDEX('Scoring Method'!$B$343:$B$347,MATCH(X212,'Scoring Method'!$A$343:$A$347,0))+INDEX('Scoring Method'!$B$25:$B$27,MATCH(P212,'Scoring Method'!$A$25:$A$27,0))</f>
        <v/>
      </c>
      <c r="AG212" s="96">
        <f>AF212*U212/100</f>
        <v/>
      </c>
      <c r="AH212" s="92" t="inlineStr">
        <is>
          <t>LINK-GIS only</t>
        </is>
      </c>
      <c r="AI212" s="99" t="n">
        <v>39.07823</v>
      </c>
      <c r="AJ212" s="99" t="n">
        <v>-84.50762</v>
      </c>
      <c r="AK212" s="94" t="n">
        <v>0.7</v>
      </c>
      <c r="AL212" s="94" t="n">
        <v>0.87</v>
      </c>
      <c r="AM212" s="94" t="n">
        <v>1.63</v>
      </c>
      <c r="AN212" s="94" t="n">
        <v>0.44</v>
      </c>
      <c r="AO212" s="92" t="inlineStr">
        <is>
          <t>Near 0.35-0.75mi</t>
        </is>
      </c>
      <c r="AP212" s="92" t="inlineStr">
        <is>
          <t>Lot / minimal bldg</t>
        </is>
      </c>
      <c r="AQ212" s="92" t="inlineStr">
        <is>
          <t>Ample &gt;=15k</t>
        </is>
      </c>
      <c r="AR212" s="100" t="n"/>
      <c r="AS212" s="96">
        <f>ROUND(INDEX('Scoring Method'!$B$63:$B$70,MATCH(AE212,'Scoring Method'!$A$63:$A$70,0))*0.625+INDEX('Scoring Method'!$B$105:$B$113,MATCH(AP212,'Scoring Method'!$A$105:$A$113,0))+INDEX('Scoring Method'!$B$74:$B$78,MATCH(AQ212,'Scoring Method'!$A$74:$A$78,0))*0.6667+INDEX('Scoring Method'!$B$96:$B$101,MATCH(AO212,'Scoring Method'!$A$96:$A$101,0))+INDEX('Scoring Method'!$B$343:$B$347,MATCH(X212,'Scoring Method'!$A$343:$A$347,0))*0.3333+INDEX('Scoring Method'!$B$25:$B$27,MATCH(P212,'Scoring Method'!$A$25:$A$27,0))*0.3333,1)</f>
        <v/>
      </c>
      <c r="AT212" s="96">
        <f>AS212*U212/100</f>
        <v/>
      </c>
      <c r="AU212" s="92" t="inlineStr">
        <is>
          <t>Eastside</t>
        </is>
      </c>
      <c r="AV212" s="92" t="n">
        <v>28</v>
      </c>
      <c r="AW212" s="101" t="inlineStr">
        <is>
          <t>ESTIMATED</t>
        </is>
      </c>
      <c r="AX212" s="92" t="inlineStr">
        <is>
          <t>High &lt;35</t>
        </is>
      </c>
      <c r="AY212" s="96">
        <f>ROUND(INDEX('Scoring Method'!$B$132:$B$140,MATCH(AE212,'Scoring Method'!$A$132:$A$140,0))+INDEX('Scoring Method'!$B$144:$B$152,MATCH(AP212,'Scoring Method'!$A$144:$A$152,0))+INDEX('Scoring Method'!$B$156:$B$160,MATCH(AQ212,'Scoring Method'!$A$156:$A$160,0))+INDEX('Scoring Method'!$B$164:$B$169,MATCH(AO212,'Scoring Method'!$A$164:$A$169,0))+INDEX('Scoring Method'!$B$173:$B$178,MATCH(AX212,'Scoring Method'!$A$173:$A$178,0))+INDEX('Scoring Method'!$B$349:$B$353,MATCH(X212,'Scoring Method'!$A$349:$A$353,0))+INDEX('Scoring Method'!$B$188:$B$190,MATCH(P212,'Scoring Method'!$A$188:$A$190,0)),1)</f>
        <v/>
      </c>
      <c r="AZ212" s="96">
        <f>AY212*U212/100</f>
        <v/>
      </c>
      <c r="BA212" s="92" t="inlineStr">
        <is>
          <t>No chain signal</t>
        </is>
      </c>
      <c r="BB212" s="94" t="n">
        <v>1</v>
      </c>
      <c r="BC212" s="102" t="inlineStr">
        <is>
          <t>Large 0.75-1.25 AC</t>
        </is>
      </c>
      <c r="BD212" s="94" t="n">
        <v>0.9</v>
      </c>
      <c r="BE212" s="96">
        <f>ROUND(INDEX('Scoring Method'!$B$268:$B$276,MATCH(AE212,'Scoring Method'!$A$268:$A$276,0))+INDEX('Scoring Method'!$B$280:$B$288,MATCH(AP212,'Scoring Method'!$A$280:$A$288,0))+INDEX('Scoring Method'!$B$292:$B$296,MATCH(AQ212,'Scoring Method'!$A$292:$A$296,0))+INDEX('Scoring Method'!$B$300:$B$305,MATCH(AO212,'Scoring Method'!$A$300:$A$305,0))+INDEX('Scoring Method'!$B$309:$B$314,MATCH(AX212,'Scoring Method'!$A$309:$A$314,0))+INDEX('Scoring Method'!$B$337:$B$341,MATCH(X212,'Scoring Method'!$A$337:$A$341,0))+INDEX('Scoring Method'!$B$324:$B$326,MATCH(P212,'Scoring Method'!$A$324:$A$326,0)),1)</f>
        <v/>
      </c>
      <c r="BF212" s="96">
        <f>ROUND(INDEX('Scoring Method'!$B$268:$B$276,MATCH(AE212,'Scoring Method'!$A$268:$A$276,0))*BB212*BD212+INDEX('Scoring Method'!$B$280:$B$288,MATCH(AP212,'Scoring Method'!$A$280:$A$288,0))*BM212*BB212*BD212+INDEX('Scoring Method'!$B$292:$B$296,MATCH(AQ212,'Scoring Method'!$A$292:$A$296,0))*BD212+INDEX('Scoring Method'!$B$300:$B$305,MATCH(AO212,'Scoring Method'!$A$300:$A$305,0))*BM212*BB212+INDEX('Scoring Method'!$B$309:$B$314,MATCH(AX212,'Scoring Method'!$A$309:$A$314,0))+INDEX('Scoring Method'!$B$337:$B$341,MATCH(X212,'Scoring Method'!$A$337:$A$341,0))+INDEX('Scoring Method'!$B$324:$B$326,MATCH(P212,'Scoring Method'!$A$324:$A$326,0)),1)</f>
        <v/>
      </c>
      <c r="BG212" s="92" t="inlineStr">
        <is>
          <t>Fits (~$3,038/mo)</t>
        </is>
      </c>
      <c r="BH212" s="61" t="inlineStr">
        <is>
          <t>DTC (TS)</t>
        </is>
      </c>
      <c r="BI212" s="61" t="inlineStr">
        <is>
          <t>Downtown Core</t>
        </is>
      </c>
      <c r="BJ212" s="61" t="inlineStr"/>
      <c r="BK212" s="61" t="inlineStr">
        <is>
          <t>Yes</t>
        </is>
      </c>
      <c r="BL212" s="61" t="inlineStr">
        <is>
          <t>Bar permitted</t>
        </is>
      </c>
      <c r="BM212" s="61">
        <f>INDEX('Scoring Method'!$B$358:$B$363,MATCH(BL212,'Scoring Method'!$A$358:$A$363,0))</f>
        <v/>
      </c>
    </row>
    <row r="213" ht="15" customHeight="1" s="62">
      <c r="A213" s="92" t="n">
        <v>212</v>
      </c>
      <c r="B213" s="92" t="inlineStr">
        <is>
          <t>056-11-07-072.00</t>
        </is>
      </c>
      <c r="C213" s="92" t="inlineStr">
        <is>
          <t>2806 ASHLAND AVE</t>
        </is>
      </c>
      <c r="D213" s="92" t="inlineStr">
        <is>
          <t>ASHLAND AVE BAPTIST CHURCH INC</t>
        </is>
      </c>
      <c r="E213" s="92" t="inlineStr">
        <is>
          <t>2735 ASHLAND AVE</t>
        </is>
      </c>
      <c r="F213" s="92" t="inlineStr">
        <is>
          <t>COVINGTON</t>
        </is>
      </c>
      <c r="G213" s="92" t="inlineStr">
        <is>
          <t>KY</t>
        </is>
      </c>
      <c r="H213" s="92" t="inlineStr">
        <is>
          <t>PAVED LOT</t>
        </is>
      </c>
      <c r="I213" s="93" t="n">
        <v>16657</v>
      </c>
      <c r="J213" s="94">
        <f>I213/43560</f>
        <v/>
      </c>
      <c r="K213" s="93" t="n">
        <v>521.4</v>
      </c>
      <c r="L213" s="95">
        <f>I213/(K213^2)</f>
        <v/>
      </c>
      <c r="M213" s="92" t="inlineStr">
        <is>
          <t>Near 14-18k/32-45k</t>
        </is>
      </c>
      <c r="N213" s="92" t="inlineStr">
        <is>
          <t>D</t>
        </is>
      </c>
      <c r="O213" s="92" t="inlineStr">
        <is>
          <t>Compact &gt;=.055</t>
        </is>
      </c>
      <c r="P213" s="92" t="inlineStr">
        <is>
          <t>Low</t>
        </is>
      </c>
      <c r="Q213" s="92" t="inlineStr">
        <is>
          <t>Local absentee</t>
        </is>
      </c>
      <c r="R213" s="92" t="inlineStr">
        <is>
          <t>Religious</t>
        </is>
      </c>
      <c r="S213" s="92" t="n">
        <v>1</v>
      </c>
      <c r="T213" s="96">
        <f>INDEX('Scoring Method'!$B$6:$B$9,MATCH(M213,'Scoring Method'!$A$6:$A$9,0))+INDEX('Scoring Method'!$B$12:$B$16,MATCH(N213,'Scoring Method'!$A$12:$A$16,0))+INDEX('Scoring Method'!$B$19:$B$22,MATCH(O213,'Scoring Method'!$A$19:$A$22,0))+INDEX('Scoring Method'!$B$25:$B$27,MATCH(P213,'Scoring Method'!$A$25:$A$27,0))</f>
        <v/>
      </c>
      <c r="U213" s="96">
        <f>(INDEX('Scoring Method'!$B$30:$B$33,MATCH(Q213,'Scoring Method'!$A$30:$A$33,0))+INDEX('Scoring Method'!$B$36:$B$42,MATCH(R213,'Scoring Method'!$A$36:$A$42,0))+INDEX('Scoring Method'!$B$45:$B$47,MATCH(IF(S213=1,"1",IF(S213=2,"2","3+")),'Scoring Method'!$A$45:$A$47,0)))/90*100</f>
        <v/>
      </c>
      <c r="V213" s="96">
        <f>T213*U213/100</f>
        <v/>
      </c>
      <c r="W213" s="93" t="n">
        <v>1084</v>
      </c>
      <c r="X213" s="92" t="inlineStr">
        <is>
          <t>X (minimal hazard)</t>
        </is>
      </c>
      <c r="Y213" s="93" t="n">
        <v>16525</v>
      </c>
      <c r="Z213" s="97" t="n"/>
      <c r="AA213" s="98">
        <f>MAX(0,(Y213-5000)/300)</f>
        <v/>
      </c>
      <c r="AB213" s="92" t="n"/>
      <c r="AC213" s="92" t="n"/>
      <c r="AD213" s="92" t="n"/>
      <c r="AE213" s="92" t="inlineStr">
        <is>
          <t>Too small &lt;1.2k</t>
        </is>
      </c>
      <c r="AF213" s="96">
        <f>INDEX('Scoring Method'!$B$63:$B$71,MATCH(AE213,'Scoring Method'!$A$63:$A$71,0))+INDEX('Scoring Method'!$B$75:$B$79,MATCH("Ample &gt;=15k",'Scoring Method'!$A$75:$A$79,0))+INDEX('Scoring Method'!$B$343:$B$347,MATCH(X213,'Scoring Method'!$A$343:$A$347,0))+INDEX('Scoring Method'!$B$25:$B$27,MATCH(P213,'Scoring Method'!$A$25:$A$27,0))</f>
        <v/>
      </c>
      <c r="AG213" s="96">
        <f>AF213*U213/100</f>
        <v/>
      </c>
      <c r="AH213" s="92" t="inlineStr">
        <is>
          <t>LINK-GIS + LoopNet (2026-08-02)</t>
        </is>
      </c>
      <c r="AI213" s="99" t="n">
        <v>39.05087</v>
      </c>
      <c r="AJ213" s="99" t="n">
        <v>-84.51195</v>
      </c>
      <c r="AK213" s="94" t="n">
        <v>2.34</v>
      </c>
      <c r="AL213" s="94" t="n">
        <v>2.77</v>
      </c>
      <c r="AM213" s="94" t="n">
        <v>3.5</v>
      </c>
      <c r="AN213" s="94" t="n">
        <v>2.29</v>
      </c>
      <c r="AO213" s="92" t="inlineStr">
        <is>
          <t>Distant 2-3mi</t>
        </is>
      </c>
      <c r="AP213" s="92" t="inlineStr">
        <is>
          <t>Lot / minimal bldg</t>
        </is>
      </c>
      <c r="AQ213" s="92" t="inlineStr">
        <is>
          <t>Ample &gt;=15k</t>
        </is>
      </c>
      <c r="AR213" s="100" t="n"/>
      <c r="AS213" s="96">
        <f>ROUND(INDEX('Scoring Method'!$B$63:$B$70,MATCH(AE213,'Scoring Method'!$A$63:$A$70,0))*0.625+INDEX('Scoring Method'!$B$105:$B$113,MATCH(AP213,'Scoring Method'!$A$105:$A$113,0))+INDEX('Scoring Method'!$B$74:$B$78,MATCH(AQ213,'Scoring Method'!$A$74:$A$78,0))*0.6667+INDEX('Scoring Method'!$B$96:$B$101,MATCH(AO213,'Scoring Method'!$A$96:$A$101,0))+INDEX('Scoring Method'!$B$343:$B$347,MATCH(X213,'Scoring Method'!$A$343:$A$347,0))*0.3333+INDEX('Scoring Method'!$B$25:$B$27,MATCH(P213,'Scoring Method'!$A$25:$A$27,0))*0.3333,1)</f>
        <v/>
      </c>
      <c r="AT213" s="96">
        <f>AS213*U213/100</f>
        <v/>
      </c>
      <c r="AU213" s="92" t="inlineStr">
        <is>
          <t>Latonia Rosedale</t>
        </is>
      </c>
      <c r="AV213" s="92" t="n">
        <v>68</v>
      </c>
      <c r="AW213" s="92" t="inlineStr">
        <is>
          <t>Sourced</t>
        </is>
      </c>
      <c r="AX213" s="92" t="inlineStr">
        <is>
          <t>Moderate 60-69</t>
        </is>
      </c>
      <c r="AY213" s="96">
        <f>ROUND(INDEX('Scoring Method'!$B$132:$B$140,MATCH(AE213,'Scoring Method'!$A$132:$A$140,0))+INDEX('Scoring Method'!$B$144:$B$152,MATCH(AP213,'Scoring Method'!$A$144:$A$152,0))+INDEX('Scoring Method'!$B$156:$B$160,MATCH(AQ213,'Scoring Method'!$A$156:$A$160,0))+INDEX('Scoring Method'!$B$164:$B$169,MATCH(AO213,'Scoring Method'!$A$164:$A$169,0))+INDEX('Scoring Method'!$B$173:$B$178,MATCH(AX213,'Scoring Method'!$A$173:$A$178,0))+INDEX('Scoring Method'!$B$349:$B$353,MATCH(X213,'Scoring Method'!$A$349:$A$353,0))+INDEX('Scoring Method'!$B$188:$B$190,MATCH(P213,'Scoring Method'!$A$188:$A$190,0)),1)</f>
        <v/>
      </c>
      <c r="AZ213" s="96">
        <f>AY213*U213/100</f>
        <v/>
      </c>
      <c r="BA213" s="92" t="inlineStr">
        <is>
          <t>No chain signal</t>
        </is>
      </c>
      <c r="BB213" s="94" t="n">
        <v>1</v>
      </c>
      <c r="BC213" s="92" t="inlineStr">
        <is>
          <t>Right-sized 0.35-0.75 AC</t>
        </is>
      </c>
      <c r="BD213" s="94" t="n">
        <v>1</v>
      </c>
      <c r="BE213" s="96">
        <f>ROUND(INDEX('Scoring Method'!$B$268:$B$276,MATCH(AE213,'Scoring Method'!$A$268:$A$276,0))+INDEX('Scoring Method'!$B$280:$B$288,MATCH(AP213,'Scoring Method'!$A$280:$A$288,0))+INDEX('Scoring Method'!$B$292:$B$296,MATCH(AQ213,'Scoring Method'!$A$292:$A$296,0))+INDEX('Scoring Method'!$B$300:$B$305,MATCH(AO213,'Scoring Method'!$A$300:$A$305,0))+INDEX('Scoring Method'!$B$309:$B$314,MATCH(AX213,'Scoring Method'!$A$309:$A$314,0))+INDEX('Scoring Method'!$B$337:$B$341,MATCH(X213,'Scoring Method'!$A$337:$A$341,0))+INDEX('Scoring Method'!$B$324:$B$326,MATCH(P213,'Scoring Method'!$A$324:$A$326,0)),1)</f>
        <v/>
      </c>
      <c r="BF213" s="96">
        <f>ROUND(INDEX('Scoring Method'!$B$268:$B$276,MATCH(AE213,'Scoring Method'!$A$268:$A$276,0))*BB213*BD213+INDEX('Scoring Method'!$B$280:$B$288,MATCH(AP213,'Scoring Method'!$A$280:$A$288,0))*BM213*BB213*BD213+INDEX('Scoring Method'!$B$292:$B$296,MATCH(AQ213,'Scoring Method'!$A$292:$A$296,0))*BD213+INDEX('Scoring Method'!$B$300:$B$305,MATCH(AO213,'Scoring Method'!$A$300:$A$305,0))*BM213*BB213+INDEX('Scoring Method'!$B$309:$B$314,MATCH(AX213,'Scoring Method'!$A$309:$A$314,0))+INDEX('Scoring Method'!$B$337:$B$341,MATCH(X213,'Scoring Method'!$A$337:$A$341,0))+INDEX('Scoring Method'!$B$324:$B$326,MATCH(P213,'Scoring Method'!$A$324:$A$326,0)),1)</f>
        <v/>
      </c>
      <c r="BG213" s="92" t="inlineStr">
        <is>
          <t>Fits (~$994/mo)</t>
        </is>
      </c>
      <c r="BH213" s="61" t="inlineStr">
        <is>
          <t>SU</t>
        </is>
      </c>
      <c r="BI213" s="61" t="inlineStr">
        <is>
          <t>Semi-Urban Residential</t>
        </is>
      </c>
      <c r="BJ213" s="61" t="inlineStr"/>
      <c r="BK213" s="61" t="inlineStr"/>
      <c r="BL213" s="61" t="inlineStr">
        <is>
          <t>SU corner unverified</t>
        </is>
      </c>
      <c r="BM213" s="61">
        <f>INDEX('Scoring Method'!$B$358:$B$363,MATCH(BL213,'Scoring Method'!$A$358:$A$363,0))</f>
        <v/>
      </c>
    </row>
    <row r="214" ht="15" customHeight="1" s="62">
      <c r="A214" s="92" t="n">
        <v>213</v>
      </c>
      <c r="B214" s="92" t="inlineStr">
        <is>
          <t>055-13-04-001.00</t>
        </is>
      </c>
      <c r="C214" s="92" t="inlineStr">
        <is>
          <t>1410 NEAVE ST</t>
        </is>
      </c>
      <c r="D214" s="92" t="inlineStr">
        <is>
          <t>HEALTHPOINT FAMILY CARE INC</t>
        </is>
      </c>
      <c r="E214" s="92" t="inlineStr">
        <is>
          <t>1401 MADISON AVE</t>
        </is>
      </c>
      <c r="F214" s="92" t="inlineStr">
        <is>
          <t>COVINGTON</t>
        </is>
      </c>
      <c r="G214" s="92" t="inlineStr">
        <is>
          <t>KY</t>
        </is>
      </c>
      <c r="H214" s="92" t="inlineStr">
        <is>
          <t>MEDICAL OFFICE</t>
        </is>
      </c>
      <c r="I214" s="93" t="n">
        <v>37501</v>
      </c>
      <c r="J214" s="94">
        <f>I214/43560</f>
        <v/>
      </c>
      <c r="K214" s="93" t="n">
        <v>849</v>
      </c>
      <c r="L214" s="95">
        <f>I214/(K214^2)</f>
        <v/>
      </c>
      <c r="M214" s="92" t="inlineStr">
        <is>
          <t>Near 14-18k/32-45k</t>
        </is>
      </c>
      <c r="N214" s="92" t="inlineStr">
        <is>
          <t>E</t>
        </is>
      </c>
      <c r="O214" s="92" t="inlineStr">
        <is>
          <t>Regular .045-.055</t>
        </is>
      </c>
      <c r="P214" s="92" t="inlineStr">
        <is>
          <t>Low</t>
        </is>
      </c>
      <c r="Q214" s="92" t="inlineStr">
        <is>
          <t>Local absentee</t>
        </is>
      </c>
      <c r="R214" s="92" t="inlineStr">
        <is>
          <t>Nonprofit/Inst</t>
        </is>
      </c>
      <c r="S214" s="92" t="n">
        <v>3</v>
      </c>
      <c r="T214" s="96">
        <f>INDEX('Scoring Method'!$B$6:$B$9,MATCH(M214,'Scoring Method'!$A$6:$A$9,0))+INDEX('Scoring Method'!$B$12:$B$16,MATCH(N214,'Scoring Method'!$A$12:$A$16,0))+INDEX('Scoring Method'!$B$19:$B$22,MATCH(O214,'Scoring Method'!$A$19:$A$22,0))+INDEX('Scoring Method'!$B$25:$B$27,MATCH(P214,'Scoring Method'!$A$25:$A$27,0))</f>
        <v/>
      </c>
      <c r="U214" s="96">
        <f>(INDEX('Scoring Method'!$B$30:$B$33,MATCH(Q214,'Scoring Method'!$A$30:$A$33,0))+INDEX('Scoring Method'!$B$36:$B$42,MATCH(R214,'Scoring Method'!$A$36:$A$42,0))+INDEX('Scoring Method'!$B$45:$B$47,MATCH(IF(S214=1,"1",IF(S214=2,"2","3+")),'Scoring Method'!$A$45:$A$47,0)))/90*100</f>
        <v/>
      </c>
      <c r="V214" s="96">
        <f>T214*U214/100</f>
        <v/>
      </c>
      <c r="W214" s="93" t="n">
        <v>21476</v>
      </c>
      <c r="X214" s="92" t="inlineStr">
        <is>
          <t>X (minimal hazard)</t>
        </is>
      </c>
      <c r="Y214" s="93" t="n">
        <v>14725</v>
      </c>
      <c r="Z214" s="97" t="n"/>
      <c r="AA214" s="98">
        <f>MAX(0,(Y214-5000)/300)</f>
        <v/>
      </c>
      <c r="AB214" s="92" t="n"/>
      <c r="AC214" s="92" t="n"/>
      <c r="AD214" s="92" t="n"/>
      <c r="AE214" s="92" t="inlineStr">
        <is>
          <t>Far oversize &gt;12k</t>
        </is>
      </c>
      <c r="AF214" s="96">
        <f>INDEX('Scoring Method'!$B$63:$B$71,MATCH(AE214,'Scoring Method'!$A$63:$A$71,0))+INDEX('Scoring Method'!$B$75:$B$79,MATCH("Good 8-15k",'Scoring Method'!$A$75:$A$79,0))+INDEX('Scoring Method'!$B$343:$B$347,MATCH(X214,'Scoring Method'!$A$343:$A$347,0))+INDEX('Scoring Method'!$B$25:$B$27,MATCH(P214,'Scoring Method'!$A$25:$A$27,0))</f>
        <v/>
      </c>
      <c r="AG214" s="96">
        <f>AF214*U214/100</f>
        <v/>
      </c>
      <c r="AH214" s="92" t="inlineStr">
        <is>
          <t>LINK-GIS only</t>
        </is>
      </c>
      <c r="AI214" s="99" t="n">
        <v>39.07457</v>
      </c>
      <c r="AJ214" s="99" t="n">
        <v>-84.50846</v>
      </c>
      <c r="AK214" s="94" t="n">
        <v>0.85</v>
      </c>
      <c r="AL214" s="94" t="n">
        <v>1.12</v>
      </c>
      <c r="AM214" s="94" t="n">
        <v>1.87</v>
      </c>
      <c r="AN214" s="94" t="n">
        <v>0.66</v>
      </c>
      <c r="AO214" s="92" t="inlineStr">
        <is>
          <t>Near 0.35-0.75mi</t>
        </is>
      </c>
      <c r="AP214" s="92" t="inlineStr">
        <is>
          <t>Office/institutional</t>
        </is>
      </c>
      <c r="AQ214" s="92" t="inlineStr">
        <is>
          <t>Good 8-15k</t>
        </is>
      </c>
      <c r="AR214" s="100" t="n"/>
      <c r="AS214" s="96">
        <f>ROUND(INDEX('Scoring Method'!$B$63:$B$70,MATCH(AE214,'Scoring Method'!$A$63:$A$70,0))*0.625+INDEX('Scoring Method'!$B$105:$B$113,MATCH(AP214,'Scoring Method'!$A$105:$A$113,0))+INDEX('Scoring Method'!$B$74:$B$78,MATCH(AQ214,'Scoring Method'!$A$74:$A$78,0))*0.6667+INDEX('Scoring Method'!$B$96:$B$101,MATCH(AO214,'Scoring Method'!$A$96:$A$101,0))+INDEX('Scoring Method'!$B$343:$B$347,MATCH(X214,'Scoring Method'!$A$343:$A$347,0))*0.3333+INDEX('Scoring Method'!$B$25:$B$27,MATCH(P214,'Scoring Method'!$A$25:$A$27,0))*0.3333,1)</f>
        <v/>
      </c>
      <c r="AT214" s="96">
        <f>AS214*U214/100</f>
        <v/>
      </c>
      <c r="AU214" s="92" t="inlineStr">
        <is>
          <t>Eastside</t>
        </is>
      </c>
      <c r="AV214" s="92" t="n">
        <v>28</v>
      </c>
      <c r="AW214" s="101" t="inlineStr">
        <is>
          <t>ESTIMATED</t>
        </is>
      </c>
      <c r="AX214" s="92" t="inlineStr">
        <is>
          <t>High &lt;35</t>
        </is>
      </c>
      <c r="AY214" s="96">
        <f>ROUND(INDEX('Scoring Method'!$B$132:$B$140,MATCH(AE214,'Scoring Method'!$A$132:$A$140,0))+INDEX('Scoring Method'!$B$144:$B$152,MATCH(AP214,'Scoring Method'!$A$144:$A$152,0))+INDEX('Scoring Method'!$B$156:$B$160,MATCH(AQ214,'Scoring Method'!$A$156:$A$160,0))+INDEX('Scoring Method'!$B$164:$B$169,MATCH(AO214,'Scoring Method'!$A$164:$A$169,0))+INDEX('Scoring Method'!$B$173:$B$178,MATCH(AX214,'Scoring Method'!$A$173:$A$178,0))+INDEX('Scoring Method'!$B$349:$B$353,MATCH(X214,'Scoring Method'!$A$349:$A$353,0))+INDEX('Scoring Method'!$B$188:$B$190,MATCH(P214,'Scoring Method'!$A$188:$A$190,0)),1)</f>
        <v/>
      </c>
      <c r="AZ214" s="96">
        <f>AY214*U214/100</f>
        <v/>
      </c>
      <c r="BA214" s="103" t="inlineStr">
        <is>
          <t>Brand-owned / net lease</t>
        </is>
      </c>
      <c r="BB214" s="94" t="n">
        <v>0.3</v>
      </c>
      <c r="BC214" s="102" t="inlineStr">
        <is>
          <t>Large 0.75-1.25 AC</t>
        </is>
      </c>
      <c r="BD214" s="94" t="n">
        <v>0.9</v>
      </c>
      <c r="BE214" s="96">
        <f>ROUND(INDEX('Scoring Method'!$B$268:$B$276,MATCH(AE214,'Scoring Method'!$A$268:$A$276,0))+INDEX('Scoring Method'!$B$280:$B$288,MATCH(AP214,'Scoring Method'!$A$280:$A$288,0))+INDEX('Scoring Method'!$B$292:$B$296,MATCH(AQ214,'Scoring Method'!$A$292:$A$296,0))+INDEX('Scoring Method'!$B$300:$B$305,MATCH(AO214,'Scoring Method'!$A$300:$A$305,0))+INDEX('Scoring Method'!$B$309:$B$314,MATCH(AX214,'Scoring Method'!$A$309:$A$314,0))+INDEX('Scoring Method'!$B$337:$B$341,MATCH(X214,'Scoring Method'!$A$337:$A$341,0))+INDEX('Scoring Method'!$B$324:$B$326,MATCH(P214,'Scoring Method'!$A$324:$A$326,0)),1)</f>
        <v/>
      </c>
      <c r="BF214" s="96">
        <f>ROUND(INDEX('Scoring Method'!$B$268:$B$276,MATCH(AE214,'Scoring Method'!$A$268:$A$276,0))*BB214*BD214+INDEX('Scoring Method'!$B$280:$B$288,MATCH(AP214,'Scoring Method'!$A$280:$A$288,0))*BM214*BB214*BD214+INDEX('Scoring Method'!$B$292:$B$296,MATCH(AQ214,'Scoring Method'!$A$292:$A$296,0))*BD214+INDEX('Scoring Method'!$B$300:$B$305,MATCH(AO214,'Scoring Method'!$A$300:$A$305,0))*BM214*BB214+INDEX('Scoring Method'!$B$309:$B$314,MATCH(AX214,'Scoring Method'!$A$309:$A$314,0))+INDEX('Scoring Method'!$B$337:$B$341,MATCH(X214,'Scoring Method'!$A$337:$A$341,0))+INDEX('Scoring Method'!$B$324:$B$326,MATCH(P214,'Scoring Method'!$A$324:$A$326,0)),1)</f>
        <v/>
      </c>
      <c r="BG214" s="102" t="inlineStr">
        <is>
          <t>Over (~$19,686/mo)</t>
        </is>
      </c>
      <c r="BH214" s="61" t="inlineStr">
        <is>
          <t>DTC</t>
        </is>
      </c>
      <c r="BI214" s="61" t="inlineStr">
        <is>
          <t>Downtown Core</t>
        </is>
      </c>
      <c r="BJ214" s="61" t="inlineStr"/>
      <c r="BK214" s="61" t="inlineStr"/>
      <c r="BL214" s="61" t="inlineStr">
        <is>
          <t>Bar permitted</t>
        </is>
      </c>
      <c r="BM214" s="61">
        <f>INDEX('Scoring Method'!$B$358:$B$363,MATCH(BL214,'Scoring Method'!$A$358:$A$363,0))</f>
        <v/>
      </c>
    </row>
    <row r="215" ht="15" customHeight="1" s="62">
      <c r="A215" s="92" t="n">
        <v>214</v>
      </c>
      <c r="B215" s="92" t="inlineStr">
        <is>
          <t>054-22-10-012.00</t>
        </is>
      </c>
      <c r="C215" s="92" t="inlineStr">
        <is>
          <t>1131 LEE ST</t>
        </is>
      </c>
      <c r="D215" s="92" t="inlineStr">
        <is>
          <t>KNASEL KEVIN</t>
        </is>
      </c>
      <c r="E215" s="92" t="inlineStr">
        <is>
          <t>1 CLAYCHESTER DR</t>
        </is>
      </c>
      <c r="F215" s="92" t="inlineStr">
        <is>
          <t>ST LOUIS</t>
        </is>
      </c>
      <c r="G215" s="92" t="inlineStr">
        <is>
          <t>MO</t>
        </is>
      </c>
      <c r="H215" s="92" t="inlineStr">
        <is>
          <t>RETAIL W/APARTMENTS</t>
        </is>
      </c>
      <c r="I215" s="93" t="n">
        <v>8992</v>
      </c>
      <c r="J215" s="94">
        <f>I215/43560</f>
        <v/>
      </c>
      <c r="K215" s="93" t="n">
        <v>410</v>
      </c>
      <c r="L215" s="95">
        <f>I215/(K215^2)</f>
        <v/>
      </c>
      <c r="M215" s="92" t="inlineStr">
        <is>
          <t>Poor &lt;10k/&gt;60k</t>
        </is>
      </c>
      <c r="N215" s="92" t="inlineStr">
        <is>
          <t>E</t>
        </is>
      </c>
      <c r="O215" s="92" t="inlineStr">
        <is>
          <t>Regular .045-.055</t>
        </is>
      </c>
      <c r="P215" s="92" t="inlineStr">
        <is>
          <t>Low</t>
        </is>
      </c>
      <c r="Q215" s="92" t="inlineStr">
        <is>
          <t>Out-of-state</t>
        </is>
      </c>
      <c r="R215" s="92" t="inlineStr">
        <is>
          <t>Individual</t>
        </is>
      </c>
      <c r="S215" s="92" t="n">
        <v>1</v>
      </c>
      <c r="T215" s="96">
        <f>INDEX('Scoring Method'!$B$6:$B$9,MATCH(M215,'Scoring Method'!$A$6:$A$9,0))+INDEX('Scoring Method'!$B$12:$B$16,MATCH(N215,'Scoring Method'!$A$12:$A$16,0))+INDEX('Scoring Method'!$B$19:$B$22,MATCH(O215,'Scoring Method'!$A$19:$A$22,0))+INDEX('Scoring Method'!$B$25:$B$27,MATCH(P215,'Scoring Method'!$A$25:$A$27,0))</f>
        <v/>
      </c>
      <c r="U215" s="96">
        <f>(INDEX('Scoring Method'!$B$30:$B$33,MATCH(Q215,'Scoring Method'!$A$30:$A$33,0))+INDEX('Scoring Method'!$B$36:$B$42,MATCH(R215,'Scoring Method'!$A$36:$A$42,0))+INDEX('Scoring Method'!$B$45:$B$47,MATCH(IF(S215=1,"1",IF(S215=2,"2","3+")),'Scoring Method'!$A$45:$A$47,0)))/90*100</f>
        <v/>
      </c>
      <c r="V215" s="96">
        <f>T215*U215/100</f>
        <v/>
      </c>
      <c r="W215" s="93" t="n">
        <v>4795</v>
      </c>
      <c r="X215" s="92" t="inlineStr">
        <is>
          <t>X (minimal hazard)</t>
        </is>
      </c>
      <c r="Y215" s="93" t="n">
        <v>5600</v>
      </c>
      <c r="Z215" s="97" t="n"/>
      <c r="AA215" s="98">
        <f>MAX(0,(Y215-5000)/300)</f>
        <v/>
      </c>
      <c r="AB215" s="92" t="n"/>
      <c r="AC215" s="92" t="n"/>
      <c r="AD215" s="92" t="n"/>
      <c r="AE215" s="92" t="inlineStr">
        <is>
          <t>Large 4-6k</t>
        </is>
      </c>
      <c r="AF215" s="96">
        <f>INDEX('Scoring Method'!$B$63:$B$71,MATCH(AE215,'Scoring Method'!$A$63:$A$71,0))+INDEX('Scoring Method'!$B$75:$B$79,MATCH("Adequate 5-8k",'Scoring Method'!$A$75:$A$79,0))+INDEX('Scoring Method'!$B$343:$B$347,MATCH(X215,'Scoring Method'!$A$343:$A$347,0))+INDEX('Scoring Method'!$B$25:$B$27,MATCH(P215,'Scoring Method'!$A$25:$A$27,0))</f>
        <v/>
      </c>
      <c r="AG215" s="96">
        <f>AF215*U215/100</f>
        <v/>
      </c>
      <c r="AH215" s="92" t="inlineStr">
        <is>
          <t>LINK-GIS + LoopNet (2026-08-02)</t>
        </is>
      </c>
      <c r="AI215" s="99" t="n">
        <v>39.0768</v>
      </c>
      <c r="AJ215" s="99" t="n">
        <v>-84.51566</v>
      </c>
      <c r="AK215" s="94" t="n">
        <v>0.54</v>
      </c>
      <c r="AL215" s="94" t="n">
        <v>1.05</v>
      </c>
      <c r="AM215" s="94" t="n">
        <v>1.72</v>
      </c>
      <c r="AN215" s="94" t="n">
        <v>0.54</v>
      </c>
      <c r="AO215" s="92" t="inlineStr">
        <is>
          <t>Near 0.35-0.75mi</t>
        </is>
      </c>
      <c r="AP215" s="92" t="inlineStr">
        <is>
          <t>Cellular</t>
        </is>
      </c>
      <c r="AQ215" s="92" t="inlineStr">
        <is>
          <t>Adequate 5-8k</t>
        </is>
      </c>
      <c r="AR215" s="100" t="n"/>
      <c r="AS215" s="96">
        <f>ROUND(INDEX('Scoring Method'!$B$63:$B$70,MATCH(AE215,'Scoring Method'!$A$63:$A$70,0))*0.625+INDEX('Scoring Method'!$B$105:$B$113,MATCH(AP215,'Scoring Method'!$A$105:$A$113,0))+INDEX('Scoring Method'!$B$74:$B$78,MATCH(AQ215,'Scoring Method'!$A$74:$A$78,0))*0.6667+INDEX('Scoring Method'!$B$96:$B$101,MATCH(AO215,'Scoring Method'!$A$96:$A$101,0))+INDEX('Scoring Method'!$B$343:$B$347,MATCH(X215,'Scoring Method'!$A$343:$A$347,0))*0.3333+INDEX('Scoring Method'!$B$25:$B$27,MATCH(P215,'Scoring Method'!$A$25:$A$27,0))*0.3333,1)</f>
        <v/>
      </c>
      <c r="AT215" s="96">
        <f>AS215*U215/100</f>
        <v/>
      </c>
      <c r="AU215" s="92" t="inlineStr">
        <is>
          <t>Old Seminary Square</t>
        </is>
      </c>
      <c r="AV215" s="92" t="n">
        <v>35</v>
      </c>
      <c r="AW215" s="101" t="inlineStr">
        <is>
          <t>ESTIMATED</t>
        </is>
      </c>
      <c r="AX215" s="92" t="inlineStr">
        <is>
          <t>Elevated 35-44</t>
        </is>
      </c>
      <c r="AY215" s="96">
        <f>ROUND(INDEX('Scoring Method'!$B$132:$B$140,MATCH(AE215,'Scoring Method'!$A$132:$A$140,0))+INDEX('Scoring Method'!$B$144:$B$152,MATCH(AP215,'Scoring Method'!$A$144:$A$152,0))+INDEX('Scoring Method'!$B$156:$B$160,MATCH(AQ215,'Scoring Method'!$A$156:$A$160,0))+INDEX('Scoring Method'!$B$164:$B$169,MATCH(AO215,'Scoring Method'!$A$164:$A$169,0))+INDEX('Scoring Method'!$B$173:$B$178,MATCH(AX215,'Scoring Method'!$A$173:$A$178,0))+INDEX('Scoring Method'!$B$349:$B$353,MATCH(X215,'Scoring Method'!$A$349:$A$353,0))+INDEX('Scoring Method'!$B$188:$B$190,MATCH(P215,'Scoring Method'!$A$188:$A$190,0)),1)</f>
        <v/>
      </c>
      <c r="AZ215" s="96">
        <f>AY215*U215/100</f>
        <v/>
      </c>
      <c r="BA215" s="92" t="inlineStr">
        <is>
          <t>No chain signal</t>
        </is>
      </c>
      <c r="BB215" s="94" t="n">
        <v>1</v>
      </c>
      <c r="BC215" s="103" t="inlineStr">
        <is>
          <t>Extra small 0.15-0.25 AC</t>
        </is>
      </c>
      <c r="BD215" s="94" t="n">
        <v>0.8</v>
      </c>
      <c r="BE215" s="96">
        <f>ROUND(INDEX('Scoring Method'!$B$268:$B$276,MATCH(AE215,'Scoring Method'!$A$268:$A$276,0))+INDEX('Scoring Method'!$B$280:$B$288,MATCH(AP215,'Scoring Method'!$A$280:$A$288,0))+INDEX('Scoring Method'!$B$292:$B$296,MATCH(AQ215,'Scoring Method'!$A$292:$A$296,0))+INDEX('Scoring Method'!$B$300:$B$305,MATCH(AO215,'Scoring Method'!$A$300:$A$305,0))+INDEX('Scoring Method'!$B$309:$B$314,MATCH(AX215,'Scoring Method'!$A$309:$A$314,0))+INDEX('Scoring Method'!$B$337:$B$341,MATCH(X215,'Scoring Method'!$A$337:$A$341,0))+INDEX('Scoring Method'!$B$324:$B$326,MATCH(P215,'Scoring Method'!$A$324:$A$326,0)),1)</f>
        <v/>
      </c>
      <c r="BF215" s="96">
        <f>ROUND(INDEX('Scoring Method'!$B$268:$B$276,MATCH(AE215,'Scoring Method'!$A$268:$A$276,0))*BB215*BD215+INDEX('Scoring Method'!$B$280:$B$288,MATCH(AP215,'Scoring Method'!$A$280:$A$288,0))*BM215*BB215*BD215+INDEX('Scoring Method'!$B$292:$B$296,MATCH(AQ215,'Scoring Method'!$A$292:$A$296,0))*BD215+INDEX('Scoring Method'!$B$300:$B$305,MATCH(AO215,'Scoring Method'!$A$300:$A$305,0))*BM215*BB215+INDEX('Scoring Method'!$B$309:$B$314,MATCH(AX215,'Scoring Method'!$A$309:$A$314,0))+INDEX('Scoring Method'!$B$337:$B$341,MATCH(X215,'Scoring Method'!$A$337:$A$341,0))+INDEX('Scoring Method'!$B$324:$B$326,MATCH(P215,'Scoring Method'!$A$324:$A$326,0)),1)</f>
        <v/>
      </c>
      <c r="BG215" s="92" t="inlineStr">
        <is>
          <t>Fits (~$4,395/mo)</t>
        </is>
      </c>
      <c r="BH215" s="61" t="inlineStr">
        <is>
          <t>TUMU (TS)</t>
        </is>
      </c>
      <c r="BI215" s="61" t="inlineStr">
        <is>
          <t>Traditional Urban Mixed Use</t>
        </is>
      </c>
      <c r="BJ215" s="61" t="inlineStr"/>
      <c r="BK215" s="61" t="inlineStr">
        <is>
          <t>Yes</t>
        </is>
      </c>
      <c r="BL215" s="61" t="inlineStr">
        <is>
          <t>Bar permitted</t>
        </is>
      </c>
      <c r="BM215" s="61">
        <f>INDEX('Scoring Method'!$B$358:$B$363,MATCH(BL215,'Scoring Method'!$A$358:$A$363,0))</f>
        <v/>
      </c>
    </row>
    <row r="216" ht="15" customHeight="1" s="62">
      <c r="A216" s="92" t="n">
        <v>215</v>
      </c>
      <c r="B216" s="92" t="inlineStr">
        <is>
          <t>055-13-13-038.00</t>
        </is>
      </c>
      <c r="C216" s="92" t="inlineStr">
        <is>
          <t>1526 SCOTT ST</t>
        </is>
      </c>
      <c r="D216" s="92" t="inlineStr">
        <is>
          <t>HANK LILLY LLC</t>
        </is>
      </c>
      <c r="E216" s="92" t="inlineStr">
        <is>
          <t>144 FAIRFIELD AVE</t>
        </is>
      </c>
      <c r="F216" s="92" t="inlineStr">
        <is>
          <t>BELLEVUE</t>
        </is>
      </c>
      <c r="G216" s="92" t="inlineStr">
        <is>
          <t>KY</t>
        </is>
      </c>
      <c r="H216" s="92" t="inlineStr">
        <is>
          <t>SMALL SHOP</t>
        </is>
      </c>
      <c r="I216" s="93" t="n">
        <v>8293</v>
      </c>
      <c r="J216" s="94">
        <f>I216/43560</f>
        <v/>
      </c>
      <c r="K216" s="93" t="n">
        <v>431.3</v>
      </c>
      <c r="L216" s="95">
        <f>I216/(K216^2)</f>
        <v/>
      </c>
      <c r="M216" s="92" t="inlineStr">
        <is>
          <t>Poor &lt;10k/&gt;60k</t>
        </is>
      </c>
      <c r="N216" s="92" t="inlineStr">
        <is>
          <t>A</t>
        </is>
      </c>
      <c r="O216" s="92" t="inlineStr">
        <is>
          <t>Elongated .035-.045</t>
        </is>
      </c>
      <c r="P216" s="92" t="inlineStr">
        <is>
          <t>Low</t>
        </is>
      </c>
      <c r="Q216" s="92" t="inlineStr">
        <is>
          <t>Out-of-city KY</t>
        </is>
      </c>
      <c r="R216" s="92" t="inlineStr">
        <is>
          <t>Operating entity</t>
        </is>
      </c>
      <c r="S216" s="92" t="n">
        <v>1</v>
      </c>
      <c r="T216" s="96">
        <f>INDEX('Scoring Method'!$B$6:$B$9,MATCH(M216,'Scoring Method'!$A$6:$A$9,0))+INDEX('Scoring Method'!$B$12:$B$16,MATCH(N216,'Scoring Method'!$A$12:$A$16,0))+INDEX('Scoring Method'!$B$19:$B$22,MATCH(O216,'Scoring Method'!$A$19:$A$22,0))+INDEX('Scoring Method'!$B$25:$B$27,MATCH(P216,'Scoring Method'!$A$25:$A$27,0))</f>
        <v/>
      </c>
      <c r="U216" s="96">
        <f>(INDEX('Scoring Method'!$B$30:$B$33,MATCH(Q216,'Scoring Method'!$A$30:$A$33,0))+INDEX('Scoring Method'!$B$36:$B$42,MATCH(R216,'Scoring Method'!$A$36:$A$42,0))+INDEX('Scoring Method'!$B$45:$B$47,MATCH(IF(S216=1,"1",IF(S216=2,"2","3+")),'Scoring Method'!$A$45:$A$47,0)))/90*100</f>
        <v/>
      </c>
      <c r="V216" s="96">
        <f>T216*U216/100</f>
        <v/>
      </c>
      <c r="W216" s="93" t="n">
        <v>8000</v>
      </c>
      <c r="X216" s="92" t="inlineStr">
        <is>
          <t>X (minimal hazard)</t>
        </is>
      </c>
      <c r="Y216" s="93" t="n">
        <v>0</v>
      </c>
      <c r="Z216" s="97">
        <f>W216/I216</f>
        <v/>
      </c>
      <c r="AA216" s="98">
        <f>MAX(0,(Y216-5000)/300)</f>
        <v/>
      </c>
      <c r="AB216" s="92" t="n"/>
      <c r="AC216" s="92" t="n">
        <v>0.2</v>
      </c>
      <c r="AD216" s="92" t="inlineStr">
        <is>
          <t>ok</t>
        </is>
      </c>
      <c r="AE216" s="92" t="inlineStr">
        <is>
          <t>Oversize 6-12k</t>
        </is>
      </c>
      <c r="AF216" s="96">
        <f>INDEX('Scoring Method'!$B$63:$B$71,MATCH(AE216,'Scoring Method'!$A$63:$A$71,0))+INDEX('Scoring Method'!$B$75:$B$79,MATCH("Insufficient &lt;2k",'Scoring Method'!$A$75:$A$79,0))+INDEX('Scoring Method'!$B$343:$B$347,MATCH(X216,'Scoring Method'!$A$343:$A$347,0))+INDEX('Scoring Method'!$B$25:$B$27,MATCH(P216,'Scoring Method'!$A$25:$A$27,0))</f>
        <v/>
      </c>
      <c r="AG216" s="96">
        <f>AF216*U216/100</f>
        <v/>
      </c>
      <c r="AH216" s="92" t="inlineStr">
        <is>
          <t>LINK-GIS + LoopNet</t>
        </is>
      </c>
      <c r="AI216" s="99" t="n">
        <v>39.07298</v>
      </c>
      <c r="AJ216" s="99" t="n">
        <v>-84.50525</v>
      </c>
      <c r="AK216" s="94" t="n">
        <v>1.04</v>
      </c>
      <c r="AL216" s="94" t="n">
        <v>1.25</v>
      </c>
      <c r="AM216" s="94" t="n">
        <v>2.01</v>
      </c>
      <c r="AN216" s="94" t="n">
        <v>0.82</v>
      </c>
      <c r="AO216" s="92" t="inlineStr">
        <is>
          <t>Fringe 0.75-1.25mi</t>
        </is>
      </c>
      <c r="AP216" s="92" t="inlineStr">
        <is>
          <t>Open span</t>
        </is>
      </c>
      <c r="AQ216" s="92" t="inlineStr">
        <is>
          <t>Insufficient &lt;2k</t>
        </is>
      </c>
      <c r="AR216" s="100" t="n"/>
      <c r="AS216" s="96">
        <f>ROUND(INDEX('Scoring Method'!$B$63:$B$70,MATCH(AE216,'Scoring Method'!$A$63:$A$70,0))*0.625+INDEX('Scoring Method'!$B$105:$B$113,MATCH(AP216,'Scoring Method'!$A$105:$A$113,0))+INDEX('Scoring Method'!$B$74:$B$78,MATCH(AQ216,'Scoring Method'!$A$74:$A$78,0))*0.6667+INDEX('Scoring Method'!$B$96:$B$101,MATCH(AO216,'Scoring Method'!$A$96:$A$101,0))+INDEX('Scoring Method'!$B$343:$B$347,MATCH(X216,'Scoring Method'!$A$343:$A$347,0))*0.3333+INDEX('Scoring Method'!$B$25:$B$27,MATCH(P216,'Scoring Method'!$A$25:$A$27,0))*0.3333,1)</f>
        <v/>
      </c>
      <c r="AT216" s="96">
        <f>AS216*U216/100</f>
        <v/>
      </c>
      <c r="AU216" s="92" t="inlineStr">
        <is>
          <t>Eastside</t>
        </is>
      </c>
      <c r="AV216" s="92" t="n">
        <v>28</v>
      </c>
      <c r="AW216" s="101" t="inlineStr">
        <is>
          <t>ESTIMATED</t>
        </is>
      </c>
      <c r="AX216" s="92" t="inlineStr">
        <is>
          <t>High &lt;35</t>
        </is>
      </c>
      <c r="AY216" s="96">
        <f>ROUND(INDEX('Scoring Method'!$B$132:$B$140,MATCH(AE216,'Scoring Method'!$A$132:$A$140,0))+INDEX('Scoring Method'!$B$144:$B$152,MATCH(AP216,'Scoring Method'!$A$144:$A$152,0))+INDEX('Scoring Method'!$B$156:$B$160,MATCH(AQ216,'Scoring Method'!$A$156:$A$160,0))+INDEX('Scoring Method'!$B$164:$B$169,MATCH(AO216,'Scoring Method'!$A$164:$A$169,0))+INDEX('Scoring Method'!$B$173:$B$178,MATCH(AX216,'Scoring Method'!$A$173:$A$178,0))+INDEX('Scoring Method'!$B$349:$B$353,MATCH(X216,'Scoring Method'!$A$349:$A$353,0))+INDEX('Scoring Method'!$B$188:$B$190,MATCH(P216,'Scoring Method'!$A$188:$A$190,0)),1)</f>
        <v/>
      </c>
      <c r="AZ216" s="96">
        <f>AY216*U216/100</f>
        <v/>
      </c>
      <c r="BA216" s="92" t="inlineStr">
        <is>
          <t>No chain signal</t>
        </is>
      </c>
      <c r="BB216" s="94" t="n">
        <v>1</v>
      </c>
      <c r="BC216" s="103" t="inlineStr">
        <is>
          <t>Extra small 0.15-0.25 AC</t>
        </is>
      </c>
      <c r="BD216" s="94" t="n">
        <v>0.8</v>
      </c>
      <c r="BE216" s="96">
        <f>ROUND(INDEX('Scoring Method'!$B$268:$B$276,MATCH(AE216,'Scoring Method'!$A$268:$A$276,0))+INDEX('Scoring Method'!$B$280:$B$288,MATCH(AP216,'Scoring Method'!$A$280:$A$288,0))+INDEX('Scoring Method'!$B$292:$B$296,MATCH(AQ216,'Scoring Method'!$A$292:$A$296,0))+INDEX('Scoring Method'!$B$300:$B$305,MATCH(AO216,'Scoring Method'!$A$300:$A$305,0))+INDEX('Scoring Method'!$B$309:$B$314,MATCH(AX216,'Scoring Method'!$A$309:$A$314,0))+INDEX('Scoring Method'!$B$337:$B$341,MATCH(X216,'Scoring Method'!$A$337:$A$341,0))+INDEX('Scoring Method'!$B$324:$B$326,MATCH(P216,'Scoring Method'!$A$324:$A$326,0)),1)</f>
        <v/>
      </c>
      <c r="BF216" s="96">
        <f>ROUND(INDEX('Scoring Method'!$B$268:$B$276,MATCH(AE216,'Scoring Method'!$A$268:$A$276,0))*BB216*BD216+INDEX('Scoring Method'!$B$280:$B$288,MATCH(AP216,'Scoring Method'!$A$280:$A$288,0))*BM216*BB216*BD216+INDEX('Scoring Method'!$B$292:$B$296,MATCH(AQ216,'Scoring Method'!$A$292:$A$296,0))*BD216+INDEX('Scoring Method'!$B$300:$B$305,MATCH(AO216,'Scoring Method'!$A$300:$A$305,0))*BM216*BB216+INDEX('Scoring Method'!$B$309:$B$314,MATCH(AX216,'Scoring Method'!$A$309:$A$314,0))+INDEX('Scoring Method'!$B$337:$B$341,MATCH(X216,'Scoring Method'!$A$337:$A$341,0))+INDEX('Scoring Method'!$B$324:$B$326,MATCH(P216,'Scoring Method'!$A$324:$A$326,0)),1)</f>
        <v/>
      </c>
      <c r="BG216" s="92" t="inlineStr">
        <is>
          <t>Fits (~$7,333/mo)</t>
        </is>
      </c>
      <c r="BH216" s="61" t="inlineStr">
        <is>
          <t>SU</t>
        </is>
      </c>
      <c r="BI216" s="61" t="inlineStr">
        <is>
          <t>Semi-Urban Residential</t>
        </is>
      </c>
      <c r="BJ216" s="61" t="inlineStr"/>
      <c r="BK216" s="61" t="inlineStr"/>
      <c r="BL216" s="61" t="inlineStr">
        <is>
          <t>SU corner unverified</t>
        </is>
      </c>
      <c r="BM216" s="61">
        <f>INDEX('Scoring Method'!$B$358:$B$363,MATCH(BL216,'Scoring Method'!$A$358:$A$363,0))</f>
        <v/>
      </c>
    </row>
    <row r="217" ht="15" customHeight="1" s="62">
      <c r="A217" s="92" t="n">
        <v>216</v>
      </c>
      <c r="B217" s="92" t="inlineStr">
        <is>
          <t>040-44-18-017.00</t>
        </is>
      </c>
      <c r="C217" s="92" t="inlineStr">
        <is>
          <t>500 W PIKE ST</t>
        </is>
      </c>
      <c r="D217" s="92" t="inlineStr">
        <is>
          <t>ISSA AHMAD G &amp; SALEH G</t>
        </is>
      </c>
      <c r="E217" s="92" t="inlineStr">
        <is>
          <t>500 PIKE ST</t>
        </is>
      </c>
      <c r="F217" s="92" t="inlineStr">
        <is>
          <t>COVINGTON</t>
        </is>
      </c>
      <c r="G217" s="92" t="inlineStr">
        <is>
          <t>KY</t>
        </is>
      </c>
      <c r="H217" s="92" t="inlineStr">
        <is>
          <t>AUTO SERVICE/REPAIR</t>
        </is>
      </c>
      <c r="I217" s="93" t="n">
        <v>9295</v>
      </c>
      <c r="J217" s="94">
        <f>I217/43560</f>
        <v/>
      </c>
      <c r="K217" s="93" t="n">
        <v>394.2</v>
      </c>
      <c r="L217" s="95">
        <f>I217/(K217^2)</f>
        <v/>
      </c>
      <c r="M217" s="92" t="inlineStr">
        <is>
          <t>Poor &lt;10k/&gt;60k</t>
        </is>
      </c>
      <c r="N217" s="92" t="inlineStr">
        <is>
          <t>A</t>
        </is>
      </c>
      <c r="O217" s="92" t="inlineStr">
        <is>
          <t>Compact &gt;=.055</t>
        </is>
      </c>
      <c r="P217" s="92" t="inlineStr">
        <is>
          <t>Moderate</t>
        </is>
      </c>
      <c r="Q217" s="92" t="inlineStr">
        <is>
          <t>Owner-occupied</t>
        </is>
      </c>
      <c r="R217" s="92" t="inlineStr">
        <is>
          <t>Individual</t>
        </is>
      </c>
      <c r="S217" s="92" t="n">
        <v>1</v>
      </c>
      <c r="T217" s="96">
        <f>INDEX('Scoring Method'!$B$6:$B$9,MATCH(M217,'Scoring Method'!$A$6:$A$9,0))+INDEX('Scoring Method'!$B$12:$B$16,MATCH(N217,'Scoring Method'!$A$12:$A$16,0))+INDEX('Scoring Method'!$B$19:$B$22,MATCH(O217,'Scoring Method'!$A$19:$A$22,0))+INDEX('Scoring Method'!$B$25:$B$27,MATCH(P217,'Scoring Method'!$A$25:$A$27,0))</f>
        <v/>
      </c>
      <c r="U217" s="96">
        <f>(INDEX('Scoring Method'!$B$30:$B$33,MATCH(Q217,'Scoring Method'!$A$30:$A$33,0))+INDEX('Scoring Method'!$B$36:$B$42,MATCH(R217,'Scoring Method'!$A$36:$A$42,0))+INDEX('Scoring Method'!$B$45:$B$47,MATCH(IF(S217=1,"1",IF(S217=2,"2","3+")),'Scoring Method'!$A$45:$A$47,0)))/90*100</f>
        <v/>
      </c>
      <c r="V217" s="96">
        <f>T217*U217/100</f>
        <v/>
      </c>
      <c r="W217" s="93" t="n">
        <v>1578</v>
      </c>
      <c r="X217" s="92" t="inlineStr">
        <is>
          <t>X (minimal hazard)</t>
        </is>
      </c>
      <c r="Y217" s="93" t="n">
        <v>6350</v>
      </c>
      <c r="Z217" s="97" t="n"/>
      <c r="AA217" s="98">
        <f>MAX(0,(Y217-5000)/300)</f>
        <v/>
      </c>
      <c r="AB217" s="92" t="n"/>
      <c r="AC217" s="92" t="n"/>
      <c r="AD217" s="92" t="n"/>
      <c r="AE217" s="92" t="inlineStr">
        <is>
          <t>Target 1.5-2.5k</t>
        </is>
      </c>
      <c r="AF217" s="96">
        <f>INDEX('Scoring Method'!$B$63:$B$71,MATCH(AE217,'Scoring Method'!$A$63:$A$71,0))+INDEX('Scoring Method'!$B$75:$B$79,MATCH("Adequate 5-8k",'Scoring Method'!$A$75:$A$79,0))+INDEX('Scoring Method'!$B$343:$B$347,MATCH(X217,'Scoring Method'!$A$343:$A$347,0))+INDEX('Scoring Method'!$B$25:$B$27,MATCH(P217,'Scoring Method'!$A$25:$A$27,0))</f>
        <v/>
      </c>
      <c r="AG217" s="96">
        <f>AF217*U217/100</f>
        <v/>
      </c>
      <c r="AH217" s="92" t="inlineStr">
        <is>
          <t>LINK-GIS + LoopNet (2026-08-02)</t>
        </is>
      </c>
      <c r="AI217" s="99" t="n">
        <v>39.07803</v>
      </c>
      <c r="AJ217" s="99" t="n">
        <v>-84.51776</v>
      </c>
      <c r="AK217" s="94" t="n">
        <v>0.44</v>
      </c>
      <c r="AL217" s="94" t="n">
        <v>1.02</v>
      </c>
      <c r="AM217" s="94" t="n">
        <v>1.65</v>
      </c>
      <c r="AN217" s="94" t="n">
        <v>0.44</v>
      </c>
      <c r="AO217" s="92" t="inlineStr">
        <is>
          <t>Near 0.35-0.75mi</t>
        </is>
      </c>
      <c r="AP217" s="92" t="inlineStr">
        <is>
          <t>Open span</t>
        </is>
      </c>
      <c r="AQ217" s="92" t="inlineStr">
        <is>
          <t>Adequate 5-8k</t>
        </is>
      </c>
      <c r="AR217" s="100" t="n"/>
      <c r="AS217" s="96">
        <f>ROUND(INDEX('Scoring Method'!$B$63:$B$70,MATCH(AE217,'Scoring Method'!$A$63:$A$70,0))*0.625+INDEX('Scoring Method'!$B$105:$B$113,MATCH(AP217,'Scoring Method'!$A$105:$A$113,0))+INDEX('Scoring Method'!$B$74:$B$78,MATCH(AQ217,'Scoring Method'!$A$74:$A$78,0))*0.6667+INDEX('Scoring Method'!$B$96:$B$101,MATCH(AO217,'Scoring Method'!$A$96:$A$101,0))+INDEX('Scoring Method'!$B$343:$B$347,MATCH(X217,'Scoring Method'!$A$343:$A$347,0))*0.3333+INDEX('Scoring Method'!$B$25:$B$27,MATCH(P217,'Scoring Method'!$A$25:$A$27,0))*0.3333,1)</f>
        <v/>
      </c>
      <c r="AT217" s="96">
        <f>AS217*U217/100</f>
        <v/>
      </c>
      <c r="AU217" s="92" t="inlineStr">
        <is>
          <t>Old Seminary Square</t>
        </is>
      </c>
      <c r="AV217" s="92" t="n">
        <v>35</v>
      </c>
      <c r="AW217" s="101" t="inlineStr">
        <is>
          <t>ESTIMATED</t>
        </is>
      </c>
      <c r="AX217" s="92" t="inlineStr">
        <is>
          <t>Elevated 35-44</t>
        </is>
      </c>
      <c r="AY217" s="96">
        <f>ROUND(INDEX('Scoring Method'!$B$132:$B$140,MATCH(AE217,'Scoring Method'!$A$132:$A$140,0))+INDEX('Scoring Method'!$B$144:$B$152,MATCH(AP217,'Scoring Method'!$A$144:$A$152,0))+INDEX('Scoring Method'!$B$156:$B$160,MATCH(AQ217,'Scoring Method'!$A$156:$A$160,0))+INDEX('Scoring Method'!$B$164:$B$169,MATCH(AO217,'Scoring Method'!$A$164:$A$169,0))+INDEX('Scoring Method'!$B$173:$B$178,MATCH(AX217,'Scoring Method'!$A$173:$A$178,0))+INDEX('Scoring Method'!$B$349:$B$353,MATCH(X217,'Scoring Method'!$A$349:$A$353,0))+INDEX('Scoring Method'!$B$188:$B$190,MATCH(P217,'Scoring Method'!$A$188:$A$190,0)),1)</f>
        <v/>
      </c>
      <c r="AZ217" s="96">
        <f>AY217*U217/100</f>
        <v/>
      </c>
      <c r="BA217" s="92" t="inlineStr">
        <is>
          <t>Owner-occupied operator</t>
        </is>
      </c>
      <c r="BB217" s="94" t="n">
        <v>0.8</v>
      </c>
      <c r="BC217" s="103" t="inlineStr">
        <is>
          <t>Extra small 0.15-0.25 AC</t>
        </is>
      </c>
      <c r="BD217" s="94" t="n">
        <v>0.8</v>
      </c>
      <c r="BE217" s="96">
        <f>ROUND(INDEX('Scoring Method'!$B$268:$B$276,MATCH(AE217,'Scoring Method'!$A$268:$A$276,0))+INDEX('Scoring Method'!$B$280:$B$288,MATCH(AP217,'Scoring Method'!$A$280:$A$288,0))+INDEX('Scoring Method'!$B$292:$B$296,MATCH(AQ217,'Scoring Method'!$A$292:$A$296,0))+INDEX('Scoring Method'!$B$300:$B$305,MATCH(AO217,'Scoring Method'!$A$300:$A$305,0))+INDEX('Scoring Method'!$B$309:$B$314,MATCH(AX217,'Scoring Method'!$A$309:$A$314,0))+INDEX('Scoring Method'!$B$337:$B$341,MATCH(X217,'Scoring Method'!$A$337:$A$341,0))+INDEX('Scoring Method'!$B$324:$B$326,MATCH(P217,'Scoring Method'!$A$324:$A$326,0)),1)</f>
        <v/>
      </c>
      <c r="BF217" s="96">
        <f>ROUND(INDEX('Scoring Method'!$B$268:$B$276,MATCH(AE217,'Scoring Method'!$A$268:$A$276,0))*BB217*BD217+INDEX('Scoring Method'!$B$280:$B$288,MATCH(AP217,'Scoring Method'!$A$280:$A$288,0))*BM217*BB217*BD217+INDEX('Scoring Method'!$B$292:$B$296,MATCH(AQ217,'Scoring Method'!$A$292:$A$296,0))*BD217+INDEX('Scoring Method'!$B$300:$B$305,MATCH(AO217,'Scoring Method'!$A$300:$A$305,0))*BM217*BB217+INDEX('Scoring Method'!$B$309:$B$314,MATCH(AX217,'Scoring Method'!$A$309:$A$314,0))+INDEX('Scoring Method'!$B$337:$B$341,MATCH(X217,'Scoring Method'!$A$337:$A$341,0))+INDEX('Scoring Method'!$B$324:$B$326,MATCH(P217,'Scoring Method'!$A$324:$A$326,0)),1)</f>
        <v/>
      </c>
      <c r="BG217" s="92" t="inlineStr">
        <is>
          <t>Fits (~$1,446/mo)</t>
        </is>
      </c>
      <c r="BH217" s="61" t="inlineStr">
        <is>
          <t>AUC</t>
        </is>
      </c>
      <c r="BI217" s="61" t="inlineStr">
        <is>
          <t>Auto-Urban Commercial</t>
        </is>
      </c>
      <c r="BJ217" s="61" t="inlineStr"/>
      <c r="BK217" s="61" t="inlineStr"/>
      <c r="BL217" s="61" t="inlineStr">
        <is>
          <t>Bar permitted</t>
        </is>
      </c>
      <c r="BM217" s="61">
        <f>INDEX('Scoring Method'!$B$358:$B$363,MATCH(BL217,'Scoring Method'!$A$358:$A$363,0))</f>
        <v/>
      </c>
    </row>
    <row r="218" ht="15" customHeight="1" s="62">
      <c r="A218" s="92" t="n">
        <v>217</v>
      </c>
      <c r="B218" s="92" t="inlineStr">
        <is>
          <t>054-12-07-001.00</t>
        </is>
      </c>
      <c r="C218" s="92" t="inlineStr">
        <is>
          <t>11 EAST RIVERCENTER BLVD</t>
        </is>
      </c>
      <c r="D218" s="92" t="inlineStr">
        <is>
          <t>NORTHERN KENTUCKY</t>
        </is>
      </c>
      <c r="E218" s="92" t="inlineStr">
        <is>
          <t>209 GREENUP ST STE 400</t>
        </is>
      </c>
      <c r="F218" s="92" t="inlineStr">
        <is>
          <t>COVINGTON</t>
        </is>
      </c>
      <c r="G218" s="92" t="inlineStr">
        <is>
          <t>KY</t>
        </is>
      </c>
      <c r="H218" s="92" t="inlineStr">
        <is>
          <t>PAVED LOT</t>
        </is>
      </c>
      <c r="I218" s="93" t="n">
        <v>82980</v>
      </c>
      <c r="J218" s="94">
        <f>I218/43560</f>
        <v/>
      </c>
      <c r="K218" s="93" t="n">
        <v>1216.8</v>
      </c>
      <c r="L218" s="95">
        <f>I218/(K218^2)</f>
        <v/>
      </c>
      <c r="M218" s="92" t="inlineStr">
        <is>
          <t>Poor &lt;10k/&gt;60k</t>
        </is>
      </c>
      <c r="N218" s="92" t="inlineStr">
        <is>
          <t>D</t>
        </is>
      </c>
      <c r="O218" s="92" t="inlineStr">
        <is>
          <t>Compact &gt;=.055</t>
        </is>
      </c>
      <c r="P218" s="92" t="inlineStr">
        <is>
          <t>Low</t>
        </is>
      </c>
      <c r="Q218" s="92" t="inlineStr">
        <is>
          <t>Local absentee</t>
        </is>
      </c>
      <c r="R218" s="92" t="inlineStr">
        <is>
          <t>Individual</t>
        </is>
      </c>
      <c r="S218" s="92" t="n">
        <v>1</v>
      </c>
      <c r="T218" s="96">
        <f>INDEX('Scoring Method'!$B$6:$B$9,MATCH(M218,'Scoring Method'!$A$6:$A$9,0))+INDEX('Scoring Method'!$B$12:$B$16,MATCH(N218,'Scoring Method'!$A$12:$A$16,0))+INDEX('Scoring Method'!$B$19:$B$22,MATCH(O218,'Scoring Method'!$A$19:$A$22,0))+INDEX('Scoring Method'!$B$25:$B$27,MATCH(P218,'Scoring Method'!$A$25:$A$27,0))</f>
        <v/>
      </c>
      <c r="U218" s="96">
        <f>(INDEX('Scoring Method'!$B$30:$B$33,MATCH(Q218,'Scoring Method'!$A$30:$A$33,0))+INDEX('Scoring Method'!$B$36:$B$42,MATCH(R218,'Scoring Method'!$A$36:$A$42,0))+INDEX('Scoring Method'!$B$45:$B$47,MATCH(IF(S218=1,"1",IF(S218=2,"2","3+")),'Scoring Method'!$A$45:$A$47,0)))/90*100</f>
        <v/>
      </c>
      <c r="V218" s="96">
        <f>T218*U218/100</f>
        <v/>
      </c>
      <c r="W218" s="93" t="n">
        <v>230</v>
      </c>
      <c r="X218" s="92" t="inlineStr">
        <is>
          <t>X (levee-protected)</t>
        </is>
      </c>
      <c r="Y218" s="93" t="n">
        <v>82450</v>
      </c>
      <c r="Z218" s="97" t="n"/>
      <c r="AA218" s="98">
        <f>MAX(0,(Y218-5000)/300)</f>
        <v/>
      </c>
      <c r="AB218" s="92" t="n"/>
      <c r="AC218" s="92" t="n"/>
      <c r="AD218" s="92" t="n"/>
      <c r="AE218" s="92" t="inlineStr">
        <is>
          <t>Too small &lt;1.2k</t>
        </is>
      </c>
      <c r="AF218" s="96">
        <f>INDEX('Scoring Method'!$B$63:$B$71,MATCH(AE218,'Scoring Method'!$A$63:$A$71,0))+INDEX('Scoring Method'!$B$75:$B$79,MATCH("Ample &gt;=15k",'Scoring Method'!$A$75:$A$79,0))+INDEX('Scoring Method'!$B$343:$B$347,MATCH(X218,'Scoring Method'!$A$343:$A$347,0))+INDEX('Scoring Method'!$B$25:$B$27,MATCH(P218,'Scoring Method'!$A$25:$A$27,0))</f>
        <v/>
      </c>
      <c r="AG218" s="96">
        <f>AF218*U218/100</f>
        <v/>
      </c>
      <c r="AH218" s="92" t="inlineStr">
        <is>
          <t>LINK-GIS only</t>
        </is>
      </c>
      <c r="AI218" s="99" t="n">
        <v>39.08936</v>
      </c>
      <c r="AJ218" s="99" t="n">
        <v>-84.51087</v>
      </c>
      <c r="AK218" s="94" t="n">
        <v>0.51</v>
      </c>
      <c r="AL218" s="94" t="n">
        <v>0.17</v>
      </c>
      <c r="AM218" s="94" t="n">
        <v>0.84</v>
      </c>
      <c r="AN218" s="94" t="n">
        <v>0.17</v>
      </c>
      <c r="AO218" s="92" t="inlineStr">
        <is>
          <t>Core &lt;=0.35mi</t>
        </is>
      </c>
      <c r="AP218" s="92" t="inlineStr">
        <is>
          <t>Lot / minimal bldg</t>
        </is>
      </c>
      <c r="AQ218" s="92" t="inlineStr">
        <is>
          <t>Ample &gt;=15k</t>
        </is>
      </c>
      <c r="AR218" s="100" t="n"/>
      <c r="AS218" s="96">
        <f>ROUND(INDEX('Scoring Method'!$B$63:$B$70,MATCH(AE218,'Scoring Method'!$A$63:$A$70,0))*0.625+INDEX('Scoring Method'!$B$105:$B$113,MATCH(AP218,'Scoring Method'!$A$105:$A$113,0))+INDEX('Scoring Method'!$B$74:$B$78,MATCH(AQ218,'Scoring Method'!$A$74:$A$78,0))*0.6667+INDEX('Scoring Method'!$B$96:$B$101,MATCH(AO218,'Scoring Method'!$A$96:$A$101,0))+INDEX('Scoring Method'!$B$343:$B$347,MATCH(X218,'Scoring Method'!$A$343:$A$347,0))*0.3333+INDEX('Scoring Method'!$B$25:$B$27,MATCH(P218,'Scoring Method'!$A$25:$A$27,0))*0.3333,1)</f>
        <v/>
      </c>
      <c r="AT218" s="96">
        <f>AS218*U218/100</f>
        <v/>
      </c>
      <c r="AU218" s="92" t="inlineStr">
        <is>
          <t>Central Business District</t>
        </is>
      </c>
      <c r="AV218" s="92" t="n">
        <v>48</v>
      </c>
      <c r="AW218" s="101" t="inlineStr">
        <is>
          <t>ESTIMATED</t>
        </is>
      </c>
      <c r="AX218" s="92" t="inlineStr">
        <is>
          <t>Mixed 45-59</t>
        </is>
      </c>
      <c r="AY218" s="96">
        <f>ROUND(INDEX('Scoring Method'!$B$132:$B$140,MATCH(AE218,'Scoring Method'!$A$132:$A$140,0))+INDEX('Scoring Method'!$B$144:$B$152,MATCH(AP218,'Scoring Method'!$A$144:$A$152,0))+INDEX('Scoring Method'!$B$156:$B$160,MATCH(AQ218,'Scoring Method'!$A$156:$A$160,0))+INDEX('Scoring Method'!$B$164:$B$169,MATCH(AO218,'Scoring Method'!$A$164:$A$169,0))+INDEX('Scoring Method'!$B$173:$B$178,MATCH(AX218,'Scoring Method'!$A$173:$A$178,0))+INDEX('Scoring Method'!$B$349:$B$353,MATCH(X218,'Scoring Method'!$A$349:$A$353,0))+INDEX('Scoring Method'!$B$188:$B$190,MATCH(P218,'Scoring Method'!$A$188:$A$190,0)),1)</f>
        <v/>
      </c>
      <c r="AZ218" s="96">
        <f>AY218*U218/100</f>
        <v/>
      </c>
      <c r="BA218" s="92" t="inlineStr">
        <is>
          <t>No chain signal</t>
        </is>
      </c>
      <c r="BB218" s="94" t="n">
        <v>1</v>
      </c>
      <c r="BC218" s="103" t="inlineStr">
        <is>
          <t>Oversized &gt;1.25 AC</t>
        </is>
      </c>
      <c r="BD218" s="94" t="n">
        <v>0.65</v>
      </c>
      <c r="BE218" s="96">
        <f>ROUND(INDEX('Scoring Method'!$B$268:$B$276,MATCH(AE218,'Scoring Method'!$A$268:$A$276,0))+INDEX('Scoring Method'!$B$280:$B$288,MATCH(AP218,'Scoring Method'!$A$280:$A$288,0))+INDEX('Scoring Method'!$B$292:$B$296,MATCH(AQ218,'Scoring Method'!$A$292:$A$296,0))+INDEX('Scoring Method'!$B$300:$B$305,MATCH(AO218,'Scoring Method'!$A$300:$A$305,0))+INDEX('Scoring Method'!$B$309:$B$314,MATCH(AX218,'Scoring Method'!$A$309:$A$314,0))+INDEX('Scoring Method'!$B$337:$B$341,MATCH(X218,'Scoring Method'!$A$337:$A$341,0))+INDEX('Scoring Method'!$B$324:$B$326,MATCH(P218,'Scoring Method'!$A$324:$A$326,0)),1)</f>
        <v/>
      </c>
      <c r="BF218" s="96">
        <f>ROUND(INDEX('Scoring Method'!$B$268:$B$276,MATCH(AE218,'Scoring Method'!$A$268:$A$276,0))*BB218*BD218+INDEX('Scoring Method'!$B$280:$B$288,MATCH(AP218,'Scoring Method'!$A$280:$A$288,0))*BM218*BB218*BD218+INDEX('Scoring Method'!$B$292:$B$296,MATCH(AQ218,'Scoring Method'!$A$292:$A$296,0))*BD218+INDEX('Scoring Method'!$B$300:$B$305,MATCH(AO218,'Scoring Method'!$A$300:$A$305,0))*BM218*BB218+INDEX('Scoring Method'!$B$309:$B$314,MATCH(AX218,'Scoring Method'!$A$309:$A$314,0))+INDEX('Scoring Method'!$B$337:$B$341,MATCH(X218,'Scoring Method'!$A$337:$A$341,0))+INDEX('Scoring Method'!$B$324:$B$326,MATCH(P218,'Scoring Method'!$A$324:$A$326,0)),1)</f>
        <v/>
      </c>
      <c r="BG218" s="92" t="inlineStr">
        <is>
          <t>Fits (~$211/mo)</t>
        </is>
      </c>
      <c r="BH218" s="61" t="inlineStr">
        <is>
          <t>DTR</t>
        </is>
      </c>
      <c r="BI218" s="61" t="inlineStr">
        <is>
          <t>Downtown Riverfront</t>
        </is>
      </c>
      <c r="BJ218" s="61" t="inlineStr"/>
      <c r="BK218" s="61" t="inlineStr"/>
      <c r="BL218" s="61" t="inlineStr">
        <is>
          <t>Bar permitted</t>
        </is>
      </c>
      <c r="BM218" s="61">
        <f>INDEX('Scoring Method'!$B$358:$B$363,MATCH(BL218,'Scoring Method'!$A$358:$A$363,0))</f>
        <v/>
      </c>
    </row>
    <row r="219" ht="15" customHeight="1" s="62">
      <c r="A219" s="92" t="n">
        <v>218</v>
      </c>
      <c r="B219" s="92" t="inlineStr">
        <is>
          <t>055-11-11-015.00</t>
        </is>
      </c>
      <c r="C219" s="92" t="inlineStr">
        <is>
          <t>1523 MAY ST</t>
        </is>
      </c>
      <c r="D219" s="92" t="inlineStr">
        <is>
          <t>LARSON LOUIS &amp; MILLICENT S</t>
        </is>
      </c>
      <c r="E219" s="92" t="inlineStr">
        <is>
          <t>1521 ST CLAIR ST</t>
        </is>
      </c>
      <c r="F219" s="92" t="inlineStr">
        <is>
          <t>COVINGTON</t>
        </is>
      </c>
      <c r="G219" s="92" t="inlineStr">
        <is>
          <t>KY</t>
        </is>
      </c>
      <c r="H219" s="92" t="inlineStr">
        <is>
          <t>GARAGE/PARKING SPACE</t>
        </is>
      </c>
      <c r="I219" s="93" t="n">
        <v>9698</v>
      </c>
      <c r="J219" s="94">
        <f>I219/43560</f>
        <v/>
      </c>
      <c r="K219" s="93" t="n">
        <v>396</v>
      </c>
      <c r="L219" s="95">
        <f>I219/(K219^2)</f>
        <v/>
      </c>
      <c r="M219" s="92" t="inlineStr">
        <is>
          <t>Poor &lt;10k/&gt;60k</t>
        </is>
      </c>
      <c r="N219" s="92" t="inlineStr">
        <is>
          <t>D</t>
        </is>
      </c>
      <c r="O219" s="92" t="inlineStr">
        <is>
          <t>Compact &gt;=.055</t>
        </is>
      </c>
      <c r="P219" s="92" t="inlineStr">
        <is>
          <t>Low</t>
        </is>
      </c>
      <c r="Q219" s="92" t="inlineStr">
        <is>
          <t>Local absentee</t>
        </is>
      </c>
      <c r="R219" s="92" t="inlineStr">
        <is>
          <t>Individual</t>
        </is>
      </c>
      <c r="S219" s="92" t="n">
        <v>1</v>
      </c>
      <c r="T219" s="96">
        <f>INDEX('Scoring Method'!$B$6:$B$9,MATCH(M219,'Scoring Method'!$A$6:$A$9,0))+INDEX('Scoring Method'!$B$12:$B$16,MATCH(N219,'Scoring Method'!$A$12:$A$16,0))+INDEX('Scoring Method'!$B$19:$B$22,MATCH(O219,'Scoring Method'!$A$19:$A$22,0))+INDEX('Scoring Method'!$B$25:$B$27,MATCH(P219,'Scoring Method'!$A$25:$A$27,0))</f>
        <v/>
      </c>
      <c r="U219" s="96">
        <f>(INDEX('Scoring Method'!$B$30:$B$33,MATCH(Q219,'Scoring Method'!$A$30:$A$33,0))+INDEX('Scoring Method'!$B$36:$B$42,MATCH(R219,'Scoring Method'!$A$36:$A$42,0))+INDEX('Scoring Method'!$B$45:$B$47,MATCH(IF(S219=1,"1",IF(S219=2,"2","3+")),'Scoring Method'!$A$45:$A$47,0)))/90*100</f>
        <v/>
      </c>
      <c r="V219" s="96">
        <f>T219*U219/100</f>
        <v/>
      </c>
      <c r="W219" s="93" t="n">
        <v>4015</v>
      </c>
      <c r="X219" s="92" t="inlineStr">
        <is>
          <t>X (minimal hazard)</t>
        </is>
      </c>
      <c r="Y219" s="93" t="n">
        <v>6925</v>
      </c>
      <c r="Z219" s="97" t="n"/>
      <c r="AA219" s="98">
        <f>MAX(0,(Y219-5000)/300)</f>
        <v/>
      </c>
      <c r="AB219" s="92" t="n"/>
      <c r="AC219" s="92" t="n"/>
      <c r="AD219" s="92" t="n"/>
      <c r="AE219" s="92" t="inlineStr">
        <is>
          <t>Large 4-6k</t>
        </is>
      </c>
      <c r="AF219" s="96">
        <f>INDEX('Scoring Method'!$B$63:$B$71,MATCH(AE219,'Scoring Method'!$A$63:$A$71,0))+INDEX('Scoring Method'!$B$75:$B$79,MATCH("Adequate 5-8k",'Scoring Method'!$A$75:$A$79,0))+INDEX('Scoring Method'!$B$343:$B$347,MATCH(X219,'Scoring Method'!$A$343:$A$347,0))+INDEX('Scoring Method'!$B$25:$B$27,MATCH(P219,'Scoring Method'!$A$25:$A$27,0))</f>
        <v/>
      </c>
      <c r="AG219" s="96">
        <f>AF219*U219/100</f>
        <v/>
      </c>
      <c r="AH219" s="92" t="inlineStr">
        <is>
          <t>LINK-GIS + LoopNet (2026-08-02)</t>
        </is>
      </c>
      <c r="AI219" s="99" t="n">
        <v>39.07178</v>
      </c>
      <c r="AJ219" s="99" t="n">
        <v>-84.51501</v>
      </c>
      <c r="AK219" s="94" t="n">
        <v>0.89</v>
      </c>
      <c r="AL219" s="94" t="n">
        <v>1.36</v>
      </c>
      <c r="AM219" s="94" t="n">
        <v>2.06</v>
      </c>
      <c r="AN219" s="94" t="n">
        <v>0.87</v>
      </c>
      <c r="AO219" s="92" t="inlineStr">
        <is>
          <t>Fringe 0.75-1.25mi</t>
        </is>
      </c>
      <c r="AP219" s="92" t="inlineStr">
        <is>
          <t>Lot / minimal bldg</t>
        </is>
      </c>
      <c r="AQ219" s="92" t="inlineStr">
        <is>
          <t>Adequate 5-8k</t>
        </is>
      </c>
      <c r="AR219" s="100" t="n"/>
      <c r="AS219" s="96">
        <f>ROUND(INDEX('Scoring Method'!$B$63:$B$70,MATCH(AE219,'Scoring Method'!$A$63:$A$70,0))*0.625+INDEX('Scoring Method'!$B$105:$B$113,MATCH(AP219,'Scoring Method'!$A$105:$A$113,0))+INDEX('Scoring Method'!$B$74:$B$78,MATCH(AQ219,'Scoring Method'!$A$74:$A$78,0))*0.6667+INDEX('Scoring Method'!$B$96:$B$101,MATCH(AO219,'Scoring Method'!$A$96:$A$101,0))+INDEX('Scoring Method'!$B$343:$B$347,MATCH(X219,'Scoring Method'!$A$343:$A$347,0))*0.3333+INDEX('Scoring Method'!$B$25:$B$27,MATCH(P219,'Scoring Method'!$A$25:$A$27,0))*0.3333,1)</f>
        <v/>
      </c>
      <c r="AT219" s="96">
        <f>AS219*U219/100</f>
        <v/>
      </c>
      <c r="AU219" s="92" t="inlineStr">
        <is>
          <t>Old Seminary Square</t>
        </is>
      </c>
      <c r="AV219" s="92" t="n">
        <v>35</v>
      </c>
      <c r="AW219" s="101" t="inlineStr">
        <is>
          <t>ESTIMATED</t>
        </is>
      </c>
      <c r="AX219" s="92" t="inlineStr">
        <is>
          <t>Elevated 35-44</t>
        </is>
      </c>
      <c r="AY219" s="96">
        <f>ROUND(INDEX('Scoring Method'!$B$132:$B$140,MATCH(AE219,'Scoring Method'!$A$132:$A$140,0))+INDEX('Scoring Method'!$B$144:$B$152,MATCH(AP219,'Scoring Method'!$A$144:$A$152,0))+INDEX('Scoring Method'!$B$156:$B$160,MATCH(AQ219,'Scoring Method'!$A$156:$A$160,0))+INDEX('Scoring Method'!$B$164:$B$169,MATCH(AO219,'Scoring Method'!$A$164:$A$169,0))+INDEX('Scoring Method'!$B$173:$B$178,MATCH(AX219,'Scoring Method'!$A$173:$A$178,0))+INDEX('Scoring Method'!$B$349:$B$353,MATCH(X219,'Scoring Method'!$A$349:$A$353,0))+INDEX('Scoring Method'!$B$188:$B$190,MATCH(P219,'Scoring Method'!$A$188:$A$190,0)),1)</f>
        <v/>
      </c>
      <c r="AZ219" s="96">
        <f>AY219*U219/100</f>
        <v/>
      </c>
      <c r="BA219" s="92" t="inlineStr">
        <is>
          <t>No chain signal</t>
        </is>
      </c>
      <c r="BB219" s="94" t="n">
        <v>1</v>
      </c>
      <c r="BC219" s="103" t="inlineStr">
        <is>
          <t>Extra small 0.15-0.25 AC</t>
        </is>
      </c>
      <c r="BD219" s="94" t="n">
        <v>0.8</v>
      </c>
      <c r="BE219" s="96">
        <f>ROUND(INDEX('Scoring Method'!$B$268:$B$276,MATCH(AE219,'Scoring Method'!$A$268:$A$276,0))+INDEX('Scoring Method'!$B$280:$B$288,MATCH(AP219,'Scoring Method'!$A$280:$A$288,0))+INDEX('Scoring Method'!$B$292:$B$296,MATCH(AQ219,'Scoring Method'!$A$292:$A$296,0))+INDEX('Scoring Method'!$B$300:$B$305,MATCH(AO219,'Scoring Method'!$A$300:$A$305,0))+INDEX('Scoring Method'!$B$309:$B$314,MATCH(AX219,'Scoring Method'!$A$309:$A$314,0))+INDEX('Scoring Method'!$B$337:$B$341,MATCH(X219,'Scoring Method'!$A$337:$A$341,0))+INDEX('Scoring Method'!$B$324:$B$326,MATCH(P219,'Scoring Method'!$A$324:$A$326,0)),1)</f>
        <v/>
      </c>
      <c r="BF219" s="96">
        <f>ROUND(INDEX('Scoring Method'!$B$268:$B$276,MATCH(AE219,'Scoring Method'!$A$268:$A$276,0))*BB219*BD219+INDEX('Scoring Method'!$B$280:$B$288,MATCH(AP219,'Scoring Method'!$A$280:$A$288,0))*BM219*BB219*BD219+INDEX('Scoring Method'!$B$292:$B$296,MATCH(AQ219,'Scoring Method'!$A$292:$A$296,0))*BD219+INDEX('Scoring Method'!$B$300:$B$305,MATCH(AO219,'Scoring Method'!$A$300:$A$305,0))*BM219*BB219+INDEX('Scoring Method'!$B$309:$B$314,MATCH(AX219,'Scoring Method'!$A$309:$A$314,0))+INDEX('Scoring Method'!$B$337:$B$341,MATCH(X219,'Scoring Method'!$A$337:$A$341,0))+INDEX('Scoring Method'!$B$324:$B$326,MATCH(P219,'Scoring Method'!$A$324:$A$326,0)),1)</f>
        <v/>
      </c>
      <c r="BG219" s="92" t="inlineStr">
        <is>
          <t>Fits (~$3,680/mo)</t>
        </is>
      </c>
      <c r="BH219" s="61" t="inlineStr">
        <is>
          <t>SU</t>
        </is>
      </c>
      <c r="BI219" s="61" t="inlineStr">
        <is>
          <t>Semi-Urban Residential</t>
        </is>
      </c>
      <c r="BJ219" s="61" t="inlineStr"/>
      <c r="BK219" s="61" t="inlineStr"/>
      <c r="BL219" s="61" t="inlineStr">
        <is>
          <t>SU corner unverified</t>
        </is>
      </c>
      <c r="BM219" s="61">
        <f>INDEX('Scoring Method'!$B$358:$B$363,MATCH(BL219,'Scoring Method'!$A$358:$A$363,0))</f>
        <v/>
      </c>
    </row>
    <row r="220" ht="15" customHeight="1" s="62">
      <c r="A220" s="92" t="n">
        <v>219</v>
      </c>
      <c r="B220" s="92" t="inlineStr">
        <is>
          <t>055-12-16-029.00</t>
        </is>
      </c>
      <c r="C220" s="92" t="inlineStr">
        <is>
          <t>1715 LAWN ST</t>
        </is>
      </c>
      <c r="D220" s="92" t="inlineStr">
        <is>
          <t>KEY JEANETTE</t>
        </is>
      </c>
      <c r="E220" s="92" t="inlineStr">
        <is>
          <t>335 W 17TH ST</t>
        </is>
      </c>
      <c r="F220" s="92" t="inlineStr">
        <is>
          <t>COVINGTON</t>
        </is>
      </c>
      <c r="G220" s="92" t="inlineStr">
        <is>
          <t>KY</t>
        </is>
      </c>
      <c r="H220" s="92" t="inlineStr">
        <is>
          <t>GARAGE/PARKING SPACE</t>
        </is>
      </c>
      <c r="I220" s="93" t="n">
        <v>8115</v>
      </c>
      <c r="J220" s="94">
        <f>I220/43560</f>
        <v/>
      </c>
      <c r="K220" s="93" t="n">
        <v>376.2</v>
      </c>
      <c r="L220" s="95">
        <f>I220/(K220^2)</f>
        <v/>
      </c>
      <c r="M220" s="92" t="inlineStr">
        <is>
          <t>Poor &lt;10k/&gt;60k</t>
        </is>
      </c>
      <c r="N220" s="92" t="inlineStr">
        <is>
          <t>D</t>
        </is>
      </c>
      <c r="O220" s="92" t="inlineStr">
        <is>
          <t>Compact &gt;=.055</t>
        </is>
      </c>
      <c r="P220" s="92" t="inlineStr">
        <is>
          <t>Low</t>
        </is>
      </c>
      <c r="Q220" s="92" t="inlineStr">
        <is>
          <t>Local absentee</t>
        </is>
      </c>
      <c r="R220" s="92" t="inlineStr">
        <is>
          <t>Individual</t>
        </is>
      </c>
      <c r="S220" s="92" t="n">
        <v>1</v>
      </c>
      <c r="T220" s="96">
        <f>INDEX('Scoring Method'!$B$6:$B$9,MATCH(M220,'Scoring Method'!$A$6:$A$9,0))+INDEX('Scoring Method'!$B$12:$B$16,MATCH(N220,'Scoring Method'!$A$12:$A$16,0))+INDEX('Scoring Method'!$B$19:$B$22,MATCH(O220,'Scoring Method'!$A$19:$A$22,0))+INDEX('Scoring Method'!$B$25:$B$27,MATCH(P220,'Scoring Method'!$A$25:$A$27,0))</f>
        <v/>
      </c>
      <c r="U220" s="96">
        <f>(INDEX('Scoring Method'!$B$30:$B$33,MATCH(Q220,'Scoring Method'!$A$30:$A$33,0))+INDEX('Scoring Method'!$B$36:$B$42,MATCH(R220,'Scoring Method'!$A$36:$A$42,0))+INDEX('Scoring Method'!$B$45:$B$47,MATCH(IF(S220=1,"1",IF(S220=2,"2","3+")),'Scoring Method'!$A$45:$A$47,0)))/90*100</f>
        <v/>
      </c>
      <c r="V220" s="96">
        <f>T220*U220/100</f>
        <v/>
      </c>
      <c r="W220" s="93" t="n">
        <v>500</v>
      </c>
      <c r="X220" s="92" t="inlineStr">
        <is>
          <t>X (minimal hazard)</t>
        </is>
      </c>
      <c r="Y220" s="93" t="n">
        <v>6725</v>
      </c>
      <c r="Z220" s="97">
        <f>W220/I220</f>
        <v/>
      </c>
      <c r="AA220" s="98">
        <f>MAX(0,(Y220-5000)/300)</f>
        <v/>
      </c>
      <c r="AB220" s="92" t="n"/>
      <c r="AC220" s="92" t="n">
        <v>0.23</v>
      </c>
      <c r="AD220" s="92" t="inlineStr">
        <is>
          <t>ok</t>
        </is>
      </c>
      <c r="AE220" s="92" t="inlineStr">
        <is>
          <t>Too small &lt;1.2k</t>
        </is>
      </c>
      <c r="AF220" s="96">
        <f>INDEX('Scoring Method'!$B$63:$B$71,MATCH(AE220,'Scoring Method'!$A$63:$A$71,0))+INDEX('Scoring Method'!$B$75:$B$79,MATCH("Adequate 5-8k",'Scoring Method'!$A$75:$A$79,0))+INDEX('Scoring Method'!$B$343:$B$347,MATCH(X220,'Scoring Method'!$A$343:$A$347,0))+INDEX('Scoring Method'!$B$25:$B$27,MATCH(P220,'Scoring Method'!$A$25:$A$27,0))</f>
        <v/>
      </c>
      <c r="AG220" s="96">
        <f>AF220*U220/100</f>
        <v/>
      </c>
      <c r="AH220" s="92" t="inlineStr">
        <is>
          <t>LINK-GIS + LoopNet</t>
        </is>
      </c>
      <c r="AI220" s="99" t="n">
        <v>39.069</v>
      </c>
      <c r="AJ220" s="99" t="n">
        <v>-84.51378</v>
      </c>
      <c r="AK220" s="94" t="n">
        <v>1.09</v>
      </c>
      <c r="AL220" s="94" t="n">
        <v>1.54</v>
      </c>
      <c r="AM220" s="94" t="n">
        <v>2.25</v>
      </c>
      <c r="AN220" s="94" t="n">
        <v>1.04</v>
      </c>
      <c r="AO220" s="92" t="inlineStr">
        <is>
          <t>Fringe 0.75-1.25mi</t>
        </is>
      </c>
      <c r="AP220" s="92" t="inlineStr">
        <is>
          <t>Lot / minimal bldg</t>
        </is>
      </c>
      <c r="AQ220" s="92" t="inlineStr">
        <is>
          <t>Adequate 5-8k</t>
        </is>
      </c>
      <c r="AR220" s="100" t="n"/>
      <c r="AS220" s="96">
        <f>ROUND(INDEX('Scoring Method'!$B$63:$B$70,MATCH(AE220,'Scoring Method'!$A$63:$A$70,0))*0.625+INDEX('Scoring Method'!$B$105:$B$113,MATCH(AP220,'Scoring Method'!$A$105:$A$113,0))+INDEX('Scoring Method'!$B$74:$B$78,MATCH(AQ220,'Scoring Method'!$A$74:$A$78,0))*0.6667+INDEX('Scoring Method'!$B$96:$B$101,MATCH(AO220,'Scoring Method'!$A$96:$A$101,0))+INDEX('Scoring Method'!$B$343:$B$347,MATCH(X220,'Scoring Method'!$A$343:$A$347,0))*0.3333+INDEX('Scoring Method'!$B$25:$B$27,MATCH(P220,'Scoring Method'!$A$25:$A$27,0))*0.3333,1)</f>
        <v/>
      </c>
      <c r="AT220" s="96">
        <f>AS220*U220/100</f>
        <v/>
      </c>
      <c r="AU220" s="92" t="inlineStr">
        <is>
          <t>Latonia</t>
        </is>
      </c>
      <c r="AV220" s="92" t="n">
        <v>78</v>
      </c>
      <c r="AW220" s="92" t="inlineStr">
        <is>
          <t>Sourced</t>
        </is>
      </c>
      <c r="AX220" s="92" t="inlineStr">
        <is>
          <t>Safe 70-79</t>
        </is>
      </c>
      <c r="AY220" s="96">
        <f>ROUND(INDEX('Scoring Method'!$B$132:$B$140,MATCH(AE220,'Scoring Method'!$A$132:$A$140,0))+INDEX('Scoring Method'!$B$144:$B$152,MATCH(AP220,'Scoring Method'!$A$144:$A$152,0))+INDEX('Scoring Method'!$B$156:$B$160,MATCH(AQ220,'Scoring Method'!$A$156:$A$160,0))+INDEX('Scoring Method'!$B$164:$B$169,MATCH(AO220,'Scoring Method'!$A$164:$A$169,0))+INDEX('Scoring Method'!$B$173:$B$178,MATCH(AX220,'Scoring Method'!$A$173:$A$178,0))+INDEX('Scoring Method'!$B$349:$B$353,MATCH(X220,'Scoring Method'!$A$349:$A$353,0))+INDEX('Scoring Method'!$B$188:$B$190,MATCH(P220,'Scoring Method'!$A$188:$A$190,0)),1)</f>
        <v/>
      </c>
      <c r="AZ220" s="96">
        <f>AY220*U220/100</f>
        <v/>
      </c>
      <c r="BA220" s="92" t="inlineStr">
        <is>
          <t>No chain signal</t>
        </is>
      </c>
      <c r="BB220" s="94" t="n">
        <v>1</v>
      </c>
      <c r="BC220" s="103" t="inlineStr">
        <is>
          <t>Extra small 0.15-0.25 AC</t>
        </is>
      </c>
      <c r="BD220" s="94" t="n">
        <v>0.8</v>
      </c>
      <c r="BE220" s="96">
        <f>ROUND(INDEX('Scoring Method'!$B$268:$B$276,MATCH(AE220,'Scoring Method'!$A$268:$A$276,0))+INDEX('Scoring Method'!$B$280:$B$288,MATCH(AP220,'Scoring Method'!$A$280:$A$288,0))+INDEX('Scoring Method'!$B$292:$B$296,MATCH(AQ220,'Scoring Method'!$A$292:$A$296,0))+INDEX('Scoring Method'!$B$300:$B$305,MATCH(AO220,'Scoring Method'!$A$300:$A$305,0))+INDEX('Scoring Method'!$B$309:$B$314,MATCH(AX220,'Scoring Method'!$A$309:$A$314,0))+INDEX('Scoring Method'!$B$337:$B$341,MATCH(X220,'Scoring Method'!$A$337:$A$341,0))+INDEX('Scoring Method'!$B$324:$B$326,MATCH(P220,'Scoring Method'!$A$324:$A$326,0)),1)</f>
        <v/>
      </c>
      <c r="BF220" s="96">
        <f>ROUND(INDEX('Scoring Method'!$B$268:$B$276,MATCH(AE220,'Scoring Method'!$A$268:$A$276,0))*BB220*BD220+INDEX('Scoring Method'!$B$280:$B$288,MATCH(AP220,'Scoring Method'!$A$280:$A$288,0))*BM220*BB220*BD220+INDEX('Scoring Method'!$B$292:$B$296,MATCH(AQ220,'Scoring Method'!$A$292:$A$296,0))*BD220+INDEX('Scoring Method'!$B$300:$B$305,MATCH(AO220,'Scoring Method'!$A$300:$A$305,0))*BM220*BB220+INDEX('Scoring Method'!$B$309:$B$314,MATCH(AX220,'Scoring Method'!$A$309:$A$314,0))+INDEX('Scoring Method'!$B$337:$B$341,MATCH(X220,'Scoring Method'!$A$337:$A$341,0))+INDEX('Scoring Method'!$B$324:$B$326,MATCH(P220,'Scoring Method'!$A$324:$A$326,0)),1)</f>
        <v/>
      </c>
      <c r="BG220" s="92" t="inlineStr">
        <is>
          <t>Fits (~$458/mo)</t>
        </is>
      </c>
      <c r="BH220" s="61" t="inlineStr">
        <is>
          <t>SU</t>
        </is>
      </c>
      <c r="BI220" s="61" t="inlineStr">
        <is>
          <t>Semi-Urban Residential</t>
        </is>
      </c>
      <c r="BJ220" s="61" t="inlineStr"/>
      <c r="BK220" s="61" t="inlineStr"/>
      <c r="BL220" s="61" t="inlineStr">
        <is>
          <t>SU corner unverified</t>
        </is>
      </c>
      <c r="BM220" s="61">
        <f>INDEX('Scoring Method'!$B$358:$B$363,MATCH(BL220,'Scoring Method'!$A$358:$A$363,0))</f>
        <v/>
      </c>
    </row>
    <row r="221" ht="15" customHeight="1" s="62">
      <c r="A221" s="92" t="n">
        <v>220</v>
      </c>
      <c r="B221" s="92" t="inlineStr">
        <is>
          <t>055-13-02-011.01</t>
        </is>
      </c>
      <c r="C221" s="92" t="inlineStr">
        <is>
          <t>RUSSELL ST</t>
        </is>
      </c>
      <c r="D221" s="92" t="inlineStr">
        <is>
          <t>JRW HOLDINGS LLC</t>
        </is>
      </c>
      <c r="E221" s="92" t="inlineStr">
        <is>
          <t>1850 AUGUSTINE ST STE C</t>
        </is>
      </c>
      <c r="F221" s="92" t="inlineStr">
        <is>
          <t>COVINGTON</t>
        </is>
      </c>
      <c r="G221" s="92" t="inlineStr">
        <is>
          <t>KY</t>
        </is>
      </c>
      <c r="H221" s="92" t="inlineStr">
        <is>
          <t>PAVED LOT</t>
        </is>
      </c>
      <c r="I221" s="93" t="n">
        <v>13681</v>
      </c>
      <c r="J221" s="94">
        <f>I221/43560</f>
        <v/>
      </c>
      <c r="K221" s="93" t="n">
        <v>717</v>
      </c>
      <c r="L221" s="95">
        <f>I221/(K221^2)</f>
        <v/>
      </c>
      <c r="M221" s="92" t="inlineStr">
        <is>
          <t>Marginal 10-14k/45-60k</t>
        </is>
      </c>
      <c r="N221" s="92" t="inlineStr">
        <is>
          <t>D</t>
        </is>
      </c>
      <c r="O221" s="92" t="inlineStr">
        <is>
          <t>Irregular &lt;.035</t>
        </is>
      </c>
      <c r="P221" s="92" t="inlineStr">
        <is>
          <t>Low</t>
        </is>
      </c>
      <c r="Q221" s="92" t="inlineStr">
        <is>
          <t>Local absentee</t>
        </is>
      </c>
      <c r="R221" s="92" t="inlineStr">
        <is>
          <t>Passive vehicle</t>
        </is>
      </c>
      <c r="S221" s="92" t="n">
        <v>3</v>
      </c>
      <c r="T221" s="96">
        <f>INDEX('Scoring Method'!$B$6:$B$9,MATCH(M221,'Scoring Method'!$A$6:$A$9,0))+INDEX('Scoring Method'!$B$12:$B$16,MATCH(N221,'Scoring Method'!$A$12:$A$16,0))+INDEX('Scoring Method'!$B$19:$B$22,MATCH(O221,'Scoring Method'!$A$19:$A$22,0))+INDEX('Scoring Method'!$B$25:$B$27,MATCH(P221,'Scoring Method'!$A$25:$A$27,0))</f>
        <v/>
      </c>
      <c r="U221" s="96">
        <f>(INDEX('Scoring Method'!$B$30:$B$33,MATCH(Q221,'Scoring Method'!$A$30:$A$33,0))+INDEX('Scoring Method'!$B$36:$B$42,MATCH(R221,'Scoring Method'!$A$36:$A$42,0))+INDEX('Scoring Method'!$B$45:$B$47,MATCH(IF(S221=1,"1",IF(S221=2,"2","3+")),'Scoring Method'!$A$45:$A$47,0)))/90*100</f>
        <v/>
      </c>
      <c r="V221" s="96">
        <f>T221*U221/100</f>
        <v/>
      </c>
      <c r="W221" s="93" t="n">
        <v>731</v>
      </c>
      <c r="X221" s="92" t="inlineStr">
        <is>
          <t>X (minimal hazard)</t>
        </is>
      </c>
      <c r="Y221" s="93" t="n">
        <v>12650</v>
      </c>
      <c r="Z221" s="97" t="n"/>
      <c r="AA221" s="98">
        <f>MAX(0,(Y221-5000)/300)</f>
        <v/>
      </c>
      <c r="AB221" s="92" t="n"/>
      <c r="AC221" s="92" t="n"/>
      <c r="AD221" s="92" t="n"/>
      <c r="AE221" s="92" t="inlineStr">
        <is>
          <t>Too small &lt;1.2k</t>
        </is>
      </c>
      <c r="AF221" s="96">
        <f>INDEX('Scoring Method'!$B$63:$B$71,MATCH(AE221,'Scoring Method'!$A$63:$A$71,0))+INDEX('Scoring Method'!$B$75:$B$79,MATCH("Good 8-15k",'Scoring Method'!$A$75:$A$79,0))+INDEX('Scoring Method'!$B$343:$B$347,MATCH(X221,'Scoring Method'!$A$343:$A$347,0))+INDEX('Scoring Method'!$B$25:$B$27,MATCH(P221,'Scoring Method'!$A$25:$A$27,0))</f>
        <v/>
      </c>
      <c r="AG221" s="96">
        <f>AF221*U221/100</f>
        <v/>
      </c>
      <c r="AH221" s="92" t="inlineStr">
        <is>
          <t>LINK-GIS only</t>
        </is>
      </c>
      <c r="AI221" s="99" t="n">
        <v>39.06812</v>
      </c>
      <c r="AJ221" s="99" t="n">
        <v>-84.50905</v>
      </c>
      <c r="AK221" s="94" t="n">
        <v>1.22</v>
      </c>
      <c r="AL221" s="94" t="n">
        <v>1.57</v>
      </c>
      <c r="AM221" s="94" t="n">
        <v>2.31</v>
      </c>
      <c r="AN221" s="94" t="n">
        <v>1.1</v>
      </c>
      <c r="AO221" s="92" t="inlineStr">
        <is>
          <t>Fringe 0.75-1.25mi</t>
        </is>
      </c>
      <c r="AP221" s="92" t="inlineStr">
        <is>
          <t>Lot / minimal bldg</t>
        </is>
      </c>
      <c r="AQ221" s="92" t="inlineStr">
        <is>
          <t>Good 8-15k</t>
        </is>
      </c>
      <c r="AR221" s="100" t="n"/>
      <c r="AS221" s="96">
        <f>ROUND(INDEX('Scoring Method'!$B$63:$B$70,MATCH(AE221,'Scoring Method'!$A$63:$A$70,0))*0.625+INDEX('Scoring Method'!$B$105:$B$113,MATCH(AP221,'Scoring Method'!$A$105:$A$113,0))+INDEX('Scoring Method'!$B$74:$B$78,MATCH(AQ221,'Scoring Method'!$A$74:$A$78,0))*0.6667+INDEX('Scoring Method'!$B$96:$B$101,MATCH(AO221,'Scoring Method'!$A$96:$A$101,0))+INDEX('Scoring Method'!$B$343:$B$347,MATCH(X221,'Scoring Method'!$A$343:$A$347,0))*0.3333+INDEX('Scoring Method'!$B$25:$B$27,MATCH(P221,'Scoring Method'!$A$25:$A$27,0))*0.3333,1)</f>
        <v/>
      </c>
      <c r="AT221" s="96">
        <f>AS221*U221/100</f>
        <v/>
      </c>
      <c r="AU221" s="92" t="inlineStr">
        <is>
          <t>Levassor Park</t>
        </is>
      </c>
      <c r="AV221" s="92" t="n">
        <v>42</v>
      </c>
      <c r="AW221" s="101" t="inlineStr">
        <is>
          <t>ESTIMATED</t>
        </is>
      </c>
      <c r="AX221" s="92" t="inlineStr">
        <is>
          <t>Elevated 35-44</t>
        </is>
      </c>
      <c r="AY221" s="96">
        <f>ROUND(INDEX('Scoring Method'!$B$132:$B$140,MATCH(AE221,'Scoring Method'!$A$132:$A$140,0))+INDEX('Scoring Method'!$B$144:$B$152,MATCH(AP221,'Scoring Method'!$A$144:$A$152,0))+INDEX('Scoring Method'!$B$156:$B$160,MATCH(AQ221,'Scoring Method'!$A$156:$A$160,0))+INDEX('Scoring Method'!$B$164:$B$169,MATCH(AO221,'Scoring Method'!$A$164:$A$169,0))+INDEX('Scoring Method'!$B$173:$B$178,MATCH(AX221,'Scoring Method'!$A$173:$A$178,0))+INDEX('Scoring Method'!$B$349:$B$353,MATCH(X221,'Scoring Method'!$A$349:$A$353,0))+INDEX('Scoring Method'!$B$188:$B$190,MATCH(P221,'Scoring Method'!$A$188:$A$190,0)),1)</f>
        <v/>
      </c>
      <c r="AZ221" s="96">
        <f>AY221*U221/100</f>
        <v/>
      </c>
      <c r="BA221" s="92" t="inlineStr">
        <is>
          <t>No chain signal</t>
        </is>
      </c>
      <c r="BB221" s="94" t="n">
        <v>1</v>
      </c>
      <c r="BC221" s="102" t="inlineStr">
        <is>
          <t>Small 0.25-0.35 AC</t>
        </is>
      </c>
      <c r="BD221" s="94" t="n">
        <v>0.9</v>
      </c>
      <c r="BE221" s="96">
        <f>ROUND(INDEX('Scoring Method'!$B$268:$B$276,MATCH(AE221,'Scoring Method'!$A$268:$A$276,0))+INDEX('Scoring Method'!$B$280:$B$288,MATCH(AP221,'Scoring Method'!$A$280:$A$288,0))+INDEX('Scoring Method'!$B$292:$B$296,MATCH(AQ221,'Scoring Method'!$A$292:$A$296,0))+INDEX('Scoring Method'!$B$300:$B$305,MATCH(AO221,'Scoring Method'!$A$300:$A$305,0))+INDEX('Scoring Method'!$B$309:$B$314,MATCH(AX221,'Scoring Method'!$A$309:$A$314,0))+INDEX('Scoring Method'!$B$337:$B$341,MATCH(X221,'Scoring Method'!$A$337:$A$341,0))+INDEX('Scoring Method'!$B$324:$B$326,MATCH(P221,'Scoring Method'!$A$324:$A$326,0)),1)</f>
        <v/>
      </c>
      <c r="BF221" s="96">
        <f>ROUND(INDEX('Scoring Method'!$B$268:$B$276,MATCH(AE221,'Scoring Method'!$A$268:$A$276,0))*BB221*BD221+INDEX('Scoring Method'!$B$280:$B$288,MATCH(AP221,'Scoring Method'!$A$280:$A$288,0))*BM221*BB221*BD221+INDEX('Scoring Method'!$B$292:$B$296,MATCH(AQ221,'Scoring Method'!$A$292:$A$296,0))*BD221+INDEX('Scoring Method'!$B$300:$B$305,MATCH(AO221,'Scoring Method'!$A$300:$A$305,0))*BM221*BB221+INDEX('Scoring Method'!$B$309:$B$314,MATCH(AX221,'Scoring Method'!$A$309:$A$314,0))+INDEX('Scoring Method'!$B$337:$B$341,MATCH(X221,'Scoring Method'!$A$337:$A$341,0))+INDEX('Scoring Method'!$B$324:$B$326,MATCH(P221,'Scoring Method'!$A$324:$A$326,0)),1)</f>
        <v/>
      </c>
      <c r="BG221" s="92" t="inlineStr">
        <is>
          <t>Fits (~$670/mo)</t>
        </is>
      </c>
      <c r="BH221" s="61" t="inlineStr">
        <is>
          <t>LI</t>
        </is>
      </c>
      <c r="BI221" s="61" t="inlineStr">
        <is>
          <t>Limited Industrial</t>
        </is>
      </c>
      <c r="BJ221" s="61" t="inlineStr"/>
      <c r="BK221" s="61" t="inlineStr"/>
      <c r="BL221" s="61" t="inlineStr">
        <is>
          <t>Bar prohibited, alt-path</t>
        </is>
      </c>
      <c r="BM221" s="61">
        <f>INDEX('Scoring Method'!$B$358:$B$363,MATCH(BL221,'Scoring Method'!$A$358:$A$363,0))</f>
        <v/>
      </c>
    </row>
    <row r="222" ht="15" customHeight="1" s="62">
      <c r="A222" s="92" t="n">
        <v>221</v>
      </c>
      <c r="B222" s="92" t="inlineStr">
        <is>
          <t>040-44-17-022.00</t>
        </is>
      </c>
      <c r="C222" s="92" t="inlineStr">
        <is>
          <t>504 FRY ST</t>
        </is>
      </c>
      <c r="D222" s="92" t="inlineStr">
        <is>
          <t>HOUSING OPPORTUNITIES OF</t>
        </is>
      </c>
      <c r="E222" s="92" t="inlineStr">
        <is>
          <t>502 FRY ST</t>
        </is>
      </c>
      <c r="F222" s="92" t="inlineStr">
        <is>
          <t>COVINGTON</t>
        </is>
      </c>
      <c r="G222" s="92" t="inlineStr">
        <is>
          <t>KY</t>
        </is>
      </c>
      <c r="H222" s="92" t="inlineStr">
        <is>
          <t>MIXED USE</t>
        </is>
      </c>
      <c r="I222" s="93" t="n">
        <v>23578</v>
      </c>
      <c r="J222" s="94">
        <f>I222/43560</f>
        <v/>
      </c>
      <c r="K222" s="93" t="n">
        <v>681.1</v>
      </c>
      <c r="L222" s="95">
        <f>I222/(K222^2)</f>
        <v/>
      </c>
      <c r="M222" s="92" t="inlineStr">
        <is>
          <t>Ideal 18-32k</t>
        </is>
      </c>
      <c r="N222" s="92" t="inlineStr">
        <is>
          <t>C</t>
        </is>
      </c>
      <c r="O222" s="92" t="inlineStr">
        <is>
          <t>Regular .045-.055</t>
        </is>
      </c>
      <c r="P222" s="92" t="inlineStr">
        <is>
          <t>Low</t>
        </is>
      </c>
      <c r="Q222" s="92" t="inlineStr">
        <is>
          <t>Local absentee</t>
        </is>
      </c>
      <c r="R222" s="92" t="inlineStr">
        <is>
          <t>Nonprofit/Inst</t>
        </is>
      </c>
      <c r="S222" s="92" t="n">
        <v>1</v>
      </c>
      <c r="T222" s="96">
        <f>INDEX('Scoring Method'!$B$6:$B$9,MATCH(M222,'Scoring Method'!$A$6:$A$9,0))+INDEX('Scoring Method'!$B$12:$B$16,MATCH(N222,'Scoring Method'!$A$12:$A$16,0))+INDEX('Scoring Method'!$B$19:$B$22,MATCH(O222,'Scoring Method'!$A$19:$A$22,0))+INDEX('Scoring Method'!$B$25:$B$27,MATCH(P222,'Scoring Method'!$A$25:$A$27,0))</f>
        <v/>
      </c>
      <c r="U222" s="96">
        <f>(INDEX('Scoring Method'!$B$30:$B$33,MATCH(Q222,'Scoring Method'!$A$30:$A$33,0))+INDEX('Scoring Method'!$B$36:$B$42,MATCH(R222,'Scoring Method'!$A$36:$A$42,0))+INDEX('Scoring Method'!$B$45:$B$47,MATCH(IF(S222=1,"1",IF(S222=2,"2","3+")),'Scoring Method'!$A$45:$A$47,0)))/90*100</f>
        <v/>
      </c>
      <c r="V222" s="96">
        <f>T222*U222/100</f>
        <v/>
      </c>
      <c r="W222" s="93" t="n"/>
      <c r="X222" s="92" t="inlineStr">
        <is>
          <t>X (minimal hazard)</t>
        </is>
      </c>
      <c r="Y222" s="93" t="n">
        <v>12100</v>
      </c>
      <c r="Z222" s="97" t="n"/>
      <c r="AA222" s="98" t="n"/>
      <c r="AB222" s="92" t="n"/>
      <c r="AC222" s="92" t="n">
        <v>0.55</v>
      </c>
      <c r="AD222" s="92" t="inlineStr">
        <is>
          <t>ok</t>
        </is>
      </c>
      <c r="AE222" s="92" t="inlineStr">
        <is>
          <t>No building</t>
        </is>
      </c>
      <c r="AF222" s="96">
        <f>INDEX('Scoring Method'!$B$63:$B$71,MATCH(AE222,'Scoring Method'!$A$63:$A$71,0))+INDEX('Scoring Method'!$B$75:$B$79,MATCH("Good 8-15k",'Scoring Method'!$A$75:$A$79,0))+INDEX('Scoring Method'!$B$343:$B$347,MATCH(X222,'Scoring Method'!$A$343:$A$347,0))+INDEX('Scoring Method'!$B$25:$B$27,MATCH(P222,'Scoring Method'!$A$25:$A$27,0))</f>
        <v/>
      </c>
      <c r="AG222" s="96">
        <f>AF222*U222/100</f>
        <v/>
      </c>
      <c r="AH222" s="92" t="inlineStr">
        <is>
          <t>LINK-GIS + LoopNet</t>
        </is>
      </c>
      <c r="AI222" s="99" t="n">
        <v>39.07929</v>
      </c>
      <c r="AJ222" s="99" t="n">
        <v>-84.51864</v>
      </c>
      <c r="AK222" s="94" t="n">
        <v>0.36</v>
      </c>
      <c r="AL222" s="94" t="n">
        <v>0.97</v>
      </c>
      <c r="AM222" s="94" t="n">
        <v>1.57</v>
      </c>
      <c r="AN222" s="94" t="n">
        <v>0.36</v>
      </c>
      <c r="AO222" s="92" t="inlineStr">
        <is>
          <t>Near 0.35-0.75mi</t>
        </is>
      </c>
      <c r="AP222" s="92" t="inlineStr">
        <is>
          <t>Retail shell</t>
        </is>
      </c>
      <c r="AQ222" s="92" t="inlineStr">
        <is>
          <t>Good 8-15k</t>
        </is>
      </c>
      <c r="AR222" s="100" t="n"/>
      <c r="AS222" s="96">
        <f>ROUND(INDEX('Scoring Method'!$B$63:$B$70,MATCH(AE222,'Scoring Method'!$A$63:$A$70,0))*0.625+INDEX('Scoring Method'!$B$105:$B$113,MATCH(AP222,'Scoring Method'!$A$105:$A$113,0))+INDEX('Scoring Method'!$B$74:$B$78,MATCH(AQ222,'Scoring Method'!$A$74:$A$78,0))*0.6667+INDEX('Scoring Method'!$B$96:$B$101,MATCH(AO222,'Scoring Method'!$A$96:$A$101,0))+INDEX('Scoring Method'!$B$343:$B$347,MATCH(X222,'Scoring Method'!$A$343:$A$347,0))*0.3333+INDEX('Scoring Method'!$B$25:$B$27,MATCH(P222,'Scoring Method'!$A$25:$A$27,0))*0.3333,1)</f>
        <v/>
      </c>
      <c r="AT222" s="96">
        <f>AS222*U222/100</f>
        <v/>
      </c>
      <c r="AU222" s="92" t="inlineStr">
        <is>
          <t>MainStrasse</t>
        </is>
      </c>
      <c r="AV222" s="92" t="n">
        <v>75</v>
      </c>
      <c r="AW222" s="92" t="inlineStr">
        <is>
          <t>Sourced</t>
        </is>
      </c>
      <c r="AX222" s="92" t="inlineStr">
        <is>
          <t>Safe 70-79</t>
        </is>
      </c>
      <c r="AY222" s="96">
        <f>ROUND(INDEX('Scoring Method'!$B$132:$B$140,MATCH(AE222,'Scoring Method'!$A$132:$A$140,0))+INDEX('Scoring Method'!$B$144:$B$152,MATCH(AP222,'Scoring Method'!$A$144:$A$152,0))+INDEX('Scoring Method'!$B$156:$B$160,MATCH(AQ222,'Scoring Method'!$A$156:$A$160,0))+INDEX('Scoring Method'!$B$164:$B$169,MATCH(AO222,'Scoring Method'!$A$164:$A$169,0))+INDEX('Scoring Method'!$B$173:$B$178,MATCH(AX222,'Scoring Method'!$A$173:$A$178,0))+INDEX('Scoring Method'!$B$349:$B$353,MATCH(X222,'Scoring Method'!$A$349:$A$353,0))+INDEX('Scoring Method'!$B$188:$B$190,MATCH(P222,'Scoring Method'!$A$188:$A$190,0)),1)</f>
        <v/>
      </c>
      <c r="AZ222" s="96">
        <f>AY222*U222/100</f>
        <v/>
      </c>
      <c r="BA222" s="92" t="inlineStr">
        <is>
          <t>No chain signal</t>
        </is>
      </c>
      <c r="BB222" s="94" t="n">
        <v>1</v>
      </c>
      <c r="BC222" s="92" t="inlineStr">
        <is>
          <t>Right-sized 0.35-0.75 AC</t>
        </is>
      </c>
      <c r="BD222" s="94" t="n">
        <v>1</v>
      </c>
      <c r="BE222" s="96">
        <f>ROUND(INDEX('Scoring Method'!$B$268:$B$276,MATCH(AE222,'Scoring Method'!$A$268:$A$276,0))+INDEX('Scoring Method'!$B$280:$B$288,MATCH(AP222,'Scoring Method'!$A$280:$A$288,0))+INDEX('Scoring Method'!$B$292:$B$296,MATCH(AQ222,'Scoring Method'!$A$292:$A$296,0))+INDEX('Scoring Method'!$B$300:$B$305,MATCH(AO222,'Scoring Method'!$A$300:$A$305,0))+INDEX('Scoring Method'!$B$309:$B$314,MATCH(AX222,'Scoring Method'!$A$309:$A$314,0))+INDEX('Scoring Method'!$B$337:$B$341,MATCH(X222,'Scoring Method'!$A$337:$A$341,0))+INDEX('Scoring Method'!$B$324:$B$326,MATCH(P222,'Scoring Method'!$A$324:$A$326,0)),1)</f>
        <v/>
      </c>
      <c r="BF222" s="96">
        <f>ROUND(INDEX('Scoring Method'!$B$268:$B$276,MATCH(AE222,'Scoring Method'!$A$268:$A$276,0))*BB222*BD222+INDEX('Scoring Method'!$B$280:$B$288,MATCH(AP222,'Scoring Method'!$A$280:$A$288,0))*BM222*BB222*BD222+INDEX('Scoring Method'!$B$292:$B$296,MATCH(AQ222,'Scoring Method'!$A$292:$A$296,0))*BD222+INDEX('Scoring Method'!$B$300:$B$305,MATCH(AO222,'Scoring Method'!$A$300:$A$305,0))*BM222*BB222+INDEX('Scoring Method'!$B$309:$B$314,MATCH(AX222,'Scoring Method'!$A$309:$A$314,0))+INDEX('Scoring Method'!$B$337:$B$341,MATCH(X222,'Scoring Method'!$A$337:$A$341,0))+INDEX('Scoring Method'!$B$324:$B$326,MATCH(P222,'Scoring Method'!$A$324:$A$326,0)),1)</f>
        <v/>
      </c>
      <c r="BG222" s="92" t="n"/>
      <c r="BH222" s="61" t="inlineStr">
        <is>
          <t>TUR (HP)</t>
        </is>
      </c>
      <c r="BI222" s="61" t="inlineStr">
        <is>
          <t>Traditional Urban Residential</t>
        </is>
      </c>
      <c r="BJ222" s="61" t="inlineStr">
        <is>
          <t>HP</t>
        </is>
      </c>
      <c r="BK222" s="61" t="inlineStr"/>
      <c r="BL222" s="61" t="inlineStr">
        <is>
          <t>Bar prohibited, alt-path</t>
        </is>
      </c>
      <c r="BM222" s="61">
        <f>INDEX('Scoring Method'!$B$358:$B$363,MATCH(BL222,'Scoring Method'!$A$358:$A$363,0))</f>
        <v/>
      </c>
    </row>
    <row r="223" ht="15" customHeight="1" s="62">
      <c r="A223" s="92" t="n">
        <v>222</v>
      </c>
      <c r="B223" s="92" t="inlineStr">
        <is>
          <t>054-22-07-018.01</t>
        </is>
      </c>
      <c r="C223" s="92" t="inlineStr">
        <is>
          <t>338 W PIKE ST</t>
        </is>
      </c>
      <c r="D223" s="92" t="inlineStr">
        <is>
          <t>SCHAMER ENTERPRISES INC</t>
        </is>
      </c>
      <c r="E223" s="92" t="inlineStr">
        <is>
          <t>350 PIKE ST</t>
        </is>
      </c>
      <c r="F223" s="92" t="inlineStr">
        <is>
          <t>COVINGTON</t>
        </is>
      </c>
      <c r="G223" s="92" t="inlineStr">
        <is>
          <t>KY</t>
        </is>
      </c>
      <c r="H223" s="92" t="inlineStr">
        <is>
          <t>LAND/W MISCELLANEOUS IMPROVEMENT</t>
        </is>
      </c>
      <c r="I223" s="93" t="n">
        <v>8599</v>
      </c>
      <c r="J223" s="94">
        <f>I223/43560</f>
        <v/>
      </c>
      <c r="K223" s="93" t="n">
        <v>425.1</v>
      </c>
      <c r="L223" s="95">
        <f>I223/(K223^2)</f>
        <v/>
      </c>
      <c r="M223" s="92" t="inlineStr">
        <is>
          <t>Poor &lt;10k/&gt;60k</t>
        </is>
      </c>
      <c r="N223" s="92" t="inlineStr">
        <is>
          <t>D</t>
        </is>
      </c>
      <c r="O223" s="92" t="inlineStr">
        <is>
          <t>Regular .045-.055</t>
        </is>
      </c>
      <c r="P223" s="92" t="inlineStr">
        <is>
          <t>Low</t>
        </is>
      </c>
      <c r="Q223" s="92" t="inlineStr">
        <is>
          <t>Local absentee</t>
        </is>
      </c>
      <c r="R223" s="92" t="inlineStr">
        <is>
          <t>Passive vehicle</t>
        </is>
      </c>
      <c r="S223" s="92" t="n">
        <v>2</v>
      </c>
      <c r="T223" s="96">
        <f>INDEX('Scoring Method'!$B$6:$B$9,MATCH(M223,'Scoring Method'!$A$6:$A$9,0))+INDEX('Scoring Method'!$B$12:$B$16,MATCH(N223,'Scoring Method'!$A$12:$A$16,0))+INDEX('Scoring Method'!$B$19:$B$22,MATCH(O223,'Scoring Method'!$A$19:$A$22,0))+INDEX('Scoring Method'!$B$25:$B$27,MATCH(P223,'Scoring Method'!$A$25:$A$27,0))</f>
        <v/>
      </c>
      <c r="U223" s="96">
        <f>(INDEX('Scoring Method'!$B$30:$B$33,MATCH(Q223,'Scoring Method'!$A$30:$A$33,0))+INDEX('Scoring Method'!$B$36:$B$42,MATCH(R223,'Scoring Method'!$A$36:$A$42,0))+INDEX('Scoring Method'!$B$45:$B$47,MATCH(IF(S223=1,"1",IF(S223=2,"2","3+")),'Scoring Method'!$A$45:$A$47,0)))/90*100</f>
        <v/>
      </c>
      <c r="V223" s="96">
        <f>T223*U223/100</f>
        <v/>
      </c>
      <c r="W223" s="93" t="n"/>
      <c r="X223" s="92" t="inlineStr">
        <is>
          <t>X (minimal hazard)</t>
        </is>
      </c>
      <c r="Y223" s="93" t="n">
        <v>7450</v>
      </c>
      <c r="Z223" s="97" t="n"/>
      <c r="AA223" s="98" t="n"/>
      <c r="AB223" s="92" t="n"/>
      <c r="AC223" s="92" t="n">
        <v>0.21</v>
      </c>
      <c r="AD223" s="92" t="inlineStr">
        <is>
          <t>ok</t>
        </is>
      </c>
      <c r="AE223" s="92" t="inlineStr">
        <is>
          <t>No building</t>
        </is>
      </c>
      <c r="AF223" s="96">
        <f>INDEX('Scoring Method'!$B$63:$B$71,MATCH(AE223,'Scoring Method'!$A$63:$A$71,0))+INDEX('Scoring Method'!$B$75:$B$79,MATCH("Adequate 5-8k",'Scoring Method'!$A$75:$A$79,0))+INDEX('Scoring Method'!$B$343:$B$347,MATCH(X223,'Scoring Method'!$A$343:$A$347,0))+INDEX('Scoring Method'!$B$25:$B$27,MATCH(P223,'Scoring Method'!$A$25:$A$27,0))</f>
        <v/>
      </c>
      <c r="AG223" s="96">
        <f>AF223*U223/100</f>
        <v/>
      </c>
      <c r="AH223" s="92" t="inlineStr">
        <is>
          <t>LINK-GIS + LoopNet</t>
        </is>
      </c>
      <c r="AI223" s="99" t="n">
        <v>39.07975</v>
      </c>
      <c r="AJ223" s="99" t="n">
        <v>-84.51625</v>
      </c>
      <c r="AK223" s="94" t="n">
        <v>0.33</v>
      </c>
      <c r="AL223" s="94" t="n">
        <v>0.88</v>
      </c>
      <c r="AM223" s="94" t="n">
        <v>1.52</v>
      </c>
      <c r="AN223" s="94" t="n">
        <v>0.33</v>
      </c>
      <c r="AO223" s="92" t="inlineStr">
        <is>
          <t>Core &lt;=0.35mi</t>
        </is>
      </c>
      <c r="AP223" s="92" t="inlineStr">
        <is>
          <t>Lot / minimal bldg</t>
        </is>
      </c>
      <c r="AQ223" s="92" t="inlineStr">
        <is>
          <t>Adequate 5-8k</t>
        </is>
      </c>
      <c r="AR223" s="100" t="n"/>
      <c r="AS223" s="96">
        <f>ROUND(INDEX('Scoring Method'!$B$63:$B$70,MATCH(AE223,'Scoring Method'!$A$63:$A$70,0))*0.625+INDEX('Scoring Method'!$B$105:$B$113,MATCH(AP223,'Scoring Method'!$A$105:$A$113,0))+INDEX('Scoring Method'!$B$74:$B$78,MATCH(AQ223,'Scoring Method'!$A$74:$A$78,0))*0.6667+INDEX('Scoring Method'!$B$96:$B$101,MATCH(AO223,'Scoring Method'!$A$96:$A$101,0))+INDEX('Scoring Method'!$B$343:$B$347,MATCH(X223,'Scoring Method'!$A$343:$A$347,0))*0.3333+INDEX('Scoring Method'!$B$25:$B$27,MATCH(P223,'Scoring Method'!$A$25:$A$27,0))*0.3333,1)</f>
        <v/>
      </c>
      <c r="AT223" s="96">
        <f>AS223*U223/100</f>
        <v/>
      </c>
      <c r="AU223" s="92" t="inlineStr">
        <is>
          <t>MainStrasse</t>
        </is>
      </c>
      <c r="AV223" s="92" t="n">
        <v>75</v>
      </c>
      <c r="AW223" s="92" t="inlineStr">
        <is>
          <t>Sourced</t>
        </is>
      </c>
      <c r="AX223" s="92" t="inlineStr">
        <is>
          <t>Safe 70-79</t>
        </is>
      </c>
      <c r="AY223" s="96">
        <f>ROUND(INDEX('Scoring Method'!$B$132:$B$140,MATCH(AE223,'Scoring Method'!$A$132:$A$140,0))+INDEX('Scoring Method'!$B$144:$B$152,MATCH(AP223,'Scoring Method'!$A$144:$A$152,0))+INDEX('Scoring Method'!$B$156:$B$160,MATCH(AQ223,'Scoring Method'!$A$156:$A$160,0))+INDEX('Scoring Method'!$B$164:$B$169,MATCH(AO223,'Scoring Method'!$A$164:$A$169,0))+INDEX('Scoring Method'!$B$173:$B$178,MATCH(AX223,'Scoring Method'!$A$173:$A$178,0))+INDEX('Scoring Method'!$B$349:$B$353,MATCH(X223,'Scoring Method'!$A$349:$A$353,0))+INDEX('Scoring Method'!$B$188:$B$190,MATCH(P223,'Scoring Method'!$A$188:$A$190,0)),1)</f>
        <v/>
      </c>
      <c r="AZ223" s="96">
        <f>AY223*U223/100</f>
        <v/>
      </c>
      <c r="BA223" s="92" t="inlineStr">
        <is>
          <t>No chain signal</t>
        </is>
      </c>
      <c r="BB223" s="94" t="n">
        <v>1</v>
      </c>
      <c r="BC223" s="103" t="inlineStr">
        <is>
          <t>Extra small 0.15-0.25 AC</t>
        </is>
      </c>
      <c r="BD223" s="94" t="n">
        <v>0.8</v>
      </c>
      <c r="BE223" s="96">
        <f>ROUND(INDEX('Scoring Method'!$B$268:$B$276,MATCH(AE223,'Scoring Method'!$A$268:$A$276,0))+INDEX('Scoring Method'!$B$280:$B$288,MATCH(AP223,'Scoring Method'!$A$280:$A$288,0))+INDEX('Scoring Method'!$B$292:$B$296,MATCH(AQ223,'Scoring Method'!$A$292:$A$296,0))+INDEX('Scoring Method'!$B$300:$B$305,MATCH(AO223,'Scoring Method'!$A$300:$A$305,0))+INDEX('Scoring Method'!$B$309:$B$314,MATCH(AX223,'Scoring Method'!$A$309:$A$314,0))+INDEX('Scoring Method'!$B$337:$B$341,MATCH(X223,'Scoring Method'!$A$337:$A$341,0))+INDEX('Scoring Method'!$B$324:$B$326,MATCH(P223,'Scoring Method'!$A$324:$A$326,0)),1)</f>
        <v/>
      </c>
      <c r="BF223" s="96">
        <f>ROUND(INDEX('Scoring Method'!$B$268:$B$276,MATCH(AE223,'Scoring Method'!$A$268:$A$276,0))*BB223*BD223+INDEX('Scoring Method'!$B$280:$B$288,MATCH(AP223,'Scoring Method'!$A$280:$A$288,0))*BM223*BB223*BD223+INDEX('Scoring Method'!$B$292:$B$296,MATCH(AQ223,'Scoring Method'!$A$292:$A$296,0))*BD223+INDEX('Scoring Method'!$B$300:$B$305,MATCH(AO223,'Scoring Method'!$A$300:$A$305,0))*BM223*BB223+INDEX('Scoring Method'!$B$309:$B$314,MATCH(AX223,'Scoring Method'!$A$309:$A$314,0))+INDEX('Scoring Method'!$B$337:$B$341,MATCH(X223,'Scoring Method'!$A$337:$A$341,0))+INDEX('Scoring Method'!$B$324:$B$326,MATCH(P223,'Scoring Method'!$A$324:$A$326,0)),1)</f>
        <v/>
      </c>
      <c r="BG223" s="92" t="n"/>
      <c r="BH223" s="61" t="inlineStr">
        <is>
          <t>DTC (HP)</t>
        </is>
      </c>
      <c r="BI223" s="61" t="inlineStr">
        <is>
          <t>Downtown Core</t>
        </is>
      </c>
      <c r="BJ223" s="61" t="inlineStr">
        <is>
          <t>HP</t>
        </is>
      </c>
      <c r="BK223" s="61" t="inlineStr"/>
      <c r="BL223" s="61" t="inlineStr">
        <is>
          <t>Bar permitted</t>
        </is>
      </c>
      <c r="BM223" s="61">
        <f>INDEX('Scoring Method'!$B$358:$B$363,MATCH(BL223,'Scoring Method'!$A$358:$A$363,0))</f>
        <v/>
      </c>
    </row>
    <row r="224" ht="15" customHeight="1" s="62">
      <c r="A224" s="92" t="n">
        <v>223</v>
      </c>
      <c r="B224" s="92" t="inlineStr">
        <is>
          <t>056-32-03-003.00</t>
        </is>
      </c>
      <c r="C224" s="92" t="inlineStr">
        <is>
          <t>3721 DECOURSEY AVE</t>
        </is>
      </c>
      <c r="D224" s="92" t="inlineStr">
        <is>
          <t>LATONIA BAPTIST CHURCH INC</t>
        </is>
      </c>
      <c r="E224" s="92" t="inlineStr">
        <is>
          <t>3800 CHURCH ST</t>
        </is>
      </c>
      <c r="F224" s="92" t="inlineStr">
        <is>
          <t>COVINGTON</t>
        </is>
      </c>
      <c r="G224" s="92" t="inlineStr">
        <is>
          <t>KY</t>
        </is>
      </c>
      <c r="H224" s="92" t="inlineStr">
        <is>
          <t>PAVED LOT</t>
        </is>
      </c>
      <c r="I224" s="93" t="n">
        <v>10862</v>
      </c>
      <c r="J224" s="94">
        <f>I224/43560</f>
        <v/>
      </c>
      <c r="K224" s="93" t="n">
        <v>460.1</v>
      </c>
      <c r="L224" s="95">
        <f>I224/(K224^2)</f>
        <v/>
      </c>
      <c r="M224" s="92" t="inlineStr">
        <is>
          <t>Marginal 10-14k/45-60k</t>
        </is>
      </c>
      <c r="N224" s="92" t="inlineStr">
        <is>
          <t>D</t>
        </is>
      </c>
      <c r="O224" s="92" t="inlineStr">
        <is>
          <t>Regular .045-.055</t>
        </is>
      </c>
      <c r="P224" s="92" t="inlineStr">
        <is>
          <t>Low</t>
        </is>
      </c>
      <c r="Q224" s="92" t="inlineStr">
        <is>
          <t>Local absentee</t>
        </is>
      </c>
      <c r="R224" s="92" t="inlineStr">
        <is>
          <t>Religious</t>
        </is>
      </c>
      <c r="S224" s="92" t="n">
        <v>2</v>
      </c>
      <c r="T224" s="96">
        <f>INDEX('Scoring Method'!$B$6:$B$9,MATCH(M224,'Scoring Method'!$A$6:$A$9,0))+INDEX('Scoring Method'!$B$12:$B$16,MATCH(N224,'Scoring Method'!$A$12:$A$16,0))+INDEX('Scoring Method'!$B$19:$B$22,MATCH(O224,'Scoring Method'!$A$19:$A$22,0))+INDEX('Scoring Method'!$B$25:$B$27,MATCH(P224,'Scoring Method'!$A$25:$A$27,0))</f>
        <v/>
      </c>
      <c r="U224" s="96">
        <f>(INDEX('Scoring Method'!$B$30:$B$33,MATCH(Q224,'Scoring Method'!$A$30:$A$33,0))+INDEX('Scoring Method'!$B$36:$B$42,MATCH(R224,'Scoring Method'!$A$36:$A$42,0))+INDEX('Scoring Method'!$B$45:$B$47,MATCH(IF(S224=1,"1",IF(S224=2,"2","3+")),'Scoring Method'!$A$45:$A$47,0)))/90*100</f>
        <v/>
      </c>
      <c r="V224" s="96">
        <f>T224*U224/100</f>
        <v/>
      </c>
      <c r="W224" s="93" t="n">
        <v>412</v>
      </c>
      <c r="X224" s="92" t="inlineStr">
        <is>
          <t>X (minimal hazard)</t>
        </is>
      </c>
      <c r="Y224" s="93" t="n">
        <v>9675</v>
      </c>
      <c r="Z224" s="97" t="n"/>
      <c r="AA224" s="98">
        <f>MAX(0,(Y224-5000)/300)</f>
        <v/>
      </c>
      <c r="AB224" s="92" t="n"/>
      <c r="AC224" s="92" t="n"/>
      <c r="AD224" s="92" t="n"/>
      <c r="AE224" s="92" t="inlineStr">
        <is>
          <t>Too small &lt;1.2k</t>
        </is>
      </c>
      <c r="AF224" s="96">
        <f>INDEX('Scoring Method'!$B$63:$B$71,MATCH(AE224,'Scoring Method'!$A$63:$A$71,0))+INDEX('Scoring Method'!$B$75:$B$79,MATCH("Good 8-15k",'Scoring Method'!$A$75:$A$79,0))+INDEX('Scoring Method'!$B$343:$B$347,MATCH(X224,'Scoring Method'!$A$343:$A$347,0))+INDEX('Scoring Method'!$B$25:$B$27,MATCH(P224,'Scoring Method'!$A$25:$A$27,0))</f>
        <v/>
      </c>
      <c r="AG224" s="96">
        <f>AF224*U224/100</f>
        <v/>
      </c>
      <c r="AH224" s="92" t="inlineStr">
        <is>
          <t>LINK-GIS only</t>
        </is>
      </c>
      <c r="AI224" s="99" t="n">
        <v>39.04647</v>
      </c>
      <c r="AJ224" s="99" t="n">
        <v>-84.50239999999999</v>
      </c>
      <c r="AK224" s="94" t="n">
        <v>2.75</v>
      </c>
      <c r="AL224" s="94" t="n">
        <v>3.08</v>
      </c>
      <c r="AM224" s="94" t="n">
        <v>3.84</v>
      </c>
      <c r="AN224" s="94" t="n">
        <v>2.63</v>
      </c>
      <c r="AO224" s="92" t="inlineStr">
        <is>
          <t>Distant 2-3mi</t>
        </is>
      </c>
      <c r="AP224" s="92" t="inlineStr">
        <is>
          <t>Lot / minimal bldg</t>
        </is>
      </c>
      <c r="AQ224" s="92" t="inlineStr">
        <is>
          <t>Good 8-15k</t>
        </is>
      </c>
      <c r="AR224" s="100" t="n"/>
      <c r="AS224" s="96">
        <f>ROUND(INDEX('Scoring Method'!$B$63:$B$70,MATCH(AE224,'Scoring Method'!$A$63:$A$70,0))*0.625+INDEX('Scoring Method'!$B$105:$B$113,MATCH(AP224,'Scoring Method'!$A$105:$A$113,0))+INDEX('Scoring Method'!$B$74:$B$78,MATCH(AQ224,'Scoring Method'!$A$74:$A$78,0))*0.6667+INDEX('Scoring Method'!$B$96:$B$101,MATCH(AO224,'Scoring Method'!$A$96:$A$101,0))+INDEX('Scoring Method'!$B$343:$B$347,MATCH(X224,'Scoring Method'!$A$343:$A$347,0))*0.3333+INDEX('Scoring Method'!$B$25:$B$27,MATCH(P224,'Scoring Method'!$A$25:$A$27,0))*0.3333,1)</f>
        <v/>
      </c>
      <c r="AT224" s="96">
        <f>AS224*U224/100</f>
        <v/>
      </c>
      <c r="AU224" s="92" t="inlineStr">
        <is>
          <t>Latonia</t>
        </is>
      </c>
      <c r="AV224" s="92" t="n">
        <v>78</v>
      </c>
      <c r="AW224" s="92" t="inlineStr">
        <is>
          <t>Sourced</t>
        </is>
      </c>
      <c r="AX224" s="92" t="inlineStr">
        <is>
          <t>Safe 70-79</t>
        </is>
      </c>
      <c r="AY224" s="96">
        <f>ROUND(INDEX('Scoring Method'!$B$132:$B$140,MATCH(AE224,'Scoring Method'!$A$132:$A$140,0))+INDEX('Scoring Method'!$B$144:$B$152,MATCH(AP224,'Scoring Method'!$A$144:$A$152,0))+INDEX('Scoring Method'!$B$156:$B$160,MATCH(AQ224,'Scoring Method'!$A$156:$A$160,0))+INDEX('Scoring Method'!$B$164:$B$169,MATCH(AO224,'Scoring Method'!$A$164:$A$169,0))+INDEX('Scoring Method'!$B$173:$B$178,MATCH(AX224,'Scoring Method'!$A$173:$A$178,0))+INDEX('Scoring Method'!$B$349:$B$353,MATCH(X224,'Scoring Method'!$A$349:$A$353,0))+INDEX('Scoring Method'!$B$188:$B$190,MATCH(P224,'Scoring Method'!$A$188:$A$190,0)),1)</f>
        <v/>
      </c>
      <c r="AZ224" s="96">
        <f>AY224*U224/100</f>
        <v/>
      </c>
      <c r="BA224" s="92" t="inlineStr">
        <is>
          <t>No chain signal</t>
        </is>
      </c>
      <c r="BB224" s="94" t="n">
        <v>1</v>
      </c>
      <c r="BC224" s="103" t="inlineStr">
        <is>
          <t>Extra small 0.15-0.25 AC</t>
        </is>
      </c>
      <c r="BD224" s="94" t="n">
        <v>0.8</v>
      </c>
      <c r="BE224" s="96">
        <f>ROUND(INDEX('Scoring Method'!$B$268:$B$276,MATCH(AE224,'Scoring Method'!$A$268:$A$276,0))+INDEX('Scoring Method'!$B$280:$B$288,MATCH(AP224,'Scoring Method'!$A$280:$A$288,0))+INDEX('Scoring Method'!$B$292:$B$296,MATCH(AQ224,'Scoring Method'!$A$292:$A$296,0))+INDEX('Scoring Method'!$B$300:$B$305,MATCH(AO224,'Scoring Method'!$A$300:$A$305,0))+INDEX('Scoring Method'!$B$309:$B$314,MATCH(AX224,'Scoring Method'!$A$309:$A$314,0))+INDEX('Scoring Method'!$B$337:$B$341,MATCH(X224,'Scoring Method'!$A$337:$A$341,0))+INDEX('Scoring Method'!$B$324:$B$326,MATCH(P224,'Scoring Method'!$A$324:$A$326,0)),1)</f>
        <v/>
      </c>
      <c r="BF224" s="96">
        <f>ROUND(INDEX('Scoring Method'!$B$268:$B$276,MATCH(AE224,'Scoring Method'!$A$268:$A$276,0))*BB224*BD224+INDEX('Scoring Method'!$B$280:$B$288,MATCH(AP224,'Scoring Method'!$A$280:$A$288,0))*BM224*BB224*BD224+INDEX('Scoring Method'!$B$292:$B$296,MATCH(AQ224,'Scoring Method'!$A$292:$A$296,0))*BD224+INDEX('Scoring Method'!$B$300:$B$305,MATCH(AO224,'Scoring Method'!$A$300:$A$305,0))*BM224*BB224+INDEX('Scoring Method'!$B$309:$B$314,MATCH(AX224,'Scoring Method'!$A$309:$A$314,0))+INDEX('Scoring Method'!$B$337:$B$341,MATCH(X224,'Scoring Method'!$A$337:$A$341,0))+INDEX('Scoring Method'!$B$324:$B$326,MATCH(P224,'Scoring Method'!$A$324:$A$326,0)),1)</f>
        <v/>
      </c>
      <c r="BG224" s="92" t="inlineStr">
        <is>
          <t>Fits (~$378/mo)</t>
        </is>
      </c>
      <c r="BH224" s="61" t="inlineStr">
        <is>
          <t>TUMU</t>
        </is>
      </c>
      <c r="BI224" s="61" t="inlineStr">
        <is>
          <t>Traditional Urban Mixed Use</t>
        </is>
      </c>
      <c r="BJ224" s="61" t="inlineStr"/>
      <c r="BK224" s="61" t="inlineStr"/>
      <c r="BL224" s="61" t="inlineStr">
        <is>
          <t>Bar permitted</t>
        </is>
      </c>
      <c r="BM224" s="61">
        <f>INDEX('Scoring Method'!$B$358:$B$363,MATCH(BL224,'Scoring Method'!$A$358:$A$363,0))</f>
        <v/>
      </c>
    </row>
    <row r="225" ht="15" customHeight="1" s="62">
      <c r="A225" s="92" t="n">
        <v>224</v>
      </c>
      <c r="B225" s="92" t="inlineStr">
        <is>
          <t>057-10-00-045.05</t>
        </is>
      </c>
      <c r="C225" s="92" t="inlineStr">
        <is>
          <t>5018 SANDMAN DR</t>
        </is>
      </c>
      <c r="D225" s="92" t="inlineStr">
        <is>
          <t>TAYLOR DEVELOPMENT CO</t>
        </is>
      </c>
      <c r="E225" s="92" t="inlineStr">
        <is>
          <t>3769 OLD KY 17</t>
        </is>
      </c>
      <c r="F225" s="92" t="inlineStr">
        <is>
          <t>COVINGTON</t>
        </is>
      </c>
      <c r="G225" s="92" t="inlineStr">
        <is>
          <t>KY</t>
        </is>
      </c>
      <c r="H225" s="92" t="inlineStr">
        <is>
          <t>GARAGE/PARKING SPACE</t>
        </is>
      </c>
      <c r="I225" s="93" t="n">
        <v>12653</v>
      </c>
      <c r="J225" s="94">
        <f>I225/43560</f>
        <v/>
      </c>
      <c r="K225" s="93" t="n">
        <v>495.9</v>
      </c>
      <c r="L225" s="95">
        <f>I225/(K225^2)</f>
        <v/>
      </c>
      <c r="M225" s="92" t="inlineStr">
        <is>
          <t>Marginal 10-14k/45-60k</t>
        </is>
      </c>
      <c r="N225" s="92" t="inlineStr">
        <is>
          <t>D</t>
        </is>
      </c>
      <c r="O225" s="92" t="inlineStr">
        <is>
          <t>Regular .045-.055</t>
        </is>
      </c>
      <c r="P225" s="92" t="inlineStr">
        <is>
          <t>Low</t>
        </is>
      </c>
      <c r="Q225" s="92" t="inlineStr">
        <is>
          <t>Local absentee</t>
        </is>
      </c>
      <c r="R225" s="92" t="inlineStr">
        <is>
          <t>Passive vehicle</t>
        </is>
      </c>
      <c r="S225" s="92" t="n">
        <v>1</v>
      </c>
      <c r="T225" s="96">
        <f>INDEX('Scoring Method'!$B$6:$B$9,MATCH(M225,'Scoring Method'!$A$6:$A$9,0))+INDEX('Scoring Method'!$B$12:$B$16,MATCH(N225,'Scoring Method'!$A$12:$A$16,0))+INDEX('Scoring Method'!$B$19:$B$22,MATCH(O225,'Scoring Method'!$A$19:$A$22,0))+INDEX('Scoring Method'!$B$25:$B$27,MATCH(P225,'Scoring Method'!$A$25:$A$27,0))</f>
        <v/>
      </c>
      <c r="U225" s="96">
        <f>(INDEX('Scoring Method'!$B$30:$B$33,MATCH(Q225,'Scoring Method'!$A$30:$A$33,0))+INDEX('Scoring Method'!$B$36:$B$42,MATCH(R225,'Scoring Method'!$A$36:$A$42,0))+INDEX('Scoring Method'!$B$45:$B$47,MATCH(IF(S225=1,"1",IF(S225=2,"2","3+")),'Scoring Method'!$A$45:$A$47,0)))/90*100</f>
        <v/>
      </c>
      <c r="V225" s="96">
        <f>T225*U225/100</f>
        <v/>
      </c>
      <c r="W225" s="93" t="n">
        <v>1928</v>
      </c>
      <c r="X225" s="92" t="inlineStr">
        <is>
          <t>X (minimal hazard)</t>
        </is>
      </c>
      <c r="Y225" s="93" t="n">
        <v>9400</v>
      </c>
      <c r="Z225" s="97" t="n"/>
      <c r="AA225" s="98">
        <f>MAX(0,(Y225-5000)/300)</f>
        <v/>
      </c>
      <c r="AB225" s="92" t="n"/>
      <c r="AC225" s="92" t="n"/>
      <c r="AD225" s="92" t="n"/>
      <c r="AE225" s="92" t="inlineStr">
        <is>
          <t>Target 1.5-2.5k</t>
        </is>
      </c>
      <c r="AF225" s="96">
        <f>INDEX('Scoring Method'!$B$63:$B$71,MATCH(AE225,'Scoring Method'!$A$63:$A$71,0))+INDEX('Scoring Method'!$B$75:$B$79,MATCH("Good 8-15k",'Scoring Method'!$A$75:$A$79,0))+INDEX('Scoring Method'!$B$343:$B$347,MATCH(X225,'Scoring Method'!$A$343:$A$347,0))+INDEX('Scoring Method'!$B$25:$B$27,MATCH(P225,'Scoring Method'!$A$25:$A$27,0))</f>
        <v/>
      </c>
      <c r="AG225" s="96">
        <f>AF225*U225/100</f>
        <v/>
      </c>
      <c r="AH225" s="92" t="inlineStr">
        <is>
          <t>LINK-GIS only</t>
        </is>
      </c>
      <c r="AI225" s="99" t="n">
        <v>39.02175</v>
      </c>
      <c r="AJ225" s="99" t="n">
        <v>-84.51636999999999</v>
      </c>
      <c r="AK225" s="94" t="n">
        <v>4.33</v>
      </c>
      <c r="AL225" s="94" t="n">
        <v>4.79</v>
      </c>
      <c r="AM225" s="94" t="n">
        <v>5.51</v>
      </c>
      <c r="AN225" s="94" t="n">
        <v>4.31</v>
      </c>
      <c r="AO225" s="92" t="inlineStr">
        <is>
          <t>Remote &gt;3mi</t>
        </is>
      </c>
      <c r="AP225" s="92" t="inlineStr">
        <is>
          <t>Lot / minimal bldg</t>
        </is>
      </c>
      <c r="AQ225" s="92" t="inlineStr">
        <is>
          <t>Good 8-15k</t>
        </is>
      </c>
      <c r="AR225" s="100" t="n"/>
      <c r="AS225" s="96">
        <f>ROUND(INDEX('Scoring Method'!$B$63:$B$70,MATCH(AE225,'Scoring Method'!$A$63:$A$70,0))*0.625+INDEX('Scoring Method'!$B$105:$B$113,MATCH(AP225,'Scoring Method'!$A$105:$A$113,0))+INDEX('Scoring Method'!$B$74:$B$78,MATCH(AQ225,'Scoring Method'!$A$74:$A$78,0))*0.6667+INDEX('Scoring Method'!$B$96:$B$101,MATCH(AO225,'Scoring Method'!$A$96:$A$101,0))+INDEX('Scoring Method'!$B$343:$B$347,MATCH(X225,'Scoring Method'!$A$343:$A$347,0))*0.3333+INDEX('Scoring Method'!$B$25:$B$27,MATCH(P225,'Scoring Method'!$A$25:$A$27,0))*0.3333,1)</f>
        <v/>
      </c>
      <c r="AT225" s="96">
        <f>AS225*U225/100</f>
        <v/>
      </c>
      <c r="AU225" s="92" t="inlineStr">
        <is>
          <t>South Covington</t>
        </is>
      </c>
      <c r="AV225" s="92" t="n">
        <v>88</v>
      </c>
      <c r="AW225" s="92" t="inlineStr">
        <is>
          <t>Sourced</t>
        </is>
      </c>
      <c r="AX225" s="92" t="inlineStr">
        <is>
          <t>Very safe 80+</t>
        </is>
      </c>
      <c r="AY225" s="96">
        <f>ROUND(INDEX('Scoring Method'!$B$132:$B$140,MATCH(AE225,'Scoring Method'!$A$132:$A$140,0))+INDEX('Scoring Method'!$B$144:$B$152,MATCH(AP225,'Scoring Method'!$A$144:$A$152,0))+INDEX('Scoring Method'!$B$156:$B$160,MATCH(AQ225,'Scoring Method'!$A$156:$A$160,0))+INDEX('Scoring Method'!$B$164:$B$169,MATCH(AO225,'Scoring Method'!$A$164:$A$169,0))+INDEX('Scoring Method'!$B$173:$B$178,MATCH(AX225,'Scoring Method'!$A$173:$A$178,0))+INDEX('Scoring Method'!$B$349:$B$353,MATCH(X225,'Scoring Method'!$A$349:$A$353,0))+INDEX('Scoring Method'!$B$188:$B$190,MATCH(P225,'Scoring Method'!$A$188:$A$190,0)),1)</f>
        <v/>
      </c>
      <c r="AZ225" s="96">
        <f>AY225*U225/100</f>
        <v/>
      </c>
      <c r="BA225" s="92" t="inlineStr">
        <is>
          <t>No chain signal</t>
        </is>
      </c>
      <c r="BB225" s="94" t="n">
        <v>1</v>
      </c>
      <c r="BC225" s="102" t="inlineStr">
        <is>
          <t>Small 0.25-0.35 AC</t>
        </is>
      </c>
      <c r="BD225" s="94" t="n">
        <v>0.9</v>
      </c>
      <c r="BE225" s="96">
        <f>ROUND(INDEX('Scoring Method'!$B$268:$B$276,MATCH(AE225,'Scoring Method'!$A$268:$A$276,0))+INDEX('Scoring Method'!$B$280:$B$288,MATCH(AP225,'Scoring Method'!$A$280:$A$288,0))+INDEX('Scoring Method'!$B$292:$B$296,MATCH(AQ225,'Scoring Method'!$A$292:$A$296,0))+INDEX('Scoring Method'!$B$300:$B$305,MATCH(AO225,'Scoring Method'!$A$300:$A$305,0))+INDEX('Scoring Method'!$B$309:$B$314,MATCH(AX225,'Scoring Method'!$A$309:$A$314,0))+INDEX('Scoring Method'!$B$337:$B$341,MATCH(X225,'Scoring Method'!$A$337:$A$341,0))+INDEX('Scoring Method'!$B$324:$B$326,MATCH(P225,'Scoring Method'!$A$324:$A$326,0)),1)</f>
        <v/>
      </c>
      <c r="BF225" s="96">
        <f>ROUND(INDEX('Scoring Method'!$B$268:$B$276,MATCH(AE225,'Scoring Method'!$A$268:$A$276,0))*BB225*BD225+INDEX('Scoring Method'!$B$280:$B$288,MATCH(AP225,'Scoring Method'!$A$280:$A$288,0))*BM225*BB225*BD225+INDEX('Scoring Method'!$B$292:$B$296,MATCH(AQ225,'Scoring Method'!$A$292:$A$296,0))*BD225+INDEX('Scoring Method'!$B$300:$B$305,MATCH(AO225,'Scoring Method'!$A$300:$A$305,0))*BM225*BB225+INDEX('Scoring Method'!$B$309:$B$314,MATCH(AX225,'Scoring Method'!$A$309:$A$314,0))+INDEX('Scoring Method'!$B$337:$B$341,MATCH(X225,'Scoring Method'!$A$337:$A$341,0))+INDEX('Scoring Method'!$B$324:$B$326,MATCH(P225,'Scoring Method'!$A$324:$A$326,0)),1)</f>
        <v/>
      </c>
      <c r="BG225" s="92" t="inlineStr">
        <is>
          <t>Fits (~$1,767/mo)</t>
        </is>
      </c>
      <c r="BH225" s="61" t="inlineStr">
        <is>
          <t>SU</t>
        </is>
      </c>
      <c r="BI225" s="61" t="inlineStr">
        <is>
          <t>Semi-Urban Residential</t>
        </is>
      </c>
      <c r="BJ225" s="61" t="inlineStr"/>
      <c r="BK225" s="61" t="inlineStr"/>
      <c r="BL225" s="61" t="inlineStr">
        <is>
          <t>SU corner unverified</t>
        </is>
      </c>
      <c r="BM225" s="61">
        <f>INDEX('Scoring Method'!$B$358:$B$363,MATCH(BL225,'Scoring Method'!$A$358:$A$363,0))</f>
        <v/>
      </c>
    </row>
    <row r="226" ht="15" customHeight="1" s="62">
      <c r="A226" s="92" t="n">
        <v>225</v>
      </c>
      <c r="B226" s="92" t="inlineStr">
        <is>
          <t>055-23-13-006.00</t>
        </is>
      </c>
      <c r="C226" s="92" t="inlineStr">
        <is>
          <t>2501 MADISON AVE</t>
        </is>
      </c>
      <c r="D226" s="92" t="inlineStr">
        <is>
          <t>GOSHEN LTD INC</t>
        </is>
      </c>
      <c r="E226" s="92" t="inlineStr">
        <is>
          <t>6778 GOSHEN RD</t>
        </is>
      </c>
      <c r="F226" s="92" t="inlineStr">
        <is>
          <t>GOSHEN</t>
        </is>
      </c>
      <c r="G226" s="92" t="inlineStr">
        <is>
          <t>OH</t>
        </is>
      </c>
      <c r="H226" s="92" t="inlineStr">
        <is>
          <t>OTHER RETAIL</t>
        </is>
      </c>
      <c r="I226" s="93" t="n">
        <v>9836</v>
      </c>
      <c r="J226" s="94">
        <f>I226/43560</f>
        <v/>
      </c>
      <c r="K226" s="93" t="n">
        <v>454.8</v>
      </c>
      <c r="L226" s="95">
        <f>I226/(K226^2)</f>
        <v/>
      </c>
      <c r="M226" s="92" t="inlineStr">
        <is>
          <t>Poor &lt;10k/&gt;60k</t>
        </is>
      </c>
      <c r="N226" s="92" t="inlineStr">
        <is>
          <t>C</t>
        </is>
      </c>
      <c r="O226" s="92" t="inlineStr">
        <is>
          <t>Regular .045-.055</t>
        </is>
      </c>
      <c r="P226" s="92" t="inlineStr">
        <is>
          <t>Low</t>
        </is>
      </c>
      <c r="Q226" s="92" t="inlineStr">
        <is>
          <t>Out-of-state</t>
        </is>
      </c>
      <c r="R226" s="92" t="inlineStr">
        <is>
          <t>Operating entity</t>
        </is>
      </c>
      <c r="S226" s="92" t="n">
        <v>1</v>
      </c>
      <c r="T226" s="96">
        <f>INDEX('Scoring Method'!$B$6:$B$9,MATCH(M226,'Scoring Method'!$A$6:$A$9,0))+INDEX('Scoring Method'!$B$12:$B$16,MATCH(N226,'Scoring Method'!$A$12:$A$16,0))+INDEX('Scoring Method'!$B$19:$B$22,MATCH(O226,'Scoring Method'!$A$19:$A$22,0))+INDEX('Scoring Method'!$B$25:$B$27,MATCH(P226,'Scoring Method'!$A$25:$A$27,0))</f>
        <v/>
      </c>
      <c r="U226" s="96">
        <f>(INDEX('Scoring Method'!$B$30:$B$33,MATCH(Q226,'Scoring Method'!$A$30:$A$33,0))+INDEX('Scoring Method'!$B$36:$B$42,MATCH(R226,'Scoring Method'!$A$36:$A$42,0))+INDEX('Scoring Method'!$B$45:$B$47,MATCH(IF(S226=1,"1",IF(S226=2,"2","3+")),'Scoring Method'!$A$45:$A$47,0)))/90*100</f>
        <v/>
      </c>
      <c r="V226" s="96">
        <f>T226*U226/100</f>
        <v/>
      </c>
      <c r="W226" s="93" t="n">
        <v>2450</v>
      </c>
      <c r="X226" s="92" t="inlineStr">
        <is>
          <t>X (minimal hazard)</t>
        </is>
      </c>
      <c r="Y226" s="93" t="n">
        <v>6700</v>
      </c>
      <c r="Z226" s="97" t="n"/>
      <c r="AA226" s="98">
        <f>MAX(0,(Y226-5000)/300)</f>
        <v/>
      </c>
      <c r="AB226" s="92" t="n"/>
      <c r="AC226" s="92" t="n"/>
      <c r="AD226" s="92" t="n"/>
      <c r="AE226" s="92" t="inlineStr">
        <is>
          <t>Target 1.5-2.5k</t>
        </is>
      </c>
      <c r="AF226" s="96">
        <f>INDEX('Scoring Method'!$B$63:$B$71,MATCH(AE226,'Scoring Method'!$A$63:$A$71,0))+INDEX('Scoring Method'!$B$75:$B$79,MATCH("Adequate 5-8k",'Scoring Method'!$A$75:$A$79,0))+INDEX('Scoring Method'!$B$343:$B$347,MATCH(X226,'Scoring Method'!$A$343:$A$347,0))+INDEX('Scoring Method'!$B$25:$B$27,MATCH(P226,'Scoring Method'!$A$25:$A$27,0))</f>
        <v/>
      </c>
      <c r="AG226" s="96">
        <f>AF226*U226/100</f>
        <v/>
      </c>
      <c r="AH226" s="92" t="inlineStr">
        <is>
          <t>LINK-GIS + LoopNet (2026-08-03)</t>
        </is>
      </c>
      <c r="AI226" s="99" t="n">
        <v>39.06064</v>
      </c>
      <c r="AJ226" s="99" t="n">
        <v>-84.50400999999999</v>
      </c>
      <c r="AK226" s="94" t="n">
        <v>1.8</v>
      </c>
      <c r="AL226" s="94" t="n">
        <v>2.1</v>
      </c>
      <c r="AM226" s="94" t="n">
        <v>2.86</v>
      </c>
      <c r="AN226" s="94" t="n">
        <v>1.66</v>
      </c>
      <c r="AO226" s="92" t="inlineStr">
        <is>
          <t>Outer 1.25-2mi</t>
        </is>
      </c>
      <c r="AP226" s="92" t="inlineStr">
        <is>
          <t>Retail shell</t>
        </is>
      </c>
      <c r="AQ226" s="92" t="inlineStr">
        <is>
          <t>Adequate 5-8k</t>
        </is>
      </c>
      <c r="AR226" s="100" t="n"/>
      <c r="AS226" s="96">
        <f>ROUND(INDEX('Scoring Method'!$B$63:$B$70,MATCH(AE226,'Scoring Method'!$A$63:$A$70,0))*0.625+INDEX('Scoring Method'!$B$105:$B$113,MATCH(AP226,'Scoring Method'!$A$105:$A$113,0))+INDEX('Scoring Method'!$B$74:$B$78,MATCH(AQ226,'Scoring Method'!$A$74:$A$78,0))*0.6667+INDEX('Scoring Method'!$B$96:$B$101,MATCH(AO226,'Scoring Method'!$A$96:$A$101,0))+INDEX('Scoring Method'!$B$343:$B$347,MATCH(X226,'Scoring Method'!$A$343:$A$347,0))*0.3333+INDEX('Scoring Method'!$B$25:$B$27,MATCH(P226,'Scoring Method'!$A$25:$A$27,0))*0.3333,1)</f>
        <v/>
      </c>
      <c r="AT226" s="96">
        <f>AS226*U226/100</f>
        <v/>
      </c>
      <c r="AU226" s="92" t="inlineStr">
        <is>
          <t>Levassor Park</t>
        </is>
      </c>
      <c r="AV226" s="92" t="n">
        <v>42</v>
      </c>
      <c r="AW226" s="101" t="inlineStr">
        <is>
          <t>ESTIMATED</t>
        </is>
      </c>
      <c r="AX226" s="92" t="inlineStr">
        <is>
          <t>Elevated 35-44</t>
        </is>
      </c>
      <c r="AY226" s="96">
        <f>ROUND(INDEX('Scoring Method'!$B$132:$B$140,MATCH(AE226,'Scoring Method'!$A$132:$A$140,0))+INDEX('Scoring Method'!$B$144:$B$152,MATCH(AP226,'Scoring Method'!$A$144:$A$152,0))+INDEX('Scoring Method'!$B$156:$B$160,MATCH(AQ226,'Scoring Method'!$A$156:$A$160,0))+INDEX('Scoring Method'!$B$164:$B$169,MATCH(AO226,'Scoring Method'!$A$164:$A$169,0))+INDEX('Scoring Method'!$B$173:$B$178,MATCH(AX226,'Scoring Method'!$A$173:$A$178,0))+INDEX('Scoring Method'!$B$349:$B$353,MATCH(X226,'Scoring Method'!$A$349:$A$353,0))+INDEX('Scoring Method'!$B$188:$B$190,MATCH(P226,'Scoring Method'!$A$188:$A$190,0)),1)</f>
        <v/>
      </c>
      <c r="AZ226" s="96">
        <f>AY226*U226/100</f>
        <v/>
      </c>
      <c r="BA226" s="92" t="inlineStr">
        <is>
          <t>No chain signal</t>
        </is>
      </c>
      <c r="BB226" s="94" t="n">
        <v>1</v>
      </c>
      <c r="BC226" s="103" t="inlineStr">
        <is>
          <t>Extra small 0.15-0.25 AC</t>
        </is>
      </c>
      <c r="BD226" s="94" t="n">
        <v>0.8</v>
      </c>
      <c r="BE226" s="96">
        <f>ROUND(INDEX('Scoring Method'!$B$268:$B$276,MATCH(AE226,'Scoring Method'!$A$268:$A$276,0))+INDEX('Scoring Method'!$B$280:$B$288,MATCH(AP226,'Scoring Method'!$A$280:$A$288,0))+INDEX('Scoring Method'!$B$292:$B$296,MATCH(AQ226,'Scoring Method'!$A$292:$A$296,0))+INDEX('Scoring Method'!$B$300:$B$305,MATCH(AO226,'Scoring Method'!$A$300:$A$305,0))+INDEX('Scoring Method'!$B$309:$B$314,MATCH(AX226,'Scoring Method'!$A$309:$A$314,0))+INDEX('Scoring Method'!$B$337:$B$341,MATCH(X226,'Scoring Method'!$A$337:$A$341,0))+INDEX('Scoring Method'!$B$324:$B$326,MATCH(P226,'Scoring Method'!$A$324:$A$326,0)),1)</f>
        <v/>
      </c>
      <c r="BF226" s="96">
        <f>ROUND(INDEX('Scoring Method'!$B$268:$B$276,MATCH(AE226,'Scoring Method'!$A$268:$A$276,0))*BB226*BD226+INDEX('Scoring Method'!$B$280:$B$288,MATCH(AP226,'Scoring Method'!$A$280:$A$288,0))*BM226*BB226*BD226+INDEX('Scoring Method'!$B$292:$B$296,MATCH(AQ226,'Scoring Method'!$A$292:$A$296,0))*BD226+INDEX('Scoring Method'!$B$300:$B$305,MATCH(AO226,'Scoring Method'!$A$300:$A$305,0))*BM226*BB226+INDEX('Scoring Method'!$B$309:$B$314,MATCH(AX226,'Scoring Method'!$A$309:$A$314,0))+INDEX('Scoring Method'!$B$337:$B$341,MATCH(X226,'Scoring Method'!$A$337:$A$341,0))+INDEX('Scoring Method'!$B$324:$B$326,MATCH(P226,'Scoring Method'!$A$324:$A$326,0)),1)</f>
        <v/>
      </c>
      <c r="BG226" s="92" t="inlineStr">
        <is>
          <t>Fits (~$2,246/mo)</t>
        </is>
      </c>
      <c r="BH226" s="61" t="inlineStr">
        <is>
          <t>AUC</t>
        </is>
      </c>
      <c r="BI226" s="61" t="inlineStr">
        <is>
          <t>Auto-Urban Commercial</t>
        </is>
      </c>
      <c r="BJ226" s="61" t="inlineStr"/>
      <c r="BK226" s="61" t="inlineStr"/>
      <c r="BL226" s="61" t="inlineStr">
        <is>
          <t>Bar permitted</t>
        </is>
      </c>
      <c r="BM226" s="61">
        <f>INDEX('Scoring Method'!$B$358:$B$363,MATCH(BL226,'Scoring Method'!$A$358:$A$363,0))</f>
        <v/>
      </c>
    </row>
    <row r="227" ht="15" customHeight="1" s="62">
      <c r="A227" s="92" t="n">
        <v>226</v>
      </c>
      <c r="B227" s="92" t="inlineStr">
        <is>
          <t>054-23-14-011.01</t>
        </is>
      </c>
      <c r="C227" s="92" t="inlineStr">
        <is>
          <t>734 SCOTT ST</t>
        </is>
      </c>
      <c r="D227" s="92" t="inlineStr">
        <is>
          <t>BRIDGES WAYNE &amp; GLENNA</t>
        </is>
      </c>
      <c r="E227" s="92" t="inlineStr">
        <is>
          <t>12575 MADISON PK</t>
        </is>
      </c>
      <c r="F227" s="92" t="inlineStr">
        <is>
          <t>INDEPENDENCE</t>
        </is>
      </c>
      <c r="G227" s="92" t="inlineStr">
        <is>
          <t>KY</t>
        </is>
      </c>
      <c r="H227" s="92" t="inlineStr">
        <is>
          <t>OFFICE BLDG 1 OR 2 STORY</t>
        </is>
      </c>
      <c r="I227" s="93" t="n">
        <v>10703</v>
      </c>
      <c r="J227" s="94">
        <f>I227/43560</f>
        <v/>
      </c>
      <c r="K227" s="93" t="n">
        <v>510</v>
      </c>
      <c r="L227" s="95">
        <f>I227/(K227^2)</f>
        <v/>
      </c>
      <c r="M227" s="92" t="inlineStr">
        <is>
          <t>Marginal 10-14k/45-60k</t>
        </is>
      </c>
      <c r="N227" s="92" t="inlineStr">
        <is>
          <t>E</t>
        </is>
      </c>
      <c r="O227" s="92" t="inlineStr">
        <is>
          <t>Elongated .035-.045</t>
        </is>
      </c>
      <c r="P227" s="92" t="inlineStr">
        <is>
          <t>Low</t>
        </is>
      </c>
      <c r="Q227" s="92" t="inlineStr">
        <is>
          <t>Out-of-city KY</t>
        </is>
      </c>
      <c r="R227" s="92" t="inlineStr">
        <is>
          <t>Individual</t>
        </is>
      </c>
      <c r="S227" s="92" t="n">
        <v>1</v>
      </c>
      <c r="T227" s="96">
        <f>INDEX('Scoring Method'!$B$6:$B$9,MATCH(M227,'Scoring Method'!$A$6:$A$9,0))+INDEX('Scoring Method'!$B$12:$B$16,MATCH(N227,'Scoring Method'!$A$12:$A$16,0))+INDEX('Scoring Method'!$B$19:$B$22,MATCH(O227,'Scoring Method'!$A$19:$A$22,0))+INDEX('Scoring Method'!$B$25:$B$27,MATCH(P227,'Scoring Method'!$A$25:$A$27,0))</f>
        <v/>
      </c>
      <c r="U227" s="96">
        <f>(INDEX('Scoring Method'!$B$30:$B$33,MATCH(Q227,'Scoring Method'!$A$30:$A$33,0))+INDEX('Scoring Method'!$B$36:$B$42,MATCH(R227,'Scoring Method'!$A$36:$A$42,0))+INDEX('Scoring Method'!$B$45:$B$47,MATCH(IF(S227=1,"1",IF(S227=2,"2","3+")),'Scoring Method'!$A$45:$A$47,0)))/90*100</f>
        <v/>
      </c>
      <c r="V227" s="96">
        <f>T227*U227/100</f>
        <v/>
      </c>
      <c r="W227" s="93" t="n">
        <v>4800</v>
      </c>
      <c r="X227" s="92" t="inlineStr">
        <is>
          <t>X (minimal hazard)</t>
        </is>
      </c>
      <c r="Y227" s="93" t="n">
        <v>8100</v>
      </c>
      <c r="Z227" s="97" t="n"/>
      <c r="AA227" s="98">
        <f>MAX(0,(Y227-5000)/300)</f>
        <v/>
      </c>
      <c r="AB227" s="92" t="n"/>
      <c r="AC227" s="92" t="n"/>
      <c r="AD227" s="92" t="n"/>
      <c r="AE227" s="92" t="inlineStr">
        <is>
          <t>Large 4-6k</t>
        </is>
      </c>
      <c r="AF227" s="96">
        <f>INDEX('Scoring Method'!$B$63:$B$71,MATCH(AE227,'Scoring Method'!$A$63:$A$71,0))+INDEX('Scoring Method'!$B$75:$B$79,MATCH("Good 8-15k",'Scoring Method'!$A$75:$A$79,0))+INDEX('Scoring Method'!$B$343:$B$347,MATCH(X227,'Scoring Method'!$A$343:$A$347,0))+INDEX('Scoring Method'!$B$25:$B$27,MATCH(P227,'Scoring Method'!$A$25:$A$27,0))</f>
        <v/>
      </c>
      <c r="AG227" s="96">
        <f>AF227*U227/100</f>
        <v/>
      </c>
      <c r="AH227" s="92" t="inlineStr">
        <is>
          <t>LINK-GIS + LoopNet (2026-08-02)</t>
        </is>
      </c>
      <c r="AI227" s="99" t="n">
        <v>39.08271</v>
      </c>
      <c r="AJ227" s="99" t="n">
        <v>-84.50784</v>
      </c>
      <c r="AK227" s="94" t="n">
        <v>0.55</v>
      </c>
      <c r="AL227" s="94" t="n">
        <v>0.5600000000000001</v>
      </c>
      <c r="AM227" s="94" t="n">
        <v>1.32</v>
      </c>
      <c r="AN227" s="94" t="n">
        <v>0.19</v>
      </c>
      <c r="AO227" s="92" t="inlineStr">
        <is>
          <t>Core &lt;=0.35mi</t>
        </is>
      </c>
      <c r="AP227" s="92" t="inlineStr">
        <is>
          <t>Office/institutional</t>
        </is>
      </c>
      <c r="AQ227" s="92" t="inlineStr">
        <is>
          <t>Good 8-15k</t>
        </is>
      </c>
      <c r="AR227" s="100" t="n"/>
      <c r="AS227" s="96">
        <f>ROUND(INDEX('Scoring Method'!$B$63:$B$70,MATCH(AE227,'Scoring Method'!$A$63:$A$70,0))*0.625+INDEX('Scoring Method'!$B$105:$B$113,MATCH(AP227,'Scoring Method'!$A$105:$A$113,0))+INDEX('Scoring Method'!$B$74:$B$78,MATCH(AQ227,'Scoring Method'!$A$74:$A$78,0))*0.6667+INDEX('Scoring Method'!$B$96:$B$101,MATCH(AO227,'Scoring Method'!$A$96:$A$101,0))+INDEX('Scoring Method'!$B$343:$B$347,MATCH(X227,'Scoring Method'!$A$343:$A$347,0))*0.3333+INDEX('Scoring Method'!$B$25:$B$27,MATCH(P227,'Scoring Method'!$A$25:$A$27,0))*0.3333,1)</f>
        <v/>
      </c>
      <c r="AT227" s="96">
        <f>AS227*U227/100</f>
        <v/>
      </c>
      <c r="AU227" s="92" t="inlineStr">
        <is>
          <t>Central Business District</t>
        </is>
      </c>
      <c r="AV227" s="92" t="n">
        <v>48</v>
      </c>
      <c r="AW227" s="101" t="inlineStr">
        <is>
          <t>ESTIMATED</t>
        </is>
      </c>
      <c r="AX227" s="92" t="inlineStr">
        <is>
          <t>Mixed 45-59</t>
        </is>
      </c>
      <c r="AY227" s="96">
        <f>ROUND(INDEX('Scoring Method'!$B$132:$B$140,MATCH(AE227,'Scoring Method'!$A$132:$A$140,0))+INDEX('Scoring Method'!$B$144:$B$152,MATCH(AP227,'Scoring Method'!$A$144:$A$152,0))+INDEX('Scoring Method'!$B$156:$B$160,MATCH(AQ227,'Scoring Method'!$A$156:$A$160,0))+INDEX('Scoring Method'!$B$164:$B$169,MATCH(AO227,'Scoring Method'!$A$164:$A$169,0))+INDEX('Scoring Method'!$B$173:$B$178,MATCH(AX227,'Scoring Method'!$A$173:$A$178,0))+INDEX('Scoring Method'!$B$349:$B$353,MATCH(X227,'Scoring Method'!$A$349:$A$353,0))+INDEX('Scoring Method'!$B$188:$B$190,MATCH(P227,'Scoring Method'!$A$188:$A$190,0)),1)</f>
        <v/>
      </c>
      <c r="AZ227" s="96">
        <f>AY227*U227/100</f>
        <v/>
      </c>
      <c r="BA227" s="92" t="inlineStr">
        <is>
          <t>No chain signal</t>
        </is>
      </c>
      <c r="BB227" s="94" t="n">
        <v>1</v>
      </c>
      <c r="BC227" s="103" t="inlineStr">
        <is>
          <t>Extra small 0.15-0.25 AC</t>
        </is>
      </c>
      <c r="BD227" s="94" t="n">
        <v>0.8</v>
      </c>
      <c r="BE227" s="96">
        <f>ROUND(INDEX('Scoring Method'!$B$268:$B$276,MATCH(AE227,'Scoring Method'!$A$268:$A$276,0))+INDEX('Scoring Method'!$B$280:$B$288,MATCH(AP227,'Scoring Method'!$A$280:$A$288,0))+INDEX('Scoring Method'!$B$292:$B$296,MATCH(AQ227,'Scoring Method'!$A$292:$A$296,0))+INDEX('Scoring Method'!$B$300:$B$305,MATCH(AO227,'Scoring Method'!$A$300:$A$305,0))+INDEX('Scoring Method'!$B$309:$B$314,MATCH(AX227,'Scoring Method'!$A$309:$A$314,0))+INDEX('Scoring Method'!$B$337:$B$341,MATCH(X227,'Scoring Method'!$A$337:$A$341,0))+INDEX('Scoring Method'!$B$324:$B$326,MATCH(P227,'Scoring Method'!$A$324:$A$326,0)),1)</f>
        <v/>
      </c>
      <c r="BF227" s="96">
        <f>ROUND(INDEX('Scoring Method'!$B$268:$B$276,MATCH(AE227,'Scoring Method'!$A$268:$A$276,0))*BB227*BD227+INDEX('Scoring Method'!$B$280:$B$288,MATCH(AP227,'Scoring Method'!$A$280:$A$288,0))*BM227*BB227*BD227+INDEX('Scoring Method'!$B$292:$B$296,MATCH(AQ227,'Scoring Method'!$A$292:$A$296,0))*BD227+INDEX('Scoring Method'!$B$300:$B$305,MATCH(AO227,'Scoring Method'!$A$300:$A$305,0))*BM227*BB227+INDEX('Scoring Method'!$B$309:$B$314,MATCH(AX227,'Scoring Method'!$A$309:$A$314,0))+INDEX('Scoring Method'!$B$337:$B$341,MATCH(X227,'Scoring Method'!$A$337:$A$341,0))+INDEX('Scoring Method'!$B$324:$B$326,MATCH(P227,'Scoring Method'!$A$324:$A$326,0)),1)</f>
        <v/>
      </c>
      <c r="BG227" s="92" t="inlineStr">
        <is>
          <t>Fits (~$4,400/mo)</t>
        </is>
      </c>
      <c r="BH227" s="61" t="inlineStr">
        <is>
          <t>DTC (HP)</t>
        </is>
      </c>
      <c r="BI227" s="61" t="inlineStr">
        <is>
          <t>Downtown Core</t>
        </is>
      </c>
      <c r="BJ227" s="61" t="inlineStr">
        <is>
          <t>HP</t>
        </is>
      </c>
      <c r="BK227" s="61" t="inlineStr"/>
      <c r="BL227" s="61" t="inlineStr">
        <is>
          <t>Bar permitted</t>
        </is>
      </c>
      <c r="BM227" s="61">
        <f>INDEX('Scoring Method'!$B$358:$B$363,MATCH(BL227,'Scoring Method'!$A$358:$A$363,0))</f>
        <v/>
      </c>
    </row>
    <row r="228" ht="15" customHeight="1" s="62">
      <c r="A228" s="92" t="n">
        <v>227</v>
      </c>
      <c r="B228" s="92" t="inlineStr">
        <is>
          <t>040-43-04-001.00</t>
        </is>
      </c>
      <c r="C228" s="92" t="inlineStr">
        <is>
          <t>601 W 4TH ST</t>
        </is>
      </c>
      <c r="D228" s="92" t="inlineStr">
        <is>
          <t>SPEEDWAY SUPERAMERICA LLC</t>
        </is>
      </c>
      <c r="E228" s="92" t="inlineStr">
        <is>
          <t>PO BOX 2440</t>
        </is>
      </c>
      <c r="F228" s="92" t="inlineStr">
        <is>
          <t>SPOKANE</t>
        </is>
      </c>
      <c r="G228" s="92" t="inlineStr">
        <is>
          <t>WA</t>
        </is>
      </c>
      <c r="H228" s="92" t="inlineStr">
        <is>
          <t>GAS STATION/CONVENIENCE STORE</t>
        </is>
      </c>
      <c r="I228" s="93" t="n">
        <v>36536</v>
      </c>
      <c r="J228" s="94">
        <f>I228/43560</f>
        <v/>
      </c>
      <c r="K228" s="93" t="n">
        <v>775</v>
      </c>
      <c r="L228" s="95">
        <f>I228/(K228^2)</f>
        <v/>
      </c>
      <c r="M228" s="92" t="inlineStr">
        <is>
          <t>Near 14-18k/32-45k</t>
        </is>
      </c>
      <c r="N228" s="92" t="inlineStr">
        <is>
          <t>E</t>
        </is>
      </c>
      <c r="O228" s="92" t="inlineStr">
        <is>
          <t>Compact &gt;=.055</t>
        </is>
      </c>
      <c r="P228" s="92" t="inlineStr">
        <is>
          <t>High</t>
        </is>
      </c>
      <c r="Q228" s="92" t="inlineStr">
        <is>
          <t>Out-of-state</t>
        </is>
      </c>
      <c r="R228" s="92" t="inlineStr">
        <is>
          <t>National corporate</t>
        </is>
      </c>
      <c r="S228" s="92" t="n">
        <v>2</v>
      </c>
      <c r="T228" s="96">
        <f>INDEX('Scoring Method'!$B$6:$B$9,MATCH(M228,'Scoring Method'!$A$6:$A$9,0))+INDEX('Scoring Method'!$B$12:$B$16,MATCH(N228,'Scoring Method'!$A$12:$A$16,0))+INDEX('Scoring Method'!$B$19:$B$22,MATCH(O228,'Scoring Method'!$A$19:$A$22,0))+INDEX('Scoring Method'!$B$25:$B$27,MATCH(P228,'Scoring Method'!$A$25:$A$27,0))</f>
        <v/>
      </c>
      <c r="U228" s="96">
        <f>(INDEX('Scoring Method'!$B$30:$B$33,MATCH(Q228,'Scoring Method'!$A$30:$A$33,0))+INDEX('Scoring Method'!$B$36:$B$42,MATCH(R228,'Scoring Method'!$A$36:$A$42,0))+INDEX('Scoring Method'!$B$45:$B$47,MATCH(IF(S228=1,"1",IF(S228=2,"2","3+")),'Scoring Method'!$A$45:$A$47,0)))/90*100</f>
        <v/>
      </c>
      <c r="V228" s="96">
        <f>T228*U228/100</f>
        <v/>
      </c>
      <c r="W228" s="93" t="n">
        <v>3251</v>
      </c>
      <c r="X228" s="92" t="inlineStr">
        <is>
          <t>X (minimal hazard)</t>
        </is>
      </c>
      <c r="Y228" s="93" t="n">
        <v>27700</v>
      </c>
      <c r="Z228" s="97" t="n"/>
      <c r="AA228" s="98">
        <f>MAX(0,(Y228-5000)/300)</f>
        <v/>
      </c>
      <c r="AB228" s="92" t="n"/>
      <c r="AC228" s="92" t="n"/>
      <c r="AD228" s="92" t="n"/>
      <c r="AE228" s="92" t="inlineStr">
        <is>
          <t>Above 2.5-4k</t>
        </is>
      </c>
      <c r="AF228" s="96">
        <f>INDEX('Scoring Method'!$B$63:$B$71,MATCH(AE228,'Scoring Method'!$A$63:$A$71,0))+INDEX('Scoring Method'!$B$75:$B$79,MATCH("Ample &gt;=15k",'Scoring Method'!$A$75:$A$79,0))+INDEX('Scoring Method'!$B$343:$B$347,MATCH(X228,'Scoring Method'!$A$343:$A$347,0))+INDEX('Scoring Method'!$B$25:$B$27,MATCH(P228,'Scoring Method'!$A$25:$A$27,0))</f>
        <v/>
      </c>
      <c r="AG228" s="96">
        <f>AF228*U228/100</f>
        <v/>
      </c>
      <c r="AH228" s="92" t="inlineStr">
        <is>
          <t>LINK-GIS + LoopNet (2026-08-03)</t>
        </is>
      </c>
      <c r="AI228" s="99" t="n">
        <v>39.08626</v>
      </c>
      <c r="AJ228" s="99" t="n">
        <v>-84.52059</v>
      </c>
      <c r="AK228" s="94" t="n">
        <v>0.19</v>
      </c>
      <c r="AL228" s="94" t="n">
        <v>0.73</v>
      </c>
      <c r="AM228" s="94" t="n">
        <v>1.14</v>
      </c>
      <c r="AN228" s="94" t="n">
        <v>0.19</v>
      </c>
      <c r="AO228" s="92" t="inlineStr">
        <is>
          <t>Core &lt;=0.35mi</t>
        </is>
      </c>
      <c r="AP228" s="92" t="inlineStr">
        <is>
          <t>Built-out kitchen</t>
        </is>
      </c>
      <c r="AQ228" s="92" t="inlineStr">
        <is>
          <t>Ample &gt;=15k</t>
        </is>
      </c>
      <c r="AR228" s="100" t="n"/>
      <c r="AS228" s="96">
        <f>ROUND(INDEX('Scoring Method'!$B$63:$B$70,MATCH(AE228,'Scoring Method'!$A$63:$A$70,0))*0.625+INDEX('Scoring Method'!$B$105:$B$113,MATCH(AP228,'Scoring Method'!$A$105:$A$113,0))+INDEX('Scoring Method'!$B$74:$B$78,MATCH(AQ228,'Scoring Method'!$A$74:$A$78,0))*0.6667+INDEX('Scoring Method'!$B$96:$B$101,MATCH(AO228,'Scoring Method'!$A$96:$A$101,0))+INDEX('Scoring Method'!$B$343:$B$347,MATCH(X228,'Scoring Method'!$A$343:$A$347,0))*0.3333+INDEX('Scoring Method'!$B$25:$B$27,MATCH(P228,'Scoring Method'!$A$25:$A$27,0))*0.3333,1)</f>
        <v/>
      </c>
      <c r="AT228" s="96">
        <f>AS228*U228/100</f>
        <v/>
      </c>
      <c r="AU228" s="92" t="inlineStr">
        <is>
          <t>Botany Hills / Riverfront West</t>
        </is>
      </c>
      <c r="AV228" s="92" t="n">
        <v>45</v>
      </c>
      <c r="AW228" s="101" t="inlineStr">
        <is>
          <t>ESTIMATED</t>
        </is>
      </c>
      <c r="AX228" s="92" t="inlineStr">
        <is>
          <t>Mixed 45-59</t>
        </is>
      </c>
      <c r="AY228" s="96">
        <f>ROUND(INDEX('Scoring Method'!$B$132:$B$140,MATCH(AE228,'Scoring Method'!$A$132:$A$140,0))+INDEX('Scoring Method'!$B$144:$B$152,MATCH(AP228,'Scoring Method'!$A$144:$A$152,0))+INDEX('Scoring Method'!$B$156:$B$160,MATCH(AQ228,'Scoring Method'!$A$156:$A$160,0))+INDEX('Scoring Method'!$B$164:$B$169,MATCH(AO228,'Scoring Method'!$A$164:$A$169,0))+INDEX('Scoring Method'!$B$173:$B$178,MATCH(AX228,'Scoring Method'!$A$173:$A$178,0))+INDEX('Scoring Method'!$B$349:$B$353,MATCH(X228,'Scoring Method'!$A$349:$A$353,0))+INDEX('Scoring Method'!$B$188:$B$190,MATCH(P228,'Scoring Method'!$A$188:$A$190,0)),1)</f>
        <v/>
      </c>
      <c r="AZ228" s="96">
        <f>AY228*U228/100</f>
        <v/>
      </c>
      <c r="BA228" s="103" t="inlineStr">
        <is>
          <t>Brand-owned / net lease</t>
        </is>
      </c>
      <c r="BB228" s="94" t="n">
        <v>0.3</v>
      </c>
      <c r="BC228" s="102" t="inlineStr">
        <is>
          <t>Large 0.75-1.25 AC</t>
        </is>
      </c>
      <c r="BD228" s="94" t="n">
        <v>0.9</v>
      </c>
      <c r="BE228" s="96">
        <f>ROUND(INDEX('Scoring Method'!$B$268:$B$276,MATCH(AE228,'Scoring Method'!$A$268:$A$276,0))+INDEX('Scoring Method'!$B$280:$B$288,MATCH(AP228,'Scoring Method'!$A$280:$A$288,0))+INDEX('Scoring Method'!$B$292:$B$296,MATCH(AQ228,'Scoring Method'!$A$292:$A$296,0))+INDEX('Scoring Method'!$B$300:$B$305,MATCH(AO228,'Scoring Method'!$A$300:$A$305,0))+INDEX('Scoring Method'!$B$309:$B$314,MATCH(AX228,'Scoring Method'!$A$309:$A$314,0))+INDEX('Scoring Method'!$B$337:$B$341,MATCH(X228,'Scoring Method'!$A$337:$A$341,0))+INDEX('Scoring Method'!$B$324:$B$326,MATCH(P228,'Scoring Method'!$A$324:$A$326,0)),1)</f>
        <v/>
      </c>
      <c r="BF228" s="96">
        <f>ROUND(INDEX('Scoring Method'!$B$268:$B$276,MATCH(AE228,'Scoring Method'!$A$268:$A$276,0))*BB228*BD228+INDEX('Scoring Method'!$B$280:$B$288,MATCH(AP228,'Scoring Method'!$A$280:$A$288,0))*BM228*BB228*BD228+INDEX('Scoring Method'!$B$292:$B$296,MATCH(AQ228,'Scoring Method'!$A$292:$A$296,0))*BD228+INDEX('Scoring Method'!$B$300:$B$305,MATCH(AO228,'Scoring Method'!$A$300:$A$305,0))*BM228*BB228+INDEX('Scoring Method'!$B$309:$B$314,MATCH(AX228,'Scoring Method'!$A$309:$A$314,0))+INDEX('Scoring Method'!$B$337:$B$341,MATCH(X228,'Scoring Method'!$A$337:$A$341,0))+INDEX('Scoring Method'!$B$324:$B$326,MATCH(P228,'Scoring Method'!$A$324:$A$326,0)),1)</f>
        <v/>
      </c>
      <c r="BG228" s="92" t="inlineStr">
        <is>
          <t>Fits (~$2,980/mo)</t>
        </is>
      </c>
      <c r="BH228" s="61" t="inlineStr">
        <is>
          <t>AUC</t>
        </is>
      </c>
      <c r="BI228" s="61" t="inlineStr">
        <is>
          <t>Auto-Urban Commercial</t>
        </is>
      </c>
      <c r="BJ228" s="61" t="inlineStr"/>
      <c r="BK228" s="61" t="inlineStr"/>
      <c r="BL228" s="61" t="inlineStr">
        <is>
          <t>Bar permitted</t>
        </is>
      </c>
      <c r="BM228" s="61">
        <f>INDEX('Scoring Method'!$B$358:$B$363,MATCH(BL228,'Scoring Method'!$A$358:$A$363,0))</f>
        <v/>
      </c>
    </row>
    <row r="229" ht="15" customHeight="1" s="62">
      <c r="A229" s="92" t="n">
        <v>228</v>
      </c>
      <c r="B229" s="92" t="inlineStr">
        <is>
          <t>040-44-06-012.00</t>
        </is>
      </c>
      <c r="C229" s="92" t="inlineStr">
        <is>
          <t>643 LAUREL ST</t>
        </is>
      </c>
      <c r="D229" s="92" t="inlineStr">
        <is>
          <t>STANDARD CLUB OF COVINGTON</t>
        </is>
      </c>
      <c r="E229" s="92" t="inlineStr">
        <is>
          <t>643 LAUREL ST</t>
        </is>
      </c>
      <c r="F229" s="92" t="inlineStr">
        <is>
          <t>COVINGTON</t>
        </is>
      </c>
      <c r="G229" s="92" t="inlineStr">
        <is>
          <t>KY</t>
        </is>
      </c>
      <c r="H229" s="92" t="inlineStr">
        <is>
          <t>PAVED LOT</t>
        </is>
      </c>
      <c r="I229" s="93" t="n">
        <v>12107</v>
      </c>
      <c r="J229" s="94">
        <f>I229/43560</f>
        <v/>
      </c>
      <c r="K229" s="93" t="n">
        <v>447.6</v>
      </c>
      <c r="L229" s="95">
        <f>I229/(K229^2)</f>
        <v/>
      </c>
      <c r="M229" s="92" t="inlineStr">
        <is>
          <t>Marginal 10-14k/45-60k</t>
        </is>
      </c>
      <c r="N229" s="92" t="inlineStr">
        <is>
          <t>D</t>
        </is>
      </c>
      <c r="O229" s="92" t="inlineStr">
        <is>
          <t>Compact &gt;=.055</t>
        </is>
      </c>
      <c r="P229" s="92" t="inlineStr">
        <is>
          <t>Low</t>
        </is>
      </c>
      <c r="Q229" s="92" t="inlineStr">
        <is>
          <t>Owner-occupied</t>
        </is>
      </c>
      <c r="R229" s="92" t="inlineStr">
        <is>
          <t>Fraternal/Club</t>
        </is>
      </c>
      <c r="S229" s="92" t="n">
        <v>2</v>
      </c>
      <c r="T229" s="96">
        <f>INDEX('Scoring Method'!$B$6:$B$9,MATCH(M229,'Scoring Method'!$A$6:$A$9,0))+INDEX('Scoring Method'!$B$12:$B$16,MATCH(N229,'Scoring Method'!$A$12:$A$16,0))+INDEX('Scoring Method'!$B$19:$B$22,MATCH(O229,'Scoring Method'!$A$19:$A$22,0))+INDEX('Scoring Method'!$B$25:$B$27,MATCH(P229,'Scoring Method'!$A$25:$A$27,0))</f>
        <v/>
      </c>
      <c r="U229" s="96">
        <f>(INDEX('Scoring Method'!$B$30:$B$33,MATCH(Q229,'Scoring Method'!$A$30:$A$33,0))+INDEX('Scoring Method'!$B$36:$B$42,MATCH(R229,'Scoring Method'!$A$36:$A$42,0))+INDEX('Scoring Method'!$B$45:$B$47,MATCH(IF(S229=1,"1",IF(S229=2,"2","3+")),'Scoring Method'!$A$45:$A$47,0)))/90*100</f>
        <v/>
      </c>
      <c r="V229" s="96">
        <f>T229*U229/100</f>
        <v/>
      </c>
      <c r="W229" s="93" t="n"/>
      <c r="X229" s="92" t="inlineStr">
        <is>
          <t>Unknown</t>
        </is>
      </c>
      <c r="Y229" s="93" t="n"/>
      <c r="Z229" s="97" t="n"/>
      <c r="AA229" s="98" t="n"/>
      <c r="AB229" s="92" t="n"/>
      <c r="AC229" s="92" t="n"/>
      <c r="AD229" s="92" t="n"/>
      <c r="AE229" s="92" t="n"/>
      <c r="AF229" s="96" t="n"/>
      <c r="AG229" s="96" t="n"/>
      <c r="AH229" s="92" t="inlineStr">
        <is>
          <t>LINK-GIS only</t>
        </is>
      </c>
      <c r="AI229" s="99" t="n">
        <v>39.07818</v>
      </c>
      <c r="AJ229" s="99" t="n">
        <v>-84.52206</v>
      </c>
      <c r="AK229" s="94" t="n">
        <v>0.49</v>
      </c>
      <c r="AL229" s="94" t="n">
        <v>1.14</v>
      </c>
      <c r="AM229" s="94" t="n">
        <v>1.69</v>
      </c>
      <c r="AN229" s="94" t="n">
        <v>0.49</v>
      </c>
      <c r="AO229" s="92" t="inlineStr">
        <is>
          <t>Near 0.35-0.75mi</t>
        </is>
      </c>
      <c r="AP229" s="92" t="inlineStr">
        <is>
          <t>Lot / minimal bldg</t>
        </is>
      </c>
      <c r="AQ229" s="92" t="n"/>
      <c r="AR229" s="100" t="n"/>
      <c r="AS229" s="96" t="n"/>
      <c r="AT229" s="96" t="n"/>
      <c r="AU229" s="92" t="inlineStr">
        <is>
          <t>Lewisburg</t>
        </is>
      </c>
      <c r="AV229" s="92" t="n">
        <v>65</v>
      </c>
      <c r="AW229" s="92" t="inlineStr">
        <is>
          <t>Sourced</t>
        </is>
      </c>
      <c r="AX229" s="92" t="inlineStr">
        <is>
          <t>Moderate 60-69</t>
        </is>
      </c>
      <c r="AY229" s="96" t="n"/>
      <c r="AZ229" s="96" t="n"/>
      <c r="BA229" s="92" t="inlineStr">
        <is>
          <t>Owner-occupied operator</t>
        </is>
      </c>
      <c r="BB229" s="94" t="n">
        <v>0.8</v>
      </c>
      <c r="BC229" s="102" t="inlineStr">
        <is>
          <t>Small 0.25-0.35 AC</t>
        </is>
      </c>
      <c r="BD229" s="94" t="n">
        <v>0.9</v>
      </c>
      <c r="BE229" s="96" t="n"/>
      <c r="BF229" s="96" t="n"/>
      <c r="BG229" s="92" t="n"/>
      <c r="BH229" s="61" t="inlineStr">
        <is>
          <t>Not joined</t>
        </is>
      </c>
      <c r="BL229" s="61" t="inlineStr">
        <is>
          <t>Not joined</t>
        </is>
      </c>
      <c r="BM229" s="61" t="n">
        <v>1</v>
      </c>
    </row>
    <row r="230" ht="15" customHeight="1" s="62">
      <c r="A230" s="92" t="n">
        <v>229</v>
      </c>
      <c r="B230" s="92" t="inlineStr">
        <is>
          <t>055-13-06-002.00</t>
        </is>
      </c>
      <c r="C230" s="92" t="inlineStr">
        <is>
          <t>1629 MADISON AVE</t>
        </is>
      </c>
      <c r="D230" s="92" t="inlineStr">
        <is>
          <t>LILLIAN VENTURES LLC</t>
        </is>
      </c>
      <c r="E230" s="92" t="inlineStr">
        <is>
          <t>440 6TH AVE</t>
        </is>
      </c>
      <c r="F230" s="92" t="inlineStr">
        <is>
          <t>DAYTON</t>
        </is>
      </c>
      <c r="G230" s="92" t="inlineStr">
        <is>
          <t>KY</t>
        </is>
      </c>
      <c r="H230" s="92" t="inlineStr">
        <is>
          <t>MEDICAL CLINIC/OFFICE</t>
        </is>
      </c>
      <c r="I230" s="93" t="n">
        <v>15063</v>
      </c>
      <c r="J230" s="94">
        <f>I230/43560</f>
        <v/>
      </c>
      <c r="K230" s="93" t="n">
        <v>530</v>
      </c>
      <c r="L230" s="95">
        <f>I230/(K230^2)</f>
        <v/>
      </c>
      <c r="M230" s="92" t="inlineStr">
        <is>
          <t>Near 14-18k/32-45k</t>
        </is>
      </c>
      <c r="N230" s="92" t="inlineStr">
        <is>
          <t>E</t>
        </is>
      </c>
      <c r="O230" s="92" t="inlineStr">
        <is>
          <t>Regular .045-.055</t>
        </is>
      </c>
      <c r="P230" s="92" t="inlineStr">
        <is>
          <t>Low</t>
        </is>
      </c>
      <c r="Q230" s="92" t="inlineStr">
        <is>
          <t>Out-of-city KY</t>
        </is>
      </c>
      <c r="R230" s="92" t="inlineStr">
        <is>
          <t>Operating entity</t>
        </is>
      </c>
      <c r="S230" s="92" t="n">
        <v>1</v>
      </c>
      <c r="T230" s="96">
        <f>INDEX('Scoring Method'!$B$6:$B$9,MATCH(M230,'Scoring Method'!$A$6:$A$9,0))+INDEX('Scoring Method'!$B$12:$B$16,MATCH(N230,'Scoring Method'!$A$12:$A$16,0))+INDEX('Scoring Method'!$B$19:$B$22,MATCH(O230,'Scoring Method'!$A$19:$A$22,0))+INDEX('Scoring Method'!$B$25:$B$27,MATCH(P230,'Scoring Method'!$A$25:$A$27,0))</f>
        <v/>
      </c>
      <c r="U230" s="96">
        <f>(INDEX('Scoring Method'!$B$30:$B$33,MATCH(Q230,'Scoring Method'!$A$30:$A$33,0))+INDEX('Scoring Method'!$B$36:$B$42,MATCH(R230,'Scoring Method'!$A$36:$A$42,0))+INDEX('Scoring Method'!$B$45:$B$47,MATCH(IF(S230=1,"1",IF(S230=2,"2","3+")),'Scoring Method'!$A$45:$A$47,0)))/90*100</f>
        <v/>
      </c>
      <c r="V230" s="96">
        <f>T230*U230/100</f>
        <v/>
      </c>
      <c r="W230" s="93" t="n">
        <v>4663</v>
      </c>
      <c r="X230" s="92" t="inlineStr">
        <is>
          <t>X (minimal hazard)</t>
        </is>
      </c>
      <c r="Y230" s="93" t="n">
        <v>8225</v>
      </c>
      <c r="Z230" s="97" t="n"/>
      <c r="AA230" s="98">
        <f>MAX(0,(Y230-5000)/300)</f>
        <v/>
      </c>
      <c r="AB230" s="92" t="n"/>
      <c r="AC230" s="92" t="n"/>
      <c r="AD230" s="92" t="n"/>
      <c r="AE230" s="92" t="inlineStr">
        <is>
          <t>Large 4-6k</t>
        </is>
      </c>
      <c r="AF230" s="96">
        <f>INDEX('Scoring Method'!$B$63:$B$71,MATCH(AE230,'Scoring Method'!$A$63:$A$71,0))+INDEX('Scoring Method'!$B$75:$B$79,MATCH("Good 8-15k",'Scoring Method'!$A$75:$A$79,0))+INDEX('Scoring Method'!$B$343:$B$347,MATCH(X230,'Scoring Method'!$A$343:$A$347,0))+INDEX('Scoring Method'!$B$25:$B$27,MATCH(P230,'Scoring Method'!$A$25:$A$27,0))</f>
        <v/>
      </c>
      <c r="AG230" s="96">
        <f>AF230*U230/100</f>
        <v/>
      </c>
      <c r="AH230" s="92" t="inlineStr">
        <is>
          <t>LINK-GIS only</t>
        </is>
      </c>
      <c r="AI230" s="99" t="n">
        <v>39.07098</v>
      </c>
      <c r="AJ230" s="99" t="n">
        <v>-84.50726</v>
      </c>
      <c r="AK230" s="94" t="n">
        <v>1.09</v>
      </c>
      <c r="AL230" s="94" t="n">
        <v>1.37</v>
      </c>
      <c r="AM230" s="94" t="n">
        <v>2.13</v>
      </c>
      <c r="AN230" s="94" t="n">
        <v>0.92</v>
      </c>
      <c r="AO230" s="92" t="inlineStr">
        <is>
          <t>Fringe 0.75-1.25mi</t>
        </is>
      </c>
      <c r="AP230" s="92" t="inlineStr">
        <is>
          <t>Office/institutional</t>
        </is>
      </c>
      <c r="AQ230" s="92" t="inlineStr">
        <is>
          <t>Good 8-15k</t>
        </is>
      </c>
      <c r="AR230" s="100" t="n"/>
      <c r="AS230" s="96">
        <f>ROUND(INDEX('Scoring Method'!$B$63:$B$70,MATCH(AE230,'Scoring Method'!$A$63:$A$70,0))*0.625+INDEX('Scoring Method'!$B$105:$B$113,MATCH(AP230,'Scoring Method'!$A$105:$A$113,0))+INDEX('Scoring Method'!$B$74:$B$78,MATCH(AQ230,'Scoring Method'!$A$74:$A$78,0))*0.6667+INDEX('Scoring Method'!$B$96:$B$101,MATCH(AO230,'Scoring Method'!$A$96:$A$101,0))+INDEX('Scoring Method'!$B$343:$B$347,MATCH(X230,'Scoring Method'!$A$343:$A$347,0))*0.3333+INDEX('Scoring Method'!$B$25:$B$27,MATCH(P230,'Scoring Method'!$A$25:$A$27,0))*0.3333,1)</f>
        <v/>
      </c>
      <c r="AT230" s="96">
        <f>AS230*U230/100</f>
        <v/>
      </c>
      <c r="AU230" s="92" t="inlineStr">
        <is>
          <t>Eastside</t>
        </is>
      </c>
      <c r="AV230" s="92" t="n">
        <v>28</v>
      </c>
      <c r="AW230" s="101" t="inlineStr">
        <is>
          <t>ESTIMATED</t>
        </is>
      </c>
      <c r="AX230" s="92" t="inlineStr">
        <is>
          <t>High &lt;35</t>
        </is>
      </c>
      <c r="AY230" s="96">
        <f>ROUND(INDEX('Scoring Method'!$B$132:$B$140,MATCH(AE230,'Scoring Method'!$A$132:$A$140,0))+INDEX('Scoring Method'!$B$144:$B$152,MATCH(AP230,'Scoring Method'!$A$144:$A$152,0))+INDEX('Scoring Method'!$B$156:$B$160,MATCH(AQ230,'Scoring Method'!$A$156:$A$160,0))+INDEX('Scoring Method'!$B$164:$B$169,MATCH(AO230,'Scoring Method'!$A$164:$A$169,0))+INDEX('Scoring Method'!$B$173:$B$178,MATCH(AX230,'Scoring Method'!$A$173:$A$178,0))+INDEX('Scoring Method'!$B$349:$B$353,MATCH(X230,'Scoring Method'!$A$349:$A$353,0))+INDEX('Scoring Method'!$B$188:$B$190,MATCH(P230,'Scoring Method'!$A$188:$A$190,0)),1)</f>
        <v/>
      </c>
      <c r="AZ230" s="96">
        <f>AY230*U230/100</f>
        <v/>
      </c>
      <c r="BA230" s="92" t="inlineStr">
        <is>
          <t>No chain signal</t>
        </is>
      </c>
      <c r="BB230" s="94" t="n">
        <v>1</v>
      </c>
      <c r="BC230" s="102" t="inlineStr">
        <is>
          <t>Small 0.25-0.35 AC</t>
        </is>
      </c>
      <c r="BD230" s="94" t="n">
        <v>0.9</v>
      </c>
      <c r="BE230" s="96">
        <f>ROUND(INDEX('Scoring Method'!$B$268:$B$276,MATCH(AE230,'Scoring Method'!$A$268:$A$276,0))+INDEX('Scoring Method'!$B$280:$B$288,MATCH(AP230,'Scoring Method'!$A$280:$A$288,0))+INDEX('Scoring Method'!$B$292:$B$296,MATCH(AQ230,'Scoring Method'!$A$292:$A$296,0))+INDEX('Scoring Method'!$B$300:$B$305,MATCH(AO230,'Scoring Method'!$A$300:$A$305,0))+INDEX('Scoring Method'!$B$309:$B$314,MATCH(AX230,'Scoring Method'!$A$309:$A$314,0))+INDEX('Scoring Method'!$B$337:$B$341,MATCH(X230,'Scoring Method'!$A$337:$A$341,0))+INDEX('Scoring Method'!$B$324:$B$326,MATCH(P230,'Scoring Method'!$A$324:$A$326,0)),1)</f>
        <v/>
      </c>
      <c r="BF230" s="96">
        <f>ROUND(INDEX('Scoring Method'!$B$268:$B$276,MATCH(AE230,'Scoring Method'!$A$268:$A$276,0))*BB230*BD230+INDEX('Scoring Method'!$B$280:$B$288,MATCH(AP230,'Scoring Method'!$A$280:$A$288,0))*BM230*BB230*BD230+INDEX('Scoring Method'!$B$292:$B$296,MATCH(AQ230,'Scoring Method'!$A$292:$A$296,0))*BD230+INDEX('Scoring Method'!$B$300:$B$305,MATCH(AO230,'Scoring Method'!$A$300:$A$305,0))*BM230*BB230+INDEX('Scoring Method'!$B$309:$B$314,MATCH(AX230,'Scoring Method'!$A$309:$A$314,0))+INDEX('Scoring Method'!$B$337:$B$341,MATCH(X230,'Scoring Method'!$A$337:$A$341,0))+INDEX('Scoring Method'!$B$324:$B$326,MATCH(P230,'Scoring Method'!$A$324:$A$326,0)),1)</f>
        <v/>
      </c>
      <c r="BG230" s="92" t="inlineStr">
        <is>
          <t>Fits (~$4,274/mo)</t>
        </is>
      </c>
      <c r="BH230" s="61" t="inlineStr">
        <is>
          <t>AUC</t>
        </is>
      </c>
      <c r="BI230" s="61" t="inlineStr">
        <is>
          <t>Auto-Urban Commercial</t>
        </is>
      </c>
      <c r="BJ230" s="61" t="inlineStr"/>
      <c r="BK230" s="61" t="inlineStr"/>
      <c r="BL230" s="61" t="inlineStr">
        <is>
          <t>Bar permitted</t>
        </is>
      </c>
      <c r="BM230" s="61">
        <f>INDEX('Scoring Method'!$B$358:$B$363,MATCH(BL230,'Scoring Method'!$A$358:$A$363,0))</f>
        <v/>
      </c>
    </row>
    <row r="231" ht="15" customHeight="1" s="62">
      <c r="A231" s="92" t="n">
        <v>230</v>
      </c>
      <c r="B231" s="92" t="inlineStr">
        <is>
          <t>056-20-00-065.02</t>
        </is>
      </c>
      <c r="C231" s="92" t="inlineStr">
        <is>
          <t>4375 BORON AVE</t>
        </is>
      </c>
      <c r="D231" s="92" t="inlineStr">
        <is>
          <t>ACTION MINISTRIES INC</t>
        </is>
      </c>
      <c r="E231" s="92" t="inlineStr">
        <is>
          <t>4375 BORON DR</t>
        </is>
      </c>
      <c r="F231" s="92" t="inlineStr">
        <is>
          <t>COVINGTON</t>
        </is>
      </c>
      <c r="G231" s="92" t="inlineStr">
        <is>
          <t>KY</t>
        </is>
      </c>
      <c r="H231" s="92" t="inlineStr">
        <is>
          <t>WAREHOUSE 1-20000 SQ FT</t>
        </is>
      </c>
      <c r="I231" s="93" t="n">
        <v>36670</v>
      </c>
      <c r="J231" s="94">
        <f>I231/43560</f>
        <v/>
      </c>
      <c r="K231" s="93" t="n">
        <v>766</v>
      </c>
      <c r="L231" s="95">
        <f>I231/(K231^2)</f>
        <v/>
      </c>
      <c r="M231" s="92" t="inlineStr">
        <is>
          <t>Near 14-18k/32-45k</t>
        </is>
      </c>
      <c r="N231" s="92" t="inlineStr">
        <is>
          <t>A</t>
        </is>
      </c>
      <c r="O231" s="92" t="inlineStr">
        <is>
          <t>Compact &gt;=.055</t>
        </is>
      </c>
      <c r="P231" s="92" t="inlineStr">
        <is>
          <t>Low</t>
        </is>
      </c>
      <c r="Q231" s="92" t="inlineStr">
        <is>
          <t>Owner-occupied</t>
        </is>
      </c>
      <c r="R231" s="92" t="inlineStr">
        <is>
          <t>Religious</t>
        </is>
      </c>
      <c r="S231" s="92" t="n">
        <v>1</v>
      </c>
      <c r="T231" s="96">
        <f>INDEX('Scoring Method'!$B$6:$B$9,MATCH(M231,'Scoring Method'!$A$6:$A$9,0))+INDEX('Scoring Method'!$B$12:$B$16,MATCH(N231,'Scoring Method'!$A$12:$A$16,0))+INDEX('Scoring Method'!$B$19:$B$22,MATCH(O231,'Scoring Method'!$A$19:$A$22,0))+INDEX('Scoring Method'!$B$25:$B$27,MATCH(P231,'Scoring Method'!$A$25:$A$27,0))</f>
        <v/>
      </c>
      <c r="U231" s="96">
        <f>(INDEX('Scoring Method'!$B$30:$B$33,MATCH(Q231,'Scoring Method'!$A$30:$A$33,0))+INDEX('Scoring Method'!$B$36:$B$42,MATCH(R231,'Scoring Method'!$A$36:$A$42,0))+INDEX('Scoring Method'!$B$45:$B$47,MATCH(IF(S231=1,"1",IF(S231=2,"2","3+")),'Scoring Method'!$A$45:$A$47,0)))/90*100</f>
        <v/>
      </c>
      <c r="V231" s="96">
        <f>T231*U231/100</f>
        <v/>
      </c>
      <c r="W231" s="93" t="n">
        <v>8025</v>
      </c>
      <c r="X231" s="92" t="inlineStr">
        <is>
          <t>X (minimal hazard)</t>
        </is>
      </c>
      <c r="Y231" s="93" t="n">
        <v>28225</v>
      </c>
      <c r="Z231" s="97" t="n"/>
      <c r="AA231" s="98">
        <f>MAX(0,(Y231-5000)/300)</f>
        <v/>
      </c>
      <c r="AB231" s="92" t="n"/>
      <c r="AC231" s="92" t="n"/>
      <c r="AD231" s="92" t="n"/>
      <c r="AE231" s="92" t="inlineStr">
        <is>
          <t>Oversize 6-12k</t>
        </is>
      </c>
      <c r="AF231" s="96">
        <f>INDEX('Scoring Method'!$B$63:$B$71,MATCH(AE231,'Scoring Method'!$A$63:$A$71,0))+INDEX('Scoring Method'!$B$75:$B$79,MATCH("Ample &gt;=15k",'Scoring Method'!$A$75:$A$79,0))+INDEX('Scoring Method'!$B$343:$B$347,MATCH(X231,'Scoring Method'!$A$343:$A$347,0))+INDEX('Scoring Method'!$B$25:$B$27,MATCH(P231,'Scoring Method'!$A$25:$A$27,0))</f>
        <v/>
      </c>
      <c r="AG231" s="96">
        <f>AF231*U231/100</f>
        <v/>
      </c>
      <c r="AH231" s="92" t="inlineStr">
        <is>
          <t>LINK-GIS + LoopNet (2026-08-02)</t>
        </is>
      </c>
      <c r="AI231" s="99" t="n">
        <v>39.04035</v>
      </c>
      <c r="AJ231" s="99" t="n">
        <v>-84.51432</v>
      </c>
      <c r="AK231" s="94" t="n">
        <v>3.05</v>
      </c>
      <c r="AL231" s="94" t="n">
        <v>3.5</v>
      </c>
      <c r="AM231" s="94" t="n">
        <v>4.23</v>
      </c>
      <c r="AN231" s="94" t="n">
        <v>3.02</v>
      </c>
      <c r="AO231" s="92" t="inlineStr">
        <is>
          <t>Remote &gt;3mi</t>
        </is>
      </c>
      <c r="AP231" s="92" t="inlineStr">
        <is>
          <t>Open span</t>
        </is>
      </c>
      <c r="AQ231" s="92" t="inlineStr">
        <is>
          <t>Ample &gt;=15k</t>
        </is>
      </c>
      <c r="AR231" s="100" t="n"/>
      <c r="AS231" s="96">
        <f>ROUND(INDEX('Scoring Method'!$B$63:$B$70,MATCH(AE231,'Scoring Method'!$A$63:$A$70,0))*0.625+INDEX('Scoring Method'!$B$105:$B$113,MATCH(AP231,'Scoring Method'!$A$105:$A$113,0))+INDEX('Scoring Method'!$B$74:$B$78,MATCH(AQ231,'Scoring Method'!$A$74:$A$78,0))*0.6667+INDEX('Scoring Method'!$B$96:$B$101,MATCH(AO231,'Scoring Method'!$A$96:$A$101,0))+INDEX('Scoring Method'!$B$343:$B$347,MATCH(X231,'Scoring Method'!$A$343:$A$347,0))*0.3333+INDEX('Scoring Method'!$B$25:$B$27,MATCH(P231,'Scoring Method'!$A$25:$A$27,0))*0.3333,1)</f>
        <v/>
      </c>
      <c r="AT231" s="96">
        <f>AS231*U231/100</f>
        <v/>
      </c>
      <c r="AU231" s="92" t="inlineStr">
        <is>
          <t>Rittes East / Winston Park</t>
        </is>
      </c>
      <c r="AV231" s="92" t="n">
        <v>82</v>
      </c>
      <c r="AW231" s="92" t="inlineStr">
        <is>
          <t>Sourced</t>
        </is>
      </c>
      <c r="AX231" s="92" t="inlineStr">
        <is>
          <t>Very safe 80+</t>
        </is>
      </c>
      <c r="AY231" s="96">
        <f>ROUND(INDEX('Scoring Method'!$B$132:$B$140,MATCH(AE231,'Scoring Method'!$A$132:$A$140,0))+INDEX('Scoring Method'!$B$144:$B$152,MATCH(AP231,'Scoring Method'!$A$144:$A$152,0))+INDEX('Scoring Method'!$B$156:$B$160,MATCH(AQ231,'Scoring Method'!$A$156:$A$160,0))+INDEX('Scoring Method'!$B$164:$B$169,MATCH(AO231,'Scoring Method'!$A$164:$A$169,0))+INDEX('Scoring Method'!$B$173:$B$178,MATCH(AX231,'Scoring Method'!$A$173:$A$178,0))+INDEX('Scoring Method'!$B$349:$B$353,MATCH(X231,'Scoring Method'!$A$349:$A$353,0))+INDEX('Scoring Method'!$B$188:$B$190,MATCH(P231,'Scoring Method'!$A$188:$A$190,0)),1)</f>
        <v/>
      </c>
      <c r="AZ231" s="96">
        <f>AY231*U231/100</f>
        <v/>
      </c>
      <c r="BA231" s="92" t="inlineStr">
        <is>
          <t>Owner-occupied operator</t>
        </is>
      </c>
      <c r="BB231" s="94" t="n">
        <v>0.8</v>
      </c>
      <c r="BC231" s="102" t="inlineStr">
        <is>
          <t>Large 0.75-1.25 AC</t>
        </is>
      </c>
      <c r="BD231" s="94" t="n">
        <v>0.9</v>
      </c>
      <c r="BE231" s="96">
        <f>ROUND(INDEX('Scoring Method'!$B$268:$B$276,MATCH(AE231,'Scoring Method'!$A$268:$A$276,0))+INDEX('Scoring Method'!$B$280:$B$288,MATCH(AP231,'Scoring Method'!$A$280:$A$288,0))+INDEX('Scoring Method'!$B$292:$B$296,MATCH(AQ231,'Scoring Method'!$A$292:$A$296,0))+INDEX('Scoring Method'!$B$300:$B$305,MATCH(AO231,'Scoring Method'!$A$300:$A$305,0))+INDEX('Scoring Method'!$B$309:$B$314,MATCH(AX231,'Scoring Method'!$A$309:$A$314,0))+INDEX('Scoring Method'!$B$337:$B$341,MATCH(X231,'Scoring Method'!$A$337:$A$341,0))+INDEX('Scoring Method'!$B$324:$B$326,MATCH(P231,'Scoring Method'!$A$324:$A$326,0)),1)</f>
        <v/>
      </c>
      <c r="BF231" s="96">
        <f>ROUND(INDEX('Scoring Method'!$B$268:$B$276,MATCH(AE231,'Scoring Method'!$A$268:$A$276,0))*BB231*BD231+INDEX('Scoring Method'!$B$280:$B$288,MATCH(AP231,'Scoring Method'!$A$280:$A$288,0))*BM231*BB231*BD231+INDEX('Scoring Method'!$B$292:$B$296,MATCH(AQ231,'Scoring Method'!$A$292:$A$296,0))*BD231+INDEX('Scoring Method'!$B$300:$B$305,MATCH(AO231,'Scoring Method'!$A$300:$A$305,0))*BM231*BB231+INDEX('Scoring Method'!$B$309:$B$314,MATCH(AX231,'Scoring Method'!$A$309:$A$314,0))+INDEX('Scoring Method'!$B$337:$B$341,MATCH(X231,'Scoring Method'!$A$337:$A$341,0))+INDEX('Scoring Method'!$B$324:$B$326,MATCH(P231,'Scoring Method'!$A$324:$A$326,0)),1)</f>
        <v/>
      </c>
      <c r="BG231" s="92" t="inlineStr">
        <is>
          <t>Fits (~$7,356/mo)</t>
        </is>
      </c>
      <c r="BH231" s="61" t="inlineStr">
        <is>
          <t>SI</t>
        </is>
      </c>
      <c r="BI231" s="61" t="inlineStr">
        <is>
          <t>Suburban Industrial</t>
        </is>
      </c>
      <c r="BJ231" s="61" t="inlineStr"/>
      <c r="BK231" s="61" t="inlineStr"/>
      <c r="BL231" s="61" t="inlineStr">
        <is>
          <t>Bar permitted</t>
        </is>
      </c>
      <c r="BM231" s="61">
        <f>INDEX('Scoring Method'!$B$358:$B$363,MATCH(BL231,'Scoring Method'!$A$358:$A$363,0))</f>
        <v/>
      </c>
    </row>
    <row r="232" ht="15" customHeight="1" s="62">
      <c r="A232" s="92" t="n">
        <v>231</v>
      </c>
      <c r="B232" s="92" t="inlineStr">
        <is>
          <t>040-34-05-004.00</t>
        </is>
      </c>
      <c r="C232" s="92" t="inlineStr">
        <is>
          <t>610 W 4TH ST</t>
        </is>
      </c>
      <c r="D232" s="92" t="inlineStr">
        <is>
          <t>NADG NNN BP (KY) LP</t>
        </is>
      </c>
      <c r="E232" s="92" t="inlineStr">
        <is>
          <t>PO BOX 1178</t>
        </is>
      </c>
      <c r="F232" s="92" t="inlineStr">
        <is>
          <t>HICKSVILLE</t>
        </is>
      </c>
      <c r="G232" s="92" t="inlineStr">
        <is>
          <t>NY</t>
        </is>
      </c>
      <c r="H232" s="92" t="inlineStr">
        <is>
          <t>GAS STATION/CONVENIENCE STORE</t>
        </is>
      </c>
      <c r="I232" s="93" t="n">
        <v>30562</v>
      </c>
      <c r="J232" s="94">
        <f>I232/43560</f>
        <v/>
      </c>
      <c r="K232" s="93" t="n">
        <v>692.3</v>
      </c>
      <c r="L232" s="95">
        <f>I232/(K232^2)</f>
        <v/>
      </c>
      <c r="M232" s="92" t="inlineStr">
        <is>
          <t>Ideal 18-32k</t>
        </is>
      </c>
      <c r="N232" s="92" t="inlineStr">
        <is>
          <t>E</t>
        </is>
      </c>
      <c r="O232" s="92" t="inlineStr">
        <is>
          <t>Compact &gt;=.055</t>
        </is>
      </c>
      <c r="P232" s="92" t="inlineStr">
        <is>
          <t>High</t>
        </is>
      </c>
      <c r="Q232" s="92" t="inlineStr">
        <is>
          <t>Out-of-state</t>
        </is>
      </c>
      <c r="R232" s="92" t="inlineStr">
        <is>
          <t>National corporate</t>
        </is>
      </c>
      <c r="S232" s="92" t="n">
        <v>1</v>
      </c>
      <c r="T232" s="96">
        <f>INDEX('Scoring Method'!$B$6:$B$9,MATCH(M232,'Scoring Method'!$A$6:$A$9,0))+INDEX('Scoring Method'!$B$12:$B$16,MATCH(N232,'Scoring Method'!$A$12:$A$16,0))+INDEX('Scoring Method'!$B$19:$B$22,MATCH(O232,'Scoring Method'!$A$19:$A$22,0))+INDEX('Scoring Method'!$B$25:$B$27,MATCH(P232,'Scoring Method'!$A$25:$A$27,0))</f>
        <v/>
      </c>
      <c r="U232" s="96">
        <f>(INDEX('Scoring Method'!$B$30:$B$33,MATCH(Q232,'Scoring Method'!$A$30:$A$33,0))+INDEX('Scoring Method'!$B$36:$B$42,MATCH(R232,'Scoring Method'!$A$36:$A$42,0))+INDEX('Scoring Method'!$B$45:$B$47,MATCH(IF(S232=1,"1",IF(S232=2,"2","3+")),'Scoring Method'!$A$45:$A$47,0)))/90*100</f>
        <v/>
      </c>
      <c r="V232" s="96">
        <f>T232*U232/100</f>
        <v/>
      </c>
      <c r="W232" s="93" t="n">
        <v>1768</v>
      </c>
      <c r="X232" s="92" t="inlineStr">
        <is>
          <t>X (levee-protected)</t>
        </is>
      </c>
      <c r="Y232" s="93" t="n">
        <v>21200</v>
      </c>
      <c r="Z232" s="97" t="n"/>
      <c r="AA232" s="98">
        <f>MAX(0,(Y232-5000)/300)</f>
        <v/>
      </c>
      <c r="AB232" s="92" t="n"/>
      <c r="AC232" s="92" t="n"/>
      <c r="AD232" s="92" t="n"/>
      <c r="AE232" s="92" t="inlineStr">
        <is>
          <t>Target 1.5-2.5k</t>
        </is>
      </c>
      <c r="AF232" s="96">
        <f>INDEX('Scoring Method'!$B$63:$B$71,MATCH(AE232,'Scoring Method'!$A$63:$A$71,0))+INDEX('Scoring Method'!$B$75:$B$79,MATCH("Ample &gt;=15k",'Scoring Method'!$A$75:$A$79,0))+INDEX('Scoring Method'!$B$343:$B$347,MATCH(X232,'Scoring Method'!$A$343:$A$347,0))+INDEX('Scoring Method'!$B$25:$B$27,MATCH(P232,'Scoring Method'!$A$25:$A$27,0))</f>
        <v/>
      </c>
      <c r="AG232" s="96">
        <f>AF232*U232/100</f>
        <v/>
      </c>
      <c r="AH232" s="92" t="inlineStr">
        <is>
          <t>LINK-GIS + LoopNet (2026-08-03)</t>
        </is>
      </c>
      <c r="AI232" s="99" t="n">
        <v>39.08671</v>
      </c>
      <c r="AJ232" s="99" t="n">
        <v>-84.52034999999999</v>
      </c>
      <c r="AK232" s="94" t="n">
        <v>0.21</v>
      </c>
      <c r="AL232" s="94" t="n">
        <v>0.7</v>
      </c>
      <c r="AM232" s="94" t="n">
        <v>1.11</v>
      </c>
      <c r="AN232" s="94" t="n">
        <v>0.21</v>
      </c>
      <c r="AO232" s="92" t="inlineStr">
        <is>
          <t>Core &lt;=0.35mi</t>
        </is>
      </c>
      <c r="AP232" s="92" t="inlineStr">
        <is>
          <t>Built-out kitchen</t>
        </is>
      </c>
      <c r="AQ232" s="92" t="inlineStr">
        <is>
          <t>Ample &gt;=15k</t>
        </is>
      </c>
      <c r="AR232" s="100" t="n"/>
      <c r="AS232" s="96">
        <f>ROUND(INDEX('Scoring Method'!$B$63:$B$70,MATCH(AE232,'Scoring Method'!$A$63:$A$70,0))*0.625+INDEX('Scoring Method'!$B$105:$B$113,MATCH(AP232,'Scoring Method'!$A$105:$A$113,0))+INDEX('Scoring Method'!$B$74:$B$78,MATCH(AQ232,'Scoring Method'!$A$74:$A$78,0))*0.6667+INDEX('Scoring Method'!$B$96:$B$101,MATCH(AO232,'Scoring Method'!$A$96:$A$101,0))+INDEX('Scoring Method'!$B$343:$B$347,MATCH(X232,'Scoring Method'!$A$343:$A$347,0))*0.3333+INDEX('Scoring Method'!$B$25:$B$27,MATCH(P232,'Scoring Method'!$A$25:$A$27,0))*0.3333,1)</f>
        <v/>
      </c>
      <c r="AT232" s="96">
        <f>AS232*U232/100</f>
        <v/>
      </c>
      <c r="AU232" s="92" t="inlineStr">
        <is>
          <t>Botany Hills / Riverfront West</t>
        </is>
      </c>
      <c r="AV232" s="92" t="n">
        <v>45</v>
      </c>
      <c r="AW232" s="101" t="inlineStr">
        <is>
          <t>ESTIMATED</t>
        </is>
      </c>
      <c r="AX232" s="92" t="inlineStr">
        <is>
          <t>Mixed 45-59</t>
        </is>
      </c>
      <c r="AY232" s="96">
        <f>ROUND(INDEX('Scoring Method'!$B$132:$B$140,MATCH(AE232,'Scoring Method'!$A$132:$A$140,0))+INDEX('Scoring Method'!$B$144:$B$152,MATCH(AP232,'Scoring Method'!$A$144:$A$152,0))+INDEX('Scoring Method'!$B$156:$B$160,MATCH(AQ232,'Scoring Method'!$A$156:$A$160,0))+INDEX('Scoring Method'!$B$164:$B$169,MATCH(AO232,'Scoring Method'!$A$164:$A$169,0))+INDEX('Scoring Method'!$B$173:$B$178,MATCH(AX232,'Scoring Method'!$A$173:$A$178,0))+INDEX('Scoring Method'!$B$349:$B$353,MATCH(X232,'Scoring Method'!$A$349:$A$353,0))+INDEX('Scoring Method'!$B$188:$B$190,MATCH(P232,'Scoring Method'!$A$188:$A$190,0)),1)</f>
        <v/>
      </c>
      <c r="AZ232" s="96">
        <f>AY232*U232/100</f>
        <v/>
      </c>
      <c r="BA232" s="103" t="inlineStr">
        <is>
          <t>Brand-owned / net lease</t>
        </is>
      </c>
      <c r="BB232" s="94" t="n">
        <v>0.3</v>
      </c>
      <c r="BC232" s="92" t="inlineStr">
        <is>
          <t>Right-sized 0.35-0.75 AC</t>
        </is>
      </c>
      <c r="BD232" s="94" t="n">
        <v>1</v>
      </c>
      <c r="BE232" s="96">
        <f>ROUND(INDEX('Scoring Method'!$B$268:$B$276,MATCH(AE232,'Scoring Method'!$A$268:$A$276,0))+INDEX('Scoring Method'!$B$280:$B$288,MATCH(AP232,'Scoring Method'!$A$280:$A$288,0))+INDEX('Scoring Method'!$B$292:$B$296,MATCH(AQ232,'Scoring Method'!$A$292:$A$296,0))+INDEX('Scoring Method'!$B$300:$B$305,MATCH(AO232,'Scoring Method'!$A$300:$A$305,0))+INDEX('Scoring Method'!$B$309:$B$314,MATCH(AX232,'Scoring Method'!$A$309:$A$314,0))+INDEX('Scoring Method'!$B$337:$B$341,MATCH(X232,'Scoring Method'!$A$337:$A$341,0))+INDEX('Scoring Method'!$B$324:$B$326,MATCH(P232,'Scoring Method'!$A$324:$A$326,0)),1)</f>
        <v/>
      </c>
      <c r="BF232" s="96">
        <f>ROUND(INDEX('Scoring Method'!$B$268:$B$276,MATCH(AE232,'Scoring Method'!$A$268:$A$276,0))*BB232*BD232+INDEX('Scoring Method'!$B$280:$B$288,MATCH(AP232,'Scoring Method'!$A$280:$A$288,0))*BM232*BB232*BD232+INDEX('Scoring Method'!$B$292:$B$296,MATCH(AQ232,'Scoring Method'!$A$292:$A$296,0))*BD232+INDEX('Scoring Method'!$B$300:$B$305,MATCH(AO232,'Scoring Method'!$A$300:$A$305,0))*BM232*BB232+INDEX('Scoring Method'!$B$309:$B$314,MATCH(AX232,'Scoring Method'!$A$309:$A$314,0))+INDEX('Scoring Method'!$B$337:$B$341,MATCH(X232,'Scoring Method'!$A$337:$A$341,0))+INDEX('Scoring Method'!$B$324:$B$326,MATCH(P232,'Scoring Method'!$A$324:$A$326,0)),1)</f>
        <v/>
      </c>
      <c r="BG232" s="92" t="inlineStr">
        <is>
          <t>Fits (~$1,621/mo)</t>
        </is>
      </c>
      <c r="BH232" s="61" t="inlineStr">
        <is>
          <t>AUC</t>
        </is>
      </c>
      <c r="BI232" s="61" t="inlineStr">
        <is>
          <t>Auto-Urban Commercial</t>
        </is>
      </c>
      <c r="BJ232" s="61" t="inlineStr"/>
      <c r="BK232" s="61" t="inlineStr"/>
      <c r="BL232" s="61" t="inlineStr">
        <is>
          <t>Bar permitted</t>
        </is>
      </c>
      <c r="BM232" s="61">
        <f>INDEX('Scoring Method'!$B$358:$B$363,MATCH(BL232,'Scoring Method'!$A$358:$A$363,0))</f>
        <v/>
      </c>
    </row>
    <row r="233" ht="15" customHeight="1" s="62">
      <c r="A233" s="92" t="n">
        <v>232</v>
      </c>
      <c r="B233" s="92" t="inlineStr">
        <is>
          <t>040-43-04-002.01</t>
        </is>
      </c>
      <c r="C233" s="92" t="inlineStr">
        <is>
          <t>610 W 5TH ST</t>
        </is>
      </c>
      <c r="D233" s="92" t="inlineStr">
        <is>
          <t>SPEEDWAY LLC</t>
        </is>
      </c>
      <c r="E233" s="92" t="inlineStr">
        <is>
          <t>PO BOX 2440</t>
        </is>
      </c>
      <c r="F233" s="92" t="inlineStr">
        <is>
          <t>SPOKANE</t>
        </is>
      </c>
      <c r="G233" s="92" t="inlineStr">
        <is>
          <t>WA</t>
        </is>
      </c>
      <c r="H233" s="92" t="inlineStr">
        <is>
          <t>GAS STATION/CONVENIENCE STORE</t>
        </is>
      </c>
      <c r="I233" s="93" t="n">
        <v>19375</v>
      </c>
      <c r="J233" s="94">
        <f>I233/43560</f>
        <v/>
      </c>
      <c r="K233" s="93" t="n">
        <v>560</v>
      </c>
      <c r="L233" s="95">
        <f>I233/(K233^2)</f>
        <v/>
      </c>
      <c r="M233" s="92" t="inlineStr">
        <is>
          <t>Ideal 18-32k</t>
        </is>
      </c>
      <c r="N233" s="92" t="inlineStr">
        <is>
          <t>E</t>
        </is>
      </c>
      <c r="O233" s="92" t="inlineStr">
        <is>
          <t>Compact &gt;=.055</t>
        </is>
      </c>
      <c r="P233" s="92" t="inlineStr">
        <is>
          <t>High</t>
        </is>
      </c>
      <c r="Q233" s="92" t="inlineStr">
        <is>
          <t>Out-of-state</t>
        </is>
      </c>
      <c r="R233" s="92" t="inlineStr">
        <is>
          <t>National corporate</t>
        </is>
      </c>
      <c r="S233" s="92" t="n">
        <v>1</v>
      </c>
      <c r="T233" s="96">
        <f>INDEX('Scoring Method'!$B$6:$B$9,MATCH(M233,'Scoring Method'!$A$6:$A$9,0))+INDEX('Scoring Method'!$B$12:$B$16,MATCH(N233,'Scoring Method'!$A$12:$A$16,0))+INDEX('Scoring Method'!$B$19:$B$22,MATCH(O233,'Scoring Method'!$A$19:$A$22,0))+INDEX('Scoring Method'!$B$25:$B$27,MATCH(P233,'Scoring Method'!$A$25:$A$27,0))</f>
        <v/>
      </c>
      <c r="U233" s="96">
        <f>(INDEX('Scoring Method'!$B$30:$B$33,MATCH(Q233,'Scoring Method'!$A$30:$A$33,0))+INDEX('Scoring Method'!$B$36:$B$42,MATCH(R233,'Scoring Method'!$A$36:$A$42,0))+INDEX('Scoring Method'!$B$45:$B$47,MATCH(IF(S233=1,"1",IF(S233=2,"2","3+")),'Scoring Method'!$A$45:$A$47,0)))/90*100</f>
        <v/>
      </c>
      <c r="V233" s="96">
        <f>T233*U233/100</f>
        <v/>
      </c>
      <c r="W233" s="93" t="n">
        <v>2520</v>
      </c>
      <c r="X233" s="92" t="inlineStr">
        <is>
          <t>X (minimal hazard)</t>
        </is>
      </c>
      <c r="Y233" s="93" t="n">
        <v>7375</v>
      </c>
      <c r="Z233" s="97" t="n"/>
      <c r="AA233" s="98">
        <f>MAX(0,(Y233-5000)/300)</f>
        <v/>
      </c>
      <c r="AB233" s="92" t="n"/>
      <c r="AC233" s="92" t="n"/>
      <c r="AD233" s="92" t="n"/>
      <c r="AE233" s="92" t="inlineStr">
        <is>
          <t>Above 2.5-4k</t>
        </is>
      </c>
      <c r="AF233" s="96">
        <f>INDEX('Scoring Method'!$B$63:$B$71,MATCH(AE233,'Scoring Method'!$A$63:$A$71,0))+INDEX('Scoring Method'!$B$75:$B$79,MATCH("Adequate 5-8k",'Scoring Method'!$A$75:$A$79,0))+INDEX('Scoring Method'!$B$343:$B$347,MATCH(X233,'Scoring Method'!$A$343:$A$347,0))+INDEX('Scoring Method'!$B$25:$B$27,MATCH(P233,'Scoring Method'!$A$25:$A$27,0))</f>
        <v/>
      </c>
      <c r="AG233" s="96">
        <f>AF233*U233/100</f>
        <v/>
      </c>
      <c r="AH233" s="92" t="inlineStr">
        <is>
          <t>LINK-GIS + LoopNet (2026-08-03)</t>
        </is>
      </c>
      <c r="AI233" s="99" t="n">
        <v>39.08565</v>
      </c>
      <c r="AJ233" s="99" t="n">
        <v>-84.52045</v>
      </c>
      <c r="AK233" s="94" t="n">
        <v>0.16</v>
      </c>
      <c r="AL233" s="94" t="n">
        <v>0.74</v>
      </c>
      <c r="AM233" s="94" t="n">
        <v>1.18</v>
      </c>
      <c r="AN233" s="94" t="n">
        <v>0.16</v>
      </c>
      <c r="AO233" s="92" t="inlineStr">
        <is>
          <t>Core &lt;=0.35mi</t>
        </is>
      </c>
      <c r="AP233" s="92" t="inlineStr">
        <is>
          <t>Built-out kitchen</t>
        </is>
      </c>
      <c r="AQ233" s="92" t="inlineStr">
        <is>
          <t>Adequate 5-8k</t>
        </is>
      </c>
      <c r="AR233" s="100" t="n"/>
      <c r="AS233" s="96">
        <f>ROUND(INDEX('Scoring Method'!$B$63:$B$70,MATCH(AE233,'Scoring Method'!$A$63:$A$70,0))*0.625+INDEX('Scoring Method'!$B$105:$B$113,MATCH(AP233,'Scoring Method'!$A$105:$A$113,0))+INDEX('Scoring Method'!$B$74:$B$78,MATCH(AQ233,'Scoring Method'!$A$74:$A$78,0))*0.6667+INDEX('Scoring Method'!$B$96:$B$101,MATCH(AO233,'Scoring Method'!$A$96:$A$101,0))+INDEX('Scoring Method'!$B$343:$B$347,MATCH(X233,'Scoring Method'!$A$343:$A$347,0))*0.3333+INDEX('Scoring Method'!$B$25:$B$27,MATCH(P233,'Scoring Method'!$A$25:$A$27,0))*0.3333,1)</f>
        <v/>
      </c>
      <c r="AT233" s="96">
        <f>AS233*U233/100</f>
        <v/>
      </c>
      <c r="AU233" s="92" t="inlineStr">
        <is>
          <t>MainStrasse</t>
        </is>
      </c>
      <c r="AV233" s="92" t="n">
        <v>75</v>
      </c>
      <c r="AW233" s="92" t="inlineStr">
        <is>
          <t>Sourced</t>
        </is>
      </c>
      <c r="AX233" s="92" t="inlineStr">
        <is>
          <t>Safe 70-79</t>
        </is>
      </c>
      <c r="AY233" s="96">
        <f>ROUND(INDEX('Scoring Method'!$B$132:$B$140,MATCH(AE233,'Scoring Method'!$A$132:$A$140,0))+INDEX('Scoring Method'!$B$144:$B$152,MATCH(AP233,'Scoring Method'!$A$144:$A$152,0))+INDEX('Scoring Method'!$B$156:$B$160,MATCH(AQ233,'Scoring Method'!$A$156:$A$160,0))+INDEX('Scoring Method'!$B$164:$B$169,MATCH(AO233,'Scoring Method'!$A$164:$A$169,0))+INDEX('Scoring Method'!$B$173:$B$178,MATCH(AX233,'Scoring Method'!$A$173:$A$178,0))+INDEX('Scoring Method'!$B$349:$B$353,MATCH(X233,'Scoring Method'!$A$349:$A$353,0))+INDEX('Scoring Method'!$B$188:$B$190,MATCH(P233,'Scoring Method'!$A$188:$A$190,0)),1)</f>
        <v/>
      </c>
      <c r="AZ233" s="96">
        <f>AY233*U233/100</f>
        <v/>
      </c>
      <c r="BA233" s="103" t="inlineStr">
        <is>
          <t>Brand-owned / net lease</t>
        </is>
      </c>
      <c r="BB233" s="94" t="n">
        <v>0.3</v>
      </c>
      <c r="BC233" s="92" t="inlineStr">
        <is>
          <t>Right-sized 0.35-0.75 AC</t>
        </is>
      </c>
      <c r="BD233" s="94" t="n">
        <v>1</v>
      </c>
      <c r="BE233" s="96">
        <f>ROUND(INDEX('Scoring Method'!$B$268:$B$276,MATCH(AE233,'Scoring Method'!$A$268:$A$276,0))+INDEX('Scoring Method'!$B$280:$B$288,MATCH(AP233,'Scoring Method'!$A$280:$A$288,0))+INDEX('Scoring Method'!$B$292:$B$296,MATCH(AQ233,'Scoring Method'!$A$292:$A$296,0))+INDEX('Scoring Method'!$B$300:$B$305,MATCH(AO233,'Scoring Method'!$A$300:$A$305,0))+INDEX('Scoring Method'!$B$309:$B$314,MATCH(AX233,'Scoring Method'!$A$309:$A$314,0))+INDEX('Scoring Method'!$B$337:$B$341,MATCH(X233,'Scoring Method'!$A$337:$A$341,0))+INDEX('Scoring Method'!$B$324:$B$326,MATCH(P233,'Scoring Method'!$A$324:$A$326,0)),1)</f>
        <v/>
      </c>
      <c r="BF233" s="96">
        <f>ROUND(INDEX('Scoring Method'!$B$268:$B$276,MATCH(AE233,'Scoring Method'!$A$268:$A$276,0))*BB233*BD233+INDEX('Scoring Method'!$B$280:$B$288,MATCH(AP233,'Scoring Method'!$A$280:$A$288,0))*BM233*BB233*BD233+INDEX('Scoring Method'!$B$292:$B$296,MATCH(AQ233,'Scoring Method'!$A$292:$A$296,0))*BD233+INDEX('Scoring Method'!$B$300:$B$305,MATCH(AO233,'Scoring Method'!$A$300:$A$305,0))*BM233*BB233+INDEX('Scoring Method'!$B$309:$B$314,MATCH(AX233,'Scoring Method'!$A$309:$A$314,0))+INDEX('Scoring Method'!$B$337:$B$341,MATCH(X233,'Scoring Method'!$A$337:$A$341,0))+INDEX('Scoring Method'!$B$324:$B$326,MATCH(P233,'Scoring Method'!$A$324:$A$326,0)),1)</f>
        <v/>
      </c>
      <c r="BG233" s="92" t="inlineStr">
        <is>
          <t>Fits (~$2,310/mo)</t>
        </is>
      </c>
      <c r="BH233" s="61" t="inlineStr">
        <is>
          <t>AUC</t>
        </is>
      </c>
      <c r="BI233" s="61" t="inlineStr">
        <is>
          <t>Auto-Urban Commercial</t>
        </is>
      </c>
      <c r="BJ233" s="61" t="inlineStr"/>
      <c r="BK233" s="61" t="inlineStr"/>
      <c r="BL233" s="61" t="inlineStr">
        <is>
          <t>Bar permitted</t>
        </is>
      </c>
      <c r="BM233" s="61">
        <f>INDEX('Scoring Method'!$B$358:$B$363,MATCH(BL233,'Scoring Method'!$A$358:$A$363,0))</f>
        <v/>
      </c>
    </row>
    <row r="234" ht="15" customHeight="1" s="62">
      <c r="A234" s="92" t="n">
        <v>233</v>
      </c>
      <c r="B234" s="92" t="inlineStr">
        <is>
          <t>054-14-11-001.00</t>
        </is>
      </c>
      <c r="C234" s="92" t="inlineStr">
        <is>
          <t>325 GREENUP ST</t>
        </is>
      </c>
      <c r="D234" s="92" t="inlineStr">
        <is>
          <t>BUTT LLC</t>
        </is>
      </c>
      <c r="E234" s="92" t="inlineStr">
        <is>
          <t>PO BOX 1573</t>
        </is>
      </c>
      <c r="F234" s="92" t="inlineStr">
        <is>
          <t>NEWPORT</t>
        </is>
      </c>
      <c r="G234" s="92" t="inlineStr">
        <is>
          <t>KY</t>
        </is>
      </c>
      <c r="H234" s="92" t="inlineStr">
        <is>
          <t>PAVED LOT</t>
        </is>
      </c>
      <c r="I234" s="93" t="n">
        <v>14595</v>
      </c>
      <c r="J234" s="94">
        <f>I234/43560</f>
        <v/>
      </c>
      <c r="K234" s="93" t="n">
        <v>632.3</v>
      </c>
      <c r="L234" s="95">
        <f>I234/(K234^2)</f>
        <v/>
      </c>
      <c r="M234" s="92" t="inlineStr">
        <is>
          <t>Near 14-18k/32-45k</t>
        </is>
      </c>
      <c r="N234" s="92" t="inlineStr">
        <is>
          <t>D</t>
        </is>
      </c>
      <c r="O234" s="92" t="inlineStr">
        <is>
          <t>Elongated .035-.045</t>
        </is>
      </c>
      <c r="P234" s="92" t="inlineStr">
        <is>
          <t>Low</t>
        </is>
      </c>
      <c r="Q234" s="92" t="inlineStr">
        <is>
          <t>Out-of-city KY</t>
        </is>
      </c>
      <c r="R234" s="92" t="inlineStr">
        <is>
          <t>Operating entity</t>
        </is>
      </c>
      <c r="S234" s="92" t="n">
        <v>1</v>
      </c>
      <c r="T234" s="96">
        <f>INDEX('Scoring Method'!$B$6:$B$9,MATCH(M234,'Scoring Method'!$A$6:$A$9,0))+INDEX('Scoring Method'!$B$12:$B$16,MATCH(N234,'Scoring Method'!$A$12:$A$16,0))+INDEX('Scoring Method'!$B$19:$B$22,MATCH(O234,'Scoring Method'!$A$19:$A$22,0))+INDEX('Scoring Method'!$B$25:$B$27,MATCH(P234,'Scoring Method'!$A$25:$A$27,0))</f>
        <v/>
      </c>
      <c r="U234" s="96">
        <f>(INDEX('Scoring Method'!$B$30:$B$33,MATCH(Q234,'Scoring Method'!$A$30:$A$33,0))+INDEX('Scoring Method'!$B$36:$B$42,MATCH(R234,'Scoring Method'!$A$36:$A$42,0))+INDEX('Scoring Method'!$B$45:$B$47,MATCH(IF(S234=1,"1",IF(S234=2,"2","3+")),'Scoring Method'!$A$45:$A$47,0)))/90*100</f>
        <v/>
      </c>
      <c r="V234" s="96">
        <f>T234*U234/100</f>
        <v/>
      </c>
      <c r="W234" s="93" t="n">
        <v>2891</v>
      </c>
      <c r="X234" s="92" t="inlineStr">
        <is>
          <t>X (minimal hazard)</t>
        </is>
      </c>
      <c r="Y234" s="93" t="n">
        <v>14400</v>
      </c>
      <c r="Z234" s="97">
        <f>W234/I234</f>
        <v/>
      </c>
      <c r="AA234" s="98">
        <f>MAX(0,(Y234-5000)/300)</f>
        <v/>
      </c>
      <c r="AB234" s="92" t="n"/>
      <c r="AC234" s="92" t="n">
        <v>0.16</v>
      </c>
      <c r="AD234" s="102" t="inlineStr">
        <is>
          <t>CHECK</t>
        </is>
      </c>
      <c r="AE234" s="92" t="inlineStr">
        <is>
          <t>Above 2.5-4k</t>
        </is>
      </c>
      <c r="AF234" s="96">
        <f>INDEX('Scoring Method'!$B$63:$B$71,MATCH(AE234,'Scoring Method'!$A$63:$A$71,0))+INDEX('Scoring Method'!$B$75:$B$79,MATCH("Good 8-15k",'Scoring Method'!$A$75:$A$79,0))+INDEX('Scoring Method'!$B$343:$B$347,MATCH(X234,'Scoring Method'!$A$343:$A$347,0))+INDEX('Scoring Method'!$B$25:$B$27,MATCH(P234,'Scoring Method'!$A$25:$A$27,0))</f>
        <v/>
      </c>
      <c r="AG234" s="96">
        <f>AF234*U234/100</f>
        <v/>
      </c>
      <c r="AH234" s="92" t="inlineStr">
        <is>
          <t>LINK-GIS + LoopNet</t>
        </is>
      </c>
      <c r="AI234" s="99" t="n">
        <v>39.08773</v>
      </c>
      <c r="AJ234" s="99" t="n">
        <v>-84.50830999999999</v>
      </c>
      <c r="AK234" s="94" t="n">
        <v>0.5600000000000001</v>
      </c>
      <c r="AL234" s="94" t="n">
        <v>0.22</v>
      </c>
      <c r="AM234" s="94" t="n">
        <v>0.98</v>
      </c>
      <c r="AN234" s="94" t="n">
        <v>0.22</v>
      </c>
      <c r="AO234" s="92" t="inlineStr">
        <is>
          <t>Core &lt;=0.35mi</t>
        </is>
      </c>
      <c r="AP234" s="92" t="inlineStr">
        <is>
          <t>Lot / minimal bldg</t>
        </is>
      </c>
      <c r="AQ234" s="92" t="inlineStr">
        <is>
          <t>Good 8-15k</t>
        </is>
      </c>
      <c r="AR234" s="100" t="n"/>
      <c r="AS234" s="96">
        <f>ROUND(INDEX('Scoring Method'!$B$63:$B$70,MATCH(AE234,'Scoring Method'!$A$63:$A$70,0))*0.625+INDEX('Scoring Method'!$B$105:$B$113,MATCH(AP234,'Scoring Method'!$A$105:$A$113,0))+INDEX('Scoring Method'!$B$74:$B$78,MATCH(AQ234,'Scoring Method'!$A$74:$A$78,0))*0.6667+INDEX('Scoring Method'!$B$96:$B$101,MATCH(AO234,'Scoring Method'!$A$96:$A$101,0))+INDEX('Scoring Method'!$B$343:$B$347,MATCH(X234,'Scoring Method'!$A$343:$A$347,0))*0.3333+INDEX('Scoring Method'!$B$25:$B$27,MATCH(P234,'Scoring Method'!$A$25:$A$27,0))*0.3333,1)</f>
        <v/>
      </c>
      <c r="AT234" s="96">
        <f>AS234*U234/100</f>
        <v/>
      </c>
      <c r="AU234" s="92" t="inlineStr">
        <is>
          <t>Central Business District</t>
        </is>
      </c>
      <c r="AV234" s="92" t="n">
        <v>48</v>
      </c>
      <c r="AW234" s="101" t="inlineStr">
        <is>
          <t>ESTIMATED</t>
        </is>
      </c>
      <c r="AX234" s="92" t="inlineStr">
        <is>
          <t>Mixed 45-59</t>
        </is>
      </c>
      <c r="AY234" s="96">
        <f>ROUND(INDEX('Scoring Method'!$B$132:$B$140,MATCH(AE234,'Scoring Method'!$A$132:$A$140,0))+INDEX('Scoring Method'!$B$144:$B$152,MATCH(AP234,'Scoring Method'!$A$144:$A$152,0))+INDEX('Scoring Method'!$B$156:$B$160,MATCH(AQ234,'Scoring Method'!$A$156:$A$160,0))+INDEX('Scoring Method'!$B$164:$B$169,MATCH(AO234,'Scoring Method'!$A$164:$A$169,0))+INDEX('Scoring Method'!$B$173:$B$178,MATCH(AX234,'Scoring Method'!$A$173:$A$178,0))+INDEX('Scoring Method'!$B$349:$B$353,MATCH(X234,'Scoring Method'!$A$349:$A$353,0))+INDEX('Scoring Method'!$B$188:$B$190,MATCH(P234,'Scoring Method'!$A$188:$A$190,0)),1)</f>
        <v/>
      </c>
      <c r="AZ234" s="96">
        <f>AY234*U234/100</f>
        <v/>
      </c>
      <c r="BA234" s="92" t="inlineStr">
        <is>
          <t>No chain signal</t>
        </is>
      </c>
      <c r="BB234" s="94" t="n">
        <v>1</v>
      </c>
      <c r="BC234" s="102" t="inlineStr">
        <is>
          <t>Small 0.25-0.35 AC</t>
        </is>
      </c>
      <c r="BD234" s="94" t="n">
        <v>0.9</v>
      </c>
      <c r="BE234" s="96">
        <f>ROUND(INDEX('Scoring Method'!$B$268:$B$276,MATCH(AE234,'Scoring Method'!$A$268:$A$276,0))+INDEX('Scoring Method'!$B$280:$B$288,MATCH(AP234,'Scoring Method'!$A$280:$A$288,0))+INDEX('Scoring Method'!$B$292:$B$296,MATCH(AQ234,'Scoring Method'!$A$292:$A$296,0))+INDEX('Scoring Method'!$B$300:$B$305,MATCH(AO234,'Scoring Method'!$A$300:$A$305,0))+INDEX('Scoring Method'!$B$309:$B$314,MATCH(AX234,'Scoring Method'!$A$309:$A$314,0))+INDEX('Scoring Method'!$B$337:$B$341,MATCH(X234,'Scoring Method'!$A$337:$A$341,0))+INDEX('Scoring Method'!$B$324:$B$326,MATCH(P234,'Scoring Method'!$A$324:$A$326,0)),1)</f>
        <v/>
      </c>
      <c r="BF234" s="96">
        <f>ROUND(INDEX('Scoring Method'!$B$268:$B$276,MATCH(AE234,'Scoring Method'!$A$268:$A$276,0))*BB234*BD234+INDEX('Scoring Method'!$B$280:$B$288,MATCH(AP234,'Scoring Method'!$A$280:$A$288,0))*BM234*BB234*BD234+INDEX('Scoring Method'!$B$292:$B$296,MATCH(AQ234,'Scoring Method'!$A$292:$A$296,0))*BD234+INDEX('Scoring Method'!$B$300:$B$305,MATCH(AO234,'Scoring Method'!$A$300:$A$305,0))*BM234*BB234+INDEX('Scoring Method'!$B$309:$B$314,MATCH(AX234,'Scoring Method'!$A$309:$A$314,0))+INDEX('Scoring Method'!$B$337:$B$341,MATCH(X234,'Scoring Method'!$A$337:$A$341,0))+INDEX('Scoring Method'!$B$324:$B$326,MATCH(P234,'Scoring Method'!$A$324:$A$326,0)),1)</f>
        <v/>
      </c>
      <c r="BG234" s="92" t="inlineStr">
        <is>
          <t>Fits (~$2,650/mo)</t>
        </is>
      </c>
      <c r="BH234" s="61" t="inlineStr">
        <is>
          <t>DTC (HP)</t>
        </is>
      </c>
      <c r="BI234" s="61" t="inlineStr">
        <is>
          <t>Downtown Core</t>
        </is>
      </c>
      <c r="BJ234" s="61" t="inlineStr">
        <is>
          <t>HP</t>
        </is>
      </c>
      <c r="BK234" s="61" t="inlineStr"/>
      <c r="BL234" s="61" t="inlineStr">
        <is>
          <t>Bar permitted</t>
        </is>
      </c>
      <c r="BM234" s="61">
        <f>INDEX('Scoring Method'!$B$358:$B$363,MATCH(BL234,'Scoring Method'!$A$358:$A$363,0))</f>
        <v/>
      </c>
    </row>
    <row r="235" ht="15" customHeight="1" s="62">
      <c r="A235" s="92" t="n">
        <v>234</v>
      </c>
      <c r="B235" s="92" t="inlineStr">
        <is>
          <t>054-21-07-006.00</t>
        </is>
      </c>
      <c r="C235" s="92" t="inlineStr">
        <is>
          <t>201 W 4TH ST</t>
        </is>
      </c>
      <c r="D235" s="92" t="inlineStr">
        <is>
          <t>MACS CONVENIENCE STORES LLC</t>
        </is>
      </c>
      <c r="E235" s="92" t="inlineStr">
        <is>
          <t>PO BOX 182487</t>
        </is>
      </c>
      <c r="F235" s="92" t="inlineStr">
        <is>
          <t>COLUMBUS</t>
        </is>
      </c>
      <c r="G235" s="92" t="inlineStr">
        <is>
          <t>OH</t>
        </is>
      </c>
      <c r="H235" s="92" t="inlineStr">
        <is>
          <t>GAS STATION/CONVENIENCE STORE</t>
        </is>
      </c>
      <c r="I235" s="93" t="n">
        <v>18734</v>
      </c>
      <c r="J235" s="94">
        <f>I235/43560</f>
        <v/>
      </c>
      <c r="K235" s="93" t="n">
        <v>575.8</v>
      </c>
      <c r="L235" s="95">
        <f>I235/(K235^2)</f>
        <v/>
      </c>
      <c r="M235" s="92" t="inlineStr">
        <is>
          <t>Ideal 18-32k</t>
        </is>
      </c>
      <c r="N235" s="92" t="inlineStr">
        <is>
          <t>E</t>
        </is>
      </c>
      <c r="O235" s="92" t="inlineStr">
        <is>
          <t>Compact &gt;=.055</t>
        </is>
      </c>
      <c r="P235" s="92" t="inlineStr">
        <is>
          <t>High</t>
        </is>
      </c>
      <c r="Q235" s="92" t="inlineStr">
        <is>
          <t>Out-of-state</t>
        </is>
      </c>
      <c r="R235" s="92" t="inlineStr">
        <is>
          <t>National corporate</t>
        </is>
      </c>
      <c r="S235" s="92" t="n">
        <v>1</v>
      </c>
      <c r="T235" s="96">
        <f>INDEX('Scoring Method'!$B$6:$B$9,MATCH(M235,'Scoring Method'!$A$6:$A$9,0))+INDEX('Scoring Method'!$B$12:$B$16,MATCH(N235,'Scoring Method'!$A$12:$A$16,0))+INDEX('Scoring Method'!$B$19:$B$22,MATCH(O235,'Scoring Method'!$A$19:$A$22,0))+INDEX('Scoring Method'!$B$25:$B$27,MATCH(P235,'Scoring Method'!$A$25:$A$27,0))</f>
        <v/>
      </c>
      <c r="U235" s="96">
        <f>(INDEX('Scoring Method'!$B$30:$B$33,MATCH(Q235,'Scoring Method'!$A$30:$A$33,0))+INDEX('Scoring Method'!$B$36:$B$42,MATCH(R235,'Scoring Method'!$A$36:$A$42,0))+INDEX('Scoring Method'!$B$45:$B$47,MATCH(IF(S235=1,"1",IF(S235=2,"2","3+")),'Scoring Method'!$A$45:$A$47,0)))/90*100</f>
        <v/>
      </c>
      <c r="V235" s="96">
        <f>T235*U235/100</f>
        <v/>
      </c>
      <c r="W235" s="93" t="n">
        <v>1932</v>
      </c>
      <c r="X235" s="92" t="inlineStr">
        <is>
          <t>X (minimal hazard)</t>
        </is>
      </c>
      <c r="Y235" s="93" t="n">
        <v>12900</v>
      </c>
      <c r="Z235" s="97" t="n"/>
      <c r="AA235" s="98">
        <f>MAX(0,(Y235-5000)/300)</f>
        <v/>
      </c>
      <c r="AB235" s="92" t="n"/>
      <c r="AC235" s="92" t="n"/>
      <c r="AD235" s="92" t="n"/>
      <c r="AE235" s="92" t="inlineStr">
        <is>
          <t>Target 1.5-2.5k</t>
        </is>
      </c>
      <c r="AF235" s="96">
        <f>INDEX('Scoring Method'!$B$63:$B$71,MATCH(AE235,'Scoring Method'!$A$63:$A$71,0))+INDEX('Scoring Method'!$B$75:$B$79,MATCH("Good 8-15k",'Scoring Method'!$A$75:$A$79,0))+INDEX('Scoring Method'!$B$343:$B$347,MATCH(X235,'Scoring Method'!$A$343:$A$347,0))+INDEX('Scoring Method'!$B$25:$B$27,MATCH(P235,'Scoring Method'!$A$25:$A$27,0))</f>
        <v/>
      </c>
      <c r="AG235" s="96">
        <f>AF235*U235/100</f>
        <v/>
      </c>
      <c r="AH235" s="92" t="inlineStr">
        <is>
          <t>LINK-GIS + LoopNet (2026-08-03)</t>
        </is>
      </c>
      <c r="AI235" s="99" t="n">
        <v>39.08635</v>
      </c>
      <c r="AJ235" s="99" t="n">
        <v>-84.51455</v>
      </c>
      <c r="AK235" s="94" t="n">
        <v>0.22</v>
      </c>
      <c r="AL235" s="94" t="n">
        <v>0.45</v>
      </c>
      <c r="AM235" s="94" t="n">
        <v>1.05</v>
      </c>
      <c r="AN235" s="94" t="n">
        <v>0.18</v>
      </c>
      <c r="AO235" s="92" t="inlineStr">
        <is>
          <t>Core &lt;=0.35mi</t>
        </is>
      </c>
      <c r="AP235" s="92" t="inlineStr">
        <is>
          <t>Built-out kitchen</t>
        </is>
      </c>
      <c r="AQ235" s="92" t="inlineStr">
        <is>
          <t>Good 8-15k</t>
        </is>
      </c>
      <c r="AR235" s="100" t="n"/>
      <c r="AS235" s="96">
        <f>ROUND(INDEX('Scoring Method'!$B$63:$B$70,MATCH(AE235,'Scoring Method'!$A$63:$A$70,0))*0.625+INDEX('Scoring Method'!$B$105:$B$113,MATCH(AP235,'Scoring Method'!$A$105:$A$113,0))+INDEX('Scoring Method'!$B$74:$B$78,MATCH(AQ235,'Scoring Method'!$A$74:$A$78,0))*0.6667+INDEX('Scoring Method'!$B$96:$B$101,MATCH(AO235,'Scoring Method'!$A$96:$A$101,0))+INDEX('Scoring Method'!$B$343:$B$347,MATCH(X235,'Scoring Method'!$A$343:$A$347,0))*0.3333+INDEX('Scoring Method'!$B$25:$B$27,MATCH(P235,'Scoring Method'!$A$25:$A$27,0))*0.3333,1)</f>
        <v/>
      </c>
      <c r="AT235" s="96">
        <f>AS235*U235/100</f>
        <v/>
      </c>
      <c r="AU235" s="92" t="inlineStr">
        <is>
          <t>Central Business District</t>
        </is>
      </c>
      <c r="AV235" s="92" t="n">
        <v>48</v>
      </c>
      <c r="AW235" s="101" t="inlineStr">
        <is>
          <t>ESTIMATED</t>
        </is>
      </c>
      <c r="AX235" s="92" t="inlineStr">
        <is>
          <t>Mixed 45-59</t>
        </is>
      </c>
      <c r="AY235" s="96">
        <f>ROUND(INDEX('Scoring Method'!$B$132:$B$140,MATCH(AE235,'Scoring Method'!$A$132:$A$140,0))+INDEX('Scoring Method'!$B$144:$B$152,MATCH(AP235,'Scoring Method'!$A$144:$A$152,0))+INDEX('Scoring Method'!$B$156:$B$160,MATCH(AQ235,'Scoring Method'!$A$156:$A$160,0))+INDEX('Scoring Method'!$B$164:$B$169,MATCH(AO235,'Scoring Method'!$A$164:$A$169,0))+INDEX('Scoring Method'!$B$173:$B$178,MATCH(AX235,'Scoring Method'!$A$173:$A$178,0))+INDEX('Scoring Method'!$B$349:$B$353,MATCH(X235,'Scoring Method'!$A$349:$A$353,0))+INDEX('Scoring Method'!$B$188:$B$190,MATCH(P235,'Scoring Method'!$A$188:$A$190,0)),1)</f>
        <v/>
      </c>
      <c r="AZ235" s="96">
        <f>AY235*U235/100</f>
        <v/>
      </c>
      <c r="BA235" s="103" t="inlineStr">
        <is>
          <t>Brand-owned / net lease</t>
        </is>
      </c>
      <c r="BB235" s="94" t="n">
        <v>0.3</v>
      </c>
      <c r="BC235" s="92" t="inlineStr">
        <is>
          <t>Right-sized 0.35-0.75 AC</t>
        </is>
      </c>
      <c r="BD235" s="94" t="n">
        <v>1</v>
      </c>
      <c r="BE235" s="96">
        <f>ROUND(INDEX('Scoring Method'!$B$268:$B$276,MATCH(AE235,'Scoring Method'!$A$268:$A$276,0))+INDEX('Scoring Method'!$B$280:$B$288,MATCH(AP235,'Scoring Method'!$A$280:$A$288,0))+INDEX('Scoring Method'!$B$292:$B$296,MATCH(AQ235,'Scoring Method'!$A$292:$A$296,0))+INDEX('Scoring Method'!$B$300:$B$305,MATCH(AO235,'Scoring Method'!$A$300:$A$305,0))+INDEX('Scoring Method'!$B$309:$B$314,MATCH(AX235,'Scoring Method'!$A$309:$A$314,0))+INDEX('Scoring Method'!$B$337:$B$341,MATCH(X235,'Scoring Method'!$A$337:$A$341,0))+INDEX('Scoring Method'!$B$324:$B$326,MATCH(P235,'Scoring Method'!$A$324:$A$326,0)),1)</f>
        <v/>
      </c>
      <c r="BF235" s="96">
        <f>ROUND(INDEX('Scoring Method'!$B$268:$B$276,MATCH(AE235,'Scoring Method'!$A$268:$A$276,0))*BB235*BD235+INDEX('Scoring Method'!$B$280:$B$288,MATCH(AP235,'Scoring Method'!$A$280:$A$288,0))*BM235*BB235*BD235+INDEX('Scoring Method'!$B$292:$B$296,MATCH(AQ235,'Scoring Method'!$A$292:$A$296,0))*BD235+INDEX('Scoring Method'!$B$300:$B$305,MATCH(AO235,'Scoring Method'!$A$300:$A$305,0))*BM235*BB235+INDEX('Scoring Method'!$B$309:$B$314,MATCH(AX235,'Scoring Method'!$A$309:$A$314,0))+INDEX('Scoring Method'!$B$337:$B$341,MATCH(X235,'Scoring Method'!$A$337:$A$341,0))+INDEX('Scoring Method'!$B$324:$B$326,MATCH(P235,'Scoring Method'!$A$324:$A$326,0)),1)</f>
        <v/>
      </c>
      <c r="BG235" s="92" t="inlineStr">
        <is>
          <t>Fits (~$1,771/mo)</t>
        </is>
      </c>
      <c r="BH235" s="61" t="inlineStr">
        <is>
          <t>DTC (HP)</t>
        </is>
      </c>
      <c r="BI235" s="61" t="inlineStr">
        <is>
          <t>Downtown Core</t>
        </is>
      </c>
      <c r="BJ235" s="61" t="inlineStr">
        <is>
          <t>HP</t>
        </is>
      </c>
      <c r="BK235" s="61" t="inlineStr"/>
      <c r="BL235" s="61" t="inlineStr">
        <is>
          <t>Bar permitted</t>
        </is>
      </c>
      <c r="BM235" s="61">
        <f>INDEX('Scoring Method'!$B$358:$B$363,MATCH(BL235,'Scoring Method'!$A$358:$A$363,0))</f>
        <v/>
      </c>
    </row>
    <row r="236" ht="15" customHeight="1" s="62">
      <c r="A236" s="92" t="n">
        <v>235</v>
      </c>
      <c r="B236" s="92" t="inlineStr">
        <is>
          <t>055-13-02-010.02</t>
        </is>
      </c>
      <c r="C236" s="92" t="inlineStr">
        <is>
          <t>1820 RUSSELL ST</t>
        </is>
      </c>
      <c r="D236" s="92" t="inlineStr">
        <is>
          <t>DUKE ENERGY KENTUCKY INC</t>
        </is>
      </c>
      <c r="E236" s="92" t="inlineStr">
        <is>
          <t>PO BPX 37996</t>
        </is>
      </c>
      <c r="F236" s="92" t="inlineStr">
        <is>
          <t>CHARLOTTE</t>
        </is>
      </c>
      <c r="G236" s="92" t="inlineStr">
        <is>
          <t>NC</t>
        </is>
      </c>
      <c r="H236" s="92" t="inlineStr">
        <is>
          <t>PAVED LOT</t>
        </is>
      </c>
      <c r="I236" s="93" t="n">
        <v>51836</v>
      </c>
      <c r="J236" s="94">
        <f>I236/43560</f>
        <v/>
      </c>
      <c r="K236" s="93" t="n">
        <v>959</v>
      </c>
      <c r="L236" s="95">
        <f>I236/(K236^2)</f>
        <v/>
      </c>
      <c r="M236" s="92" t="inlineStr">
        <is>
          <t>Marginal 10-14k/45-60k</t>
        </is>
      </c>
      <c r="N236" s="92" t="inlineStr">
        <is>
          <t>D</t>
        </is>
      </c>
      <c r="O236" s="92" t="inlineStr">
        <is>
          <t>Compact &gt;=.055</t>
        </is>
      </c>
      <c r="P236" s="92" t="inlineStr">
        <is>
          <t>Low</t>
        </is>
      </c>
      <c r="Q236" s="92" t="inlineStr">
        <is>
          <t>Out-of-state</t>
        </is>
      </c>
      <c r="R236" s="92" t="inlineStr">
        <is>
          <t>National corporate</t>
        </is>
      </c>
      <c r="S236" s="92" t="n">
        <v>1</v>
      </c>
      <c r="T236" s="96">
        <f>INDEX('Scoring Method'!$B$6:$B$9,MATCH(M236,'Scoring Method'!$A$6:$A$9,0))+INDEX('Scoring Method'!$B$12:$B$16,MATCH(N236,'Scoring Method'!$A$12:$A$16,0))+INDEX('Scoring Method'!$B$19:$B$22,MATCH(O236,'Scoring Method'!$A$19:$A$22,0))+INDEX('Scoring Method'!$B$25:$B$27,MATCH(P236,'Scoring Method'!$A$25:$A$27,0))</f>
        <v/>
      </c>
      <c r="U236" s="96">
        <f>(INDEX('Scoring Method'!$B$30:$B$33,MATCH(Q236,'Scoring Method'!$A$30:$A$33,0))+INDEX('Scoring Method'!$B$36:$B$42,MATCH(R236,'Scoring Method'!$A$36:$A$42,0))+INDEX('Scoring Method'!$B$45:$B$47,MATCH(IF(S236=1,"1",IF(S236=2,"2","3+")),'Scoring Method'!$A$45:$A$47,0)))/90*100</f>
        <v/>
      </c>
      <c r="V236" s="96">
        <f>T236*U236/100</f>
        <v/>
      </c>
      <c r="W236" s="93" t="n">
        <v>161</v>
      </c>
      <c r="X236" s="92" t="inlineStr">
        <is>
          <t>X (minimal hazard)</t>
        </is>
      </c>
      <c r="Y236" s="93" t="n">
        <v>51625</v>
      </c>
      <c r="Z236" s="97" t="n"/>
      <c r="AA236" s="98">
        <f>MAX(0,(Y236-5000)/300)</f>
        <v/>
      </c>
      <c r="AB236" s="92" t="n"/>
      <c r="AC236" s="92" t="n"/>
      <c r="AD236" s="92" t="n"/>
      <c r="AE236" s="92" t="inlineStr">
        <is>
          <t>Too small &lt;1.2k</t>
        </is>
      </c>
      <c r="AF236" s="96">
        <f>INDEX('Scoring Method'!$B$63:$B$71,MATCH(AE236,'Scoring Method'!$A$63:$A$71,0))+INDEX('Scoring Method'!$B$75:$B$79,MATCH("Ample &gt;=15k",'Scoring Method'!$A$75:$A$79,0))+INDEX('Scoring Method'!$B$343:$B$347,MATCH(X236,'Scoring Method'!$A$343:$A$347,0))+INDEX('Scoring Method'!$B$25:$B$27,MATCH(P236,'Scoring Method'!$A$25:$A$27,0))</f>
        <v/>
      </c>
      <c r="AG236" s="96">
        <f>AF236*U236/100</f>
        <v/>
      </c>
      <c r="AH236" s="92" t="inlineStr">
        <is>
          <t>LINK-GIS only</t>
        </is>
      </c>
      <c r="AI236" s="99" t="n">
        <v>39.06749</v>
      </c>
      <c r="AJ236" s="99" t="n">
        <v>-84.50954</v>
      </c>
      <c r="AK236" s="94" t="n">
        <v>1.25</v>
      </c>
      <c r="AL236" s="94" t="n">
        <v>1.62</v>
      </c>
      <c r="AM236" s="94" t="n">
        <v>2.35</v>
      </c>
      <c r="AN236" s="94" t="n">
        <v>1.14</v>
      </c>
      <c r="AO236" s="92" t="inlineStr">
        <is>
          <t>Fringe 0.75-1.25mi</t>
        </is>
      </c>
      <c r="AP236" s="92" t="inlineStr">
        <is>
          <t>Lot / minimal bldg</t>
        </is>
      </c>
      <c r="AQ236" s="92" t="inlineStr">
        <is>
          <t>Ample &gt;=15k</t>
        </is>
      </c>
      <c r="AR236" s="100" t="n"/>
      <c r="AS236" s="96">
        <f>ROUND(INDEX('Scoring Method'!$B$63:$B$70,MATCH(AE236,'Scoring Method'!$A$63:$A$70,0))*0.625+INDEX('Scoring Method'!$B$105:$B$113,MATCH(AP236,'Scoring Method'!$A$105:$A$113,0))+INDEX('Scoring Method'!$B$74:$B$78,MATCH(AQ236,'Scoring Method'!$A$74:$A$78,0))*0.6667+INDEX('Scoring Method'!$B$96:$B$101,MATCH(AO236,'Scoring Method'!$A$96:$A$101,0))+INDEX('Scoring Method'!$B$343:$B$347,MATCH(X236,'Scoring Method'!$A$343:$A$347,0))*0.3333+INDEX('Scoring Method'!$B$25:$B$27,MATCH(P236,'Scoring Method'!$A$25:$A$27,0))*0.3333,1)</f>
        <v/>
      </c>
      <c r="AT236" s="96">
        <f>AS236*U236/100</f>
        <v/>
      </c>
      <c r="AU236" s="92" t="inlineStr">
        <is>
          <t>Levassor Park</t>
        </is>
      </c>
      <c r="AV236" s="92" t="n">
        <v>42</v>
      </c>
      <c r="AW236" s="101" t="inlineStr">
        <is>
          <t>ESTIMATED</t>
        </is>
      </c>
      <c r="AX236" s="92" t="inlineStr">
        <is>
          <t>Elevated 35-44</t>
        </is>
      </c>
      <c r="AY236" s="96">
        <f>ROUND(INDEX('Scoring Method'!$B$132:$B$140,MATCH(AE236,'Scoring Method'!$A$132:$A$140,0))+INDEX('Scoring Method'!$B$144:$B$152,MATCH(AP236,'Scoring Method'!$A$144:$A$152,0))+INDEX('Scoring Method'!$B$156:$B$160,MATCH(AQ236,'Scoring Method'!$A$156:$A$160,0))+INDEX('Scoring Method'!$B$164:$B$169,MATCH(AO236,'Scoring Method'!$A$164:$A$169,0))+INDEX('Scoring Method'!$B$173:$B$178,MATCH(AX236,'Scoring Method'!$A$173:$A$178,0))+INDEX('Scoring Method'!$B$349:$B$353,MATCH(X236,'Scoring Method'!$A$349:$A$353,0))+INDEX('Scoring Method'!$B$188:$B$190,MATCH(P236,'Scoring Method'!$A$188:$A$190,0)),1)</f>
        <v/>
      </c>
      <c r="AZ236" s="96">
        <f>AY236*U236/100</f>
        <v/>
      </c>
      <c r="BA236" s="103" t="inlineStr">
        <is>
          <t>Brand-owned / net lease</t>
        </is>
      </c>
      <c r="BB236" s="94" t="n">
        <v>0.3</v>
      </c>
      <c r="BC236" s="102" t="inlineStr">
        <is>
          <t>Large 0.75-1.25 AC</t>
        </is>
      </c>
      <c r="BD236" s="94" t="n">
        <v>0.9</v>
      </c>
      <c r="BE236" s="96">
        <f>ROUND(INDEX('Scoring Method'!$B$268:$B$276,MATCH(AE236,'Scoring Method'!$A$268:$A$276,0))+INDEX('Scoring Method'!$B$280:$B$288,MATCH(AP236,'Scoring Method'!$A$280:$A$288,0))+INDEX('Scoring Method'!$B$292:$B$296,MATCH(AQ236,'Scoring Method'!$A$292:$A$296,0))+INDEX('Scoring Method'!$B$300:$B$305,MATCH(AO236,'Scoring Method'!$A$300:$A$305,0))+INDEX('Scoring Method'!$B$309:$B$314,MATCH(AX236,'Scoring Method'!$A$309:$A$314,0))+INDEX('Scoring Method'!$B$337:$B$341,MATCH(X236,'Scoring Method'!$A$337:$A$341,0))+INDEX('Scoring Method'!$B$324:$B$326,MATCH(P236,'Scoring Method'!$A$324:$A$326,0)),1)</f>
        <v/>
      </c>
      <c r="BF236" s="96">
        <f>ROUND(INDEX('Scoring Method'!$B$268:$B$276,MATCH(AE236,'Scoring Method'!$A$268:$A$276,0))*BB236*BD236+INDEX('Scoring Method'!$B$280:$B$288,MATCH(AP236,'Scoring Method'!$A$280:$A$288,0))*BM236*BB236*BD236+INDEX('Scoring Method'!$B$292:$B$296,MATCH(AQ236,'Scoring Method'!$A$292:$A$296,0))*BD236+INDEX('Scoring Method'!$B$300:$B$305,MATCH(AO236,'Scoring Method'!$A$300:$A$305,0))*BM236*BB236+INDEX('Scoring Method'!$B$309:$B$314,MATCH(AX236,'Scoring Method'!$A$309:$A$314,0))+INDEX('Scoring Method'!$B$337:$B$341,MATCH(X236,'Scoring Method'!$A$337:$A$341,0))+INDEX('Scoring Method'!$B$324:$B$326,MATCH(P236,'Scoring Method'!$A$324:$A$326,0)),1)</f>
        <v/>
      </c>
      <c r="BG236" s="92" t="inlineStr">
        <is>
          <t>Fits (~$148/mo)</t>
        </is>
      </c>
      <c r="BH236" s="61" t="inlineStr">
        <is>
          <t>LI</t>
        </is>
      </c>
      <c r="BI236" s="61" t="inlineStr">
        <is>
          <t>Limited Industrial</t>
        </is>
      </c>
      <c r="BJ236" s="61" t="inlineStr"/>
      <c r="BK236" s="61" t="inlineStr"/>
      <c r="BL236" s="61" t="inlineStr">
        <is>
          <t>Bar prohibited, alt-path</t>
        </is>
      </c>
      <c r="BM236" s="61">
        <f>INDEX('Scoring Method'!$B$358:$B$363,MATCH(BL236,'Scoring Method'!$A$358:$A$363,0))</f>
        <v/>
      </c>
    </row>
    <row r="237" ht="15" customHeight="1" s="62">
      <c r="A237" s="92" t="n">
        <v>236</v>
      </c>
      <c r="B237" s="92" t="inlineStr">
        <is>
          <t>056-14-11-005.02</t>
        </is>
      </c>
      <c r="C237" s="92" t="inlineStr">
        <is>
          <t>3937 WINSTON AVE</t>
        </is>
      </c>
      <c r="D237" s="92" t="inlineStr">
        <is>
          <t>LATONIA COMMERCE LLC</t>
        </is>
      </c>
      <c r="E237" s="92" t="inlineStr">
        <is>
          <t>419 GREENUP ST</t>
        </is>
      </c>
      <c r="F237" s="92" t="inlineStr">
        <is>
          <t>COVINGTON</t>
        </is>
      </c>
      <c r="G237" s="92" t="inlineStr">
        <is>
          <t>KY</t>
        </is>
      </c>
      <c r="H237" s="92" t="inlineStr">
        <is>
          <t>FULL SERVICE BANK</t>
        </is>
      </c>
      <c r="I237" s="93" t="n">
        <v>21454</v>
      </c>
      <c r="J237" s="94">
        <f>I237/43560</f>
        <v/>
      </c>
      <c r="K237" s="93" t="n">
        <v>587</v>
      </c>
      <c r="L237" s="95">
        <f>I237/(K237^2)</f>
        <v/>
      </c>
      <c r="M237" s="92" t="inlineStr">
        <is>
          <t>Ideal 18-32k</t>
        </is>
      </c>
      <c r="N237" s="92" t="inlineStr">
        <is>
          <t>E</t>
        </is>
      </c>
      <c r="O237" s="92" t="inlineStr">
        <is>
          <t>Compact &gt;=.055</t>
        </is>
      </c>
      <c r="P237" s="92" t="inlineStr">
        <is>
          <t>Low</t>
        </is>
      </c>
      <c r="Q237" s="92" t="inlineStr">
        <is>
          <t>Local absentee</t>
        </is>
      </c>
      <c r="R237" s="92" t="inlineStr">
        <is>
          <t>Operating entity</t>
        </is>
      </c>
      <c r="S237" s="92" t="n">
        <v>1</v>
      </c>
      <c r="T237" s="96">
        <f>INDEX('Scoring Method'!$B$6:$B$9,MATCH(M237,'Scoring Method'!$A$6:$A$9,0))+INDEX('Scoring Method'!$B$12:$B$16,MATCH(N237,'Scoring Method'!$A$12:$A$16,0))+INDEX('Scoring Method'!$B$19:$B$22,MATCH(O237,'Scoring Method'!$A$19:$A$22,0))+INDEX('Scoring Method'!$B$25:$B$27,MATCH(P237,'Scoring Method'!$A$25:$A$27,0))</f>
        <v/>
      </c>
      <c r="U237" s="96">
        <f>(INDEX('Scoring Method'!$B$30:$B$33,MATCH(Q237,'Scoring Method'!$A$30:$A$33,0))+INDEX('Scoring Method'!$B$36:$B$42,MATCH(R237,'Scoring Method'!$A$36:$A$42,0))+INDEX('Scoring Method'!$B$45:$B$47,MATCH(IF(S237=1,"1",IF(S237=2,"2","3+")),'Scoring Method'!$A$45:$A$47,0)))/90*100</f>
        <v/>
      </c>
      <c r="V237" s="96">
        <f>T237*U237/100</f>
        <v/>
      </c>
      <c r="W237" s="93" t="n">
        <v>4328</v>
      </c>
      <c r="X237" s="92" t="inlineStr">
        <is>
          <t>X (minimal hazard)</t>
        </is>
      </c>
      <c r="Y237" s="93" t="n">
        <v>15875</v>
      </c>
      <c r="Z237" s="97" t="n"/>
      <c r="AA237" s="98">
        <f>MAX(0,(Y237-5000)/300)</f>
        <v/>
      </c>
      <c r="AB237" s="92" t="n"/>
      <c r="AC237" s="92" t="n"/>
      <c r="AD237" s="92" t="n"/>
      <c r="AE237" s="92" t="inlineStr">
        <is>
          <t>Large 4-6k</t>
        </is>
      </c>
      <c r="AF237" s="96">
        <f>INDEX('Scoring Method'!$B$63:$B$71,MATCH(AE237,'Scoring Method'!$A$63:$A$71,0))+INDEX('Scoring Method'!$B$75:$B$79,MATCH("Ample &gt;=15k",'Scoring Method'!$A$75:$A$79,0))+INDEX('Scoring Method'!$B$343:$B$347,MATCH(X237,'Scoring Method'!$A$343:$A$347,0))+INDEX('Scoring Method'!$B$25:$B$27,MATCH(P237,'Scoring Method'!$A$25:$A$27,0))</f>
        <v/>
      </c>
      <c r="AG237" s="96">
        <f>AF237*U237/100</f>
        <v/>
      </c>
      <c r="AH237" s="92" t="inlineStr">
        <is>
          <t>LINK-GIS + LoopNet (2026-08-03)</t>
        </is>
      </c>
      <c r="AI237" s="99" t="n">
        <v>39.04422</v>
      </c>
      <c r="AJ237" s="99" t="n">
        <v>-84.50537</v>
      </c>
      <c r="AK237" s="94" t="n">
        <v>2.86</v>
      </c>
      <c r="AL237" s="94" t="n">
        <v>3.23</v>
      </c>
      <c r="AM237" s="94" t="n">
        <v>3.98</v>
      </c>
      <c r="AN237" s="94" t="n">
        <v>2.76</v>
      </c>
      <c r="AO237" s="92" t="inlineStr">
        <is>
          <t>Distant 2-3mi</t>
        </is>
      </c>
      <c r="AP237" s="92" t="inlineStr">
        <is>
          <t>Office/institutional</t>
        </is>
      </c>
      <c r="AQ237" s="92" t="inlineStr">
        <is>
          <t>Ample &gt;=15k</t>
        </is>
      </c>
      <c r="AR237" s="100" t="n"/>
      <c r="AS237" s="96">
        <f>ROUND(INDEX('Scoring Method'!$B$63:$B$70,MATCH(AE237,'Scoring Method'!$A$63:$A$70,0))*0.625+INDEX('Scoring Method'!$B$105:$B$113,MATCH(AP237,'Scoring Method'!$A$105:$A$113,0))+INDEX('Scoring Method'!$B$74:$B$78,MATCH(AQ237,'Scoring Method'!$A$74:$A$78,0))*0.6667+INDEX('Scoring Method'!$B$96:$B$101,MATCH(AO237,'Scoring Method'!$A$96:$A$101,0))+INDEX('Scoring Method'!$B$343:$B$347,MATCH(X237,'Scoring Method'!$A$343:$A$347,0))*0.3333+INDEX('Scoring Method'!$B$25:$B$27,MATCH(P237,'Scoring Method'!$A$25:$A$27,0))*0.3333,1)</f>
        <v/>
      </c>
      <c r="AT237" s="96">
        <f>AS237*U237/100</f>
        <v/>
      </c>
      <c r="AU237" s="92" t="inlineStr">
        <is>
          <t>Rittes East / Winston Park</t>
        </is>
      </c>
      <c r="AV237" s="92" t="n">
        <v>82</v>
      </c>
      <c r="AW237" s="92" t="inlineStr">
        <is>
          <t>Sourced</t>
        </is>
      </c>
      <c r="AX237" s="92" t="inlineStr">
        <is>
          <t>Very safe 80+</t>
        </is>
      </c>
      <c r="AY237" s="96">
        <f>ROUND(INDEX('Scoring Method'!$B$132:$B$140,MATCH(AE237,'Scoring Method'!$A$132:$A$140,0))+INDEX('Scoring Method'!$B$144:$B$152,MATCH(AP237,'Scoring Method'!$A$144:$A$152,0))+INDEX('Scoring Method'!$B$156:$B$160,MATCH(AQ237,'Scoring Method'!$A$156:$A$160,0))+INDEX('Scoring Method'!$B$164:$B$169,MATCH(AO237,'Scoring Method'!$A$164:$A$169,0))+INDEX('Scoring Method'!$B$173:$B$178,MATCH(AX237,'Scoring Method'!$A$173:$A$178,0))+INDEX('Scoring Method'!$B$349:$B$353,MATCH(X237,'Scoring Method'!$A$349:$A$353,0))+INDEX('Scoring Method'!$B$188:$B$190,MATCH(P237,'Scoring Method'!$A$188:$A$190,0)),1)</f>
        <v/>
      </c>
      <c r="AZ237" s="96">
        <f>AY237*U237/100</f>
        <v/>
      </c>
      <c r="BA237" s="102" t="inlineStr">
        <is>
          <t>Chain format + local owner</t>
        </is>
      </c>
      <c r="BB237" s="94" t="n">
        <v>0.7</v>
      </c>
      <c r="BC237" s="92" t="inlineStr">
        <is>
          <t>Right-sized 0.35-0.75 AC</t>
        </is>
      </c>
      <c r="BD237" s="94" t="n">
        <v>1</v>
      </c>
      <c r="BE237" s="96">
        <f>ROUND(INDEX('Scoring Method'!$B$268:$B$276,MATCH(AE237,'Scoring Method'!$A$268:$A$276,0))+INDEX('Scoring Method'!$B$280:$B$288,MATCH(AP237,'Scoring Method'!$A$280:$A$288,0))+INDEX('Scoring Method'!$B$292:$B$296,MATCH(AQ237,'Scoring Method'!$A$292:$A$296,0))+INDEX('Scoring Method'!$B$300:$B$305,MATCH(AO237,'Scoring Method'!$A$300:$A$305,0))+INDEX('Scoring Method'!$B$309:$B$314,MATCH(AX237,'Scoring Method'!$A$309:$A$314,0))+INDEX('Scoring Method'!$B$337:$B$341,MATCH(X237,'Scoring Method'!$A$337:$A$341,0))+INDEX('Scoring Method'!$B$324:$B$326,MATCH(P237,'Scoring Method'!$A$324:$A$326,0)),1)</f>
        <v/>
      </c>
      <c r="BF237" s="96">
        <f>ROUND(INDEX('Scoring Method'!$B$268:$B$276,MATCH(AE237,'Scoring Method'!$A$268:$A$276,0))*BB237*BD237+INDEX('Scoring Method'!$B$280:$B$288,MATCH(AP237,'Scoring Method'!$A$280:$A$288,0))*BM237*BB237*BD237+INDEX('Scoring Method'!$B$292:$B$296,MATCH(AQ237,'Scoring Method'!$A$292:$A$296,0))*BD237+INDEX('Scoring Method'!$B$300:$B$305,MATCH(AO237,'Scoring Method'!$A$300:$A$305,0))*BM237*BB237+INDEX('Scoring Method'!$B$309:$B$314,MATCH(AX237,'Scoring Method'!$A$309:$A$314,0))+INDEX('Scoring Method'!$B$337:$B$341,MATCH(X237,'Scoring Method'!$A$337:$A$341,0))+INDEX('Scoring Method'!$B$324:$B$326,MATCH(P237,'Scoring Method'!$A$324:$A$326,0)),1)</f>
        <v/>
      </c>
      <c r="BG237" s="92" t="inlineStr">
        <is>
          <t>Fits (~$3,967/mo)</t>
        </is>
      </c>
      <c r="BH237" s="61" t="inlineStr">
        <is>
          <t>TUMU</t>
        </is>
      </c>
      <c r="BI237" s="61" t="inlineStr">
        <is>
          <t>Traditional Urban Mixed Use</t>
        </is>
      </c>
      <c r="BJ237" s="61" t="inlineStr"/>
      <c r="BK237" s="61" t="inlineStr"/>
      <c r="BL237" s="61" t="inlineStr">
        <is>
          <t>Bar permitted</t>
        </is>
      </c>
      <c r="BM237" s="61">
        <f>INDEX('Scoring Method'!$B$358:$B$363,MATCH(BL237,'Scoring Method'!$A$358:$A$363,0))</f>
        <v/>
      </c>
    </row>
    <row r="238" ht="15" customHeight="1" s="62">
      <c r="A238" s="92" t="n">
        <v>237</v>
      </c>
      <c r="B238" s="92" t="inlineStr">
        <is>
          <t>054-23-08-013.00</t>
        </is>
      </c>
      <c r="C238" s="92" t="inlineStr">
        <is>
          <t>731 SCOTT ST</t>
        </is>
      </c>
      <c r="D238" s="92" t="inlineStr">
        <is>
          <t>MCZ LLC</t>
        </is>
      </c>
      <c r="E238" s="92" t="inlineStr">
        <is>
          <t>362 BISHOPSBRIDGE DR</t>
        </is>
      </c>
      <c r="F238" s="92" t="inlineStr">
        <is>
          <t>CINCINNATI</t>
        </is>
      </c>
      <c r="G238" s="92" t="inlineStr">
        <is>
          <t>OH</t>
        </is>
      </c>
      <c r="H238" s="92" t="inlineStr">
        <is>
          <t>USED CAR LOT</t>
        </is>
      </c>
      <c r="I238" s="93" t="n">
        <v>8475</v>
      </c>
      <c r="J238" s="94">
        <f>I238/43560</f>
        <v/>
      </c>
      <c r="K238" s="93" t="n">
        <v>376</v>
      </c>
      <c r="L238" s="95">
        <f>I238/(K238^2)</f>
        <v/>
      </c>
      <c r="M238" s="92" t="inlineStr">
        <is>
          <t>Poor &lt;10k/&gt;60k</t>
        </is>
      </c>
      <c r="N238" s="92" t="inlineStr">
        <is>
          <t>C</t>
        </is>
      </c>
      <c r="O238" s="92" t="inlineStr">
        <is>
          <t>Compact &gt;=.055</t>
        </is>
      </c>
      <c r="P238" s="92" t="inlineStr">
        <is>
          <t>Moderate</t>
        </is>
      </c>
      <c r="Q238" s="92" t="inlineStr">
        <is>
          <t>Out-of-state</t>
        </is>
      </c>
      <c r="R238" s="92" t="inlineStr">
        <is>
          <t>Operating entity</t>
        </is>
      </c>
      <c r="S238" s="92" t="n">
        <v>1</v>
      </c>
      <c r="T238" s="96">
        <f>INDEX('Scoring Method'!$B$6:$B$9,MATCH(M238,'Scoring Method'!$A$6:$A$9,0))+INDEX('Scoring Method'!$B$12:$B$16,MATCH(N238,'Scoring Method'!$A$12:$A$16,0))+INDEX('Scoring Method'!$B$19:$B$22,MATCH(O238,'Scoring Method'!$A$19:$A$22,0))+INDEX('Scoring Method'!$B$25:$B$27,MATCH(P238,'Scoring Method'!$A$25:$A$27,0))</f>
        <v/>
      </c>
      <c r="U238" s="96">
        <f>(INDEX('Scoring Method'!$B$30:$B$33,MATCH(Q238,'Scoring Method'!$A$30:$A$33,0))+INDEX('Scoring Method'!$B$36:$B$42,MATCH(R238,'Scoring Method'!$A$36:$A$42,0))+INDEX('Scoring Method'!$B$45:$B$47,MATCH(IF(S238=1,"1",IF(S238=2,"2","3+")),'Scoring Method'!$A$45:$A$47,0)))/90*100</f>
        <v/>
      </c>
      <c r="V238" s="96">
        <f>T238*U238/100</f>
        <v/>
      </c>
      <c r="W238" s="93" t="n">
        <v>800</v>
      </c>
      <c r="X238" s="92" t="inlineStr">
        <is>
          <t>X (minimal hazard)</t>
        </is>
      </c>
      <c r="Y238" s="93" t="n">
        <v>7100</v>
      </c>
      <c r="Z238" s="97">
        <f>W238/I238</f>
        <v/>
      </c>
      <c r="AA238" s="98">
        <f>MAX(0,(Y238-5000)/300)</f>
        <v/>
      </c>
      <c r="AB238" s="92" t="n"/>
      <c r="AC238" s="92" t="n">
        <v>0.2</v>
      </c>
      <c r="AD238" s="92" t="inlineStr">
        <is>
          <t>ok</t>
        </is>
      </c>
      <c r="AE238" s="92" t="inlineStr">
        <is>
          <t>Too small &lt;1.2k</t>
        </is>
      </c>
      <c r="AF238" s="96">
        <f>INDEX('Scoring Method'!$B$63:$B$71,MATCH(AE238,'Scoring Method'!$A$63:$A$71,0))+INDEX('Scoring Method'!$B$75:$B$79,MATCH("Adequate 5-8k",'Scoring Method'!$A$75:$A$79,0))+INDEX('Scoring Method'!$B$343:$B$347,MATCH(X238,'Scoring Method'!$A$343:$A$347,0))+INDEX('Scoring Method'!$B$25:$B$27,MATCH(P238,'Scoring Method'!$A$25:$A$27,0))</f>
        <v/>
      </c>
      <c r="AG238" s="96">
        <f>AF238*U238/100</f>
        <v/>
      </c>
      <c r="AH238" s="92" t="inlineStr">
        <is>
          <t>LINK-GIS + LoopNet</t>
        </is>
      </c>
      <c r="AI238" s="99" t="n">
        <v>39.08261</v>
      </c>
      <c r="AJ238" s="99" t="n">
        <v>-84.50857999999999</v>
      </c>
      <c r="AK238" s="94" t="n">
        <v>0.51</v>
      </c>
      <c r="AL238" s="94" t="n">
        <v>0.57</v>
      </c>
      <c r="AM238" s="94" t="n">
        <v>1.32</v>
      </c>
      <c r="AN238" s="94" t="n">
        <v>0.16</v>
      </c>
      <c r="AO238" s="92" t="inlineStr">
        <is>
          <t>Core &lt;=0.35mi</t>
        </is>
      </c>
      <c r="AP238" s="92" t="inlineStr">
        <is>
          <t>Lot / minimal bldg</t>
        </is>
      </c>
      <c r="AQ238" s="92" t="inlineStr">
        <is>
          <t>Adequate 5-8k</t>
        </is>
      </c>
      <c r="AR238" s="100" t="n"/>
      <c r="AS238" s="96">
        <f>ROUND(INDEX('Scoring Method'!$B$63:$B$70,MATCH(AE238,'Scoring Method'!$A$63:$A$70,0))*0.625+INDEX('Scoring Method'!$B$105:$B$113,MATCH(AP238,'Scoring Method'!$A$105:$A$113,0))+INDEX('Scoring Method'!$B$74:$B$78,MATCH(AQ238,'Scoring Method'!$A$74:$A$78,0))*0.6667+INDEX('Scoring Method'!$B$96:$B$101,MATCH(AO238,'Scoring Method'!$A$96:$A$101,0))+INDEX('Scoring Method'!$B$343:$B$347,MATCH(X238,'Scoring Method'!$A$343:$A$347,0))*0.3333+INDEX('Scoring Method'!$B$25:$B$27,MATCH(P238,'Scoring Method'!$A$25:$A$27,0))*0.3333,1)</f>
        <v/>
      </c>
      <c r="AT238" s="96">
        <f>AS238*U238/100</f>
        <v/>
      </c>
      <c r="AU238" s="92" t="inlineStr">
        <is>
          <t>Central Business District</t>
        </is>
      </c>
      <c r="AV238" s="92" t="n">
        <v>48</v>
      </c>
      <c r="AW238" s="101" t="inlineStr">
        <is>
          <t>ESTIMATED</t>
        </is>
      </c>
      <c r="AX238" s="92" t="inlineStr">
        <is>
          <t>Mixed 45-59</t>
        </is>
      </c>
      <c r="AY238" s="96">
        <f>ROUND(INDEX('Scoring Method'!$B$132:$B$140,MATCH(AE238,'Scoring Method'!$A$132:$A$140,0))+INDEX('Scoring Method'!$B$144:$B$152,MATCH(AP238,'Scoring Method'!$A$144:$A$152,0))+INDEX('Scoring Method'!$B$156:$B$160,MATCH(AQ238,'Scoring Method'!$A$156:$A$160,0))+INDEX('Scoring Method'!$B$164:$B$169,MATCH(AO238,'Scoring Method'!$A$164:$A$169,0))+INDEX('Scoring Method'!$B$173:$B$178,MATCH(AX238,'Scoring Method'!$A$173:$A$178,0))+INDEX('Scoring Method'!$B$349:$B$353,MATCH(X238,'Scoring Method'!$A$349:$A$353,0))+INDEX('Scoring Method'!$B$188:$B$190,MATCH(P238,'Scoring Method'!$A$188:$A$190,0)),1)</f>
        <v/>
      </c>
      <c r="AZ238" s="96">
        <f>AY238*U238/100</f>
        <v/>
      </c>
      <c r="BA238" s="92" t="inlineStr">
        <is>
          <t>No chain signal</t>
        </is>
      </c>
      <c r="BB238" s="94" t="n">
        <v>1</v>
      </c>
      <c r="BC238" s="103" t="inlineStr">
        <is>
          <t>Extra small 0.15-0.25 AC</t>
        </is>
      </c>
      <c r="BD238" s="94" t="n">
        <v>0.8</v>
      </c>
      <c r="BE238" s="96">
        <f>ROUND(INDEX('Scoring Method'!$B$268:$B$276,MATCH(AE238,'Scoring Method'!$A$268:$A$276,0))+INDEX('Scoring Method'!$B$280:$B$288,MATCH(AP238,'Scoring Method'!$A$280:$A$288,0))+INDEX('Scoring Method'!$B$292:$B$296,MATCH(AQ238,'Scoring Method'!$A$292:$A$296,0))+INDEX('Scoring Method'!$B$300:$B$305,MATCH(AO238,'Scoring Method'!$A$300:$A$305,0))+INDEX('Scoring Method'!$B$309:$B$314,MATCH(AX238,'Scoring Method'!$A$309:$A$314,0))+INDEX('Scoring Method'!$B$337:$B$341,MATCH(X238,'Scoring Method'!$A$337:$A$341,0))+INDEX('Scoring Method'!$B$324:$B$326,MATCH(P238,'Scoring Method'!$A$324:$A$326,0)),1)</f>
        <v/>
      </c>
      <c r="BF238" s="96">
        <f>ROUND(INDEX('Scoring Method'!$B$268:$B$276,MATCH(AE238,'Scoring Method'!$A$268:$A$276,0))*BB238*BD238+INDEX('Scoring Method'!$B$280:$B$288,MATCH(AP238,'Scoring Method'!$A$280:$A$288,0))*BM238*BB238*BD238+INDEX('Scoring Method'!$B$292:$B$296,MATCH(AQ238,'Scoring Method'!$A$292:$A$296,0))*BD238+INDEX('Scoring Method'!$B$300:$B$305,MATCH(AO238,'Scoring Method'!$A$300:$A$305,0))*BM238*BB238+INDEX('Scoring Method'!$B$309:$B$314,MATCH(AX238,'Scoring Method'!$A$309:$A$314,0))+INDEX('Scoring Method'!$B$337:$B$341,MATCH(X238,'Scoring Method'!$A$337:$A$341,0))+INDEX('Scoring Method'!$B$324:$B$326,MATCH(P238,'Scoring Method'!$A$324:$A$326,0)),1)</f>
        <v/>
      </c>
      <c r="BG238" s="92" t="inlineStr">
        <is>
          <t>Fits (~$733/mo)</t>
        </is>
      </c>
      <c r="BH238" s="61" t="inlineStr">
        <is>
          <t>DTC (HP)</t>
        </is>
      </c>
      <c r="BI238" s="61" t="inlineStr">
        <is>
          <t>Downtown Core</t>
        </is>
      </c>
      <c r="BJ238" s="61" t="inlineStr">
        <is>
          <t>HP</t>
        </is>
      </c>
      <c r="BK238" s="61" t="inlineStr"/>
      <c r="BL238" s="61" t="inlineStr">
        <is>
          <t>Bar permitted</t>
        </is>
      </c>
      <c r="BM238" s="61">
        <f>INDEX('Scoring Method'!$B$358:$B$363,MATCH(BL238,'Scoring Method'!$A$358:$A$363,0))</f>
        <v/>
      </c>
    </row>
    <row r="239" ht="15" customHeight="1" s="62">
      <c r="A239" s="92" t="n">
        <v>238</v>
      </c>
      <c r="B239" s="92" t="inlineStr">
        <is>
          <t>054-21-01-016.00</t>
        </is>
      </c>
      <c r="C239" s="92" t="inlineStr">
        <is>
          <t>428 MAIN ST</t>
        </is>
      </c>
      <c r="D239" s="92" t="inlineStr">
        <is>
          <t>OKDB LLC</t>
        </is>
      </c>
      <c r="E239" s="92" t="inlineStr">
        <is>
          <t>PO BOX 1573</t>
        </is>
      </c>
      <c r="F239" s="92" t="inlineStr">
        <is>
          <t>NEWPORT</t>
        </is>
      </c>
      <c r="G239" s="92" t="inlineStr">
        <is>
          <t>KY</t>
        </is>
      </c>
      <c r="H239" s="92" t="inlineStr">
        <is>
          <t>RESTAURANT CAFE/BAR</t>
        </is>
      </c>
      <c r="I239" s="93" t="n">
        <v>8750</v>
      </c>
      <c r="J239" s="94">
        <f>I239/43560</f>
        <v/>
      </c>
      <c r="K239" s="93" t="n">
        <v>367</v>
      </c>
      <c r="L239" s="95">
        <f>I239/(K239^2)</f>
        <v/>
      </c>
      <c r="M239" s="92" t="inlineStr">
        <is>
          <t>Poor &lt;10k/&gt;60k</t>
        </is>
      </c>
      <c r="N239" s="92" t="inlineStr">
        <is>
          <t>C</t>
        </is>
      </c>
      <c r="O239" s="92" t="inlineStr">
        <is>
          <t>Compact &gt;=.055</t>
        </is>
      </c>
      <c r="P239" s="92" t="inlineStr">
        <is>
          <t>Low</t>
        </is>
      </c>
      <c r="Q239" s="92" t="inlineStr">
        <is>
          <t>Out-of-city KY</t>
        </is>
      </c>
      <c r="R239" s="92" t="inlineStr">
        <is>
          <t>Operating entity</t>
        </is>
      </c>
      <c r="S239" s="92" t="n">
        <v>1</v>
      </c>
      <c r="T239" s="96">
        <f>INDEX('Scoring Method'!$B$6:$B$9,MATCH(M239,'Scoring Method'!$A$6:$A$9,0))+INDEX('Scoring Method'!$B$12:$B$16,MATCH(N239,'Scoring Method'!$A$12:$A$16,0))+INDEX('Scoring Method'!$B$19:$B$22,MATCH(O239,'Scoring Method'!$A$19:$A$22,0))+INDEX('Scoring Method'!$B$25:$B$27,MATCH(P239,'Scoring Method'!$A$25:$A$27,0))</f>
        <v/>
      </c>
      <c r="U239" s="96">
        <f>(INDEX('Scoring Method'!$B$30:$B$33,MATCH(Q239,'Scoring Method'!$A$30:$A$33,0))+INDEX('Scoring Method'!$B$36:$B$42,MATCH(R239,'Scoring Method'!$A$36:$A$42,0))+INDEX('Scoring Method'!$B$45:$B$47,MATCH(IF(S239=1,"1",IF(S239=2,"2","3+")),'Scoring Method'!$A$45:$A$47,0)))/90*100</f>
        <v/>
      </c>
      <c r="V239" s="96">
        <f>T239*U239/100</f>
        <v/>
      </c>
      <c r="W239" s="93" t="n">
        <v>2787</v>
      </c>
      <c r="X239" s="92" t="inlineStr">
        <is>
          <t>X (minimal hazard)</t>
        </is>
      </c>
      <c r="Y239" s="93" t="n">
        <v>2575</v>
      </c>
      <c r="Z239" s="97">
        <f>W239/I239</f>
        <v/>
      </c>
      <c r="AA239" s="98">
        <f>MAX(0,(Y239-5000)/300)</f>
        <v/>
      </c>
      <c r="AB239" s="92" t="n"/>
      <c r="AC239" s="92" t="n">
        <v>0.2</v>
      </c>
      <c r="AD239" s="92" t="inlineStr">
        <is>
          <t>ok</t>
        </is>
      </c>
      <c r="AE239" s="92" t="inlineStr">
        <is>
          <t>Above 2.5-4k</t>
        </is>
      </c>
      <c r="AF239" s="96">
        <f>INDEX('Scoring Method'!$B$63:$B$71,MATCH(AE239,'Scoring Method'!$A$63:$A$71,0))+INDEX('Scoring Method'!$B$75:$B$79,MATCH("Tight 2-5k",'Scoring Method'!$A$75:$A$79,0))+INDEX('Scoring Method'!$B$343:$B$347,MATCH(X239,'Scoring Method'!$A$343:$A$347,0))+INDEX('Scoring Method'!$B$25:$B$27,MATCH(P239,'Scoring Method'!$A$25:$A$27,0))</f>
        <v/>
      </c>
      <c r="AG239" s="96">
        <f>AF239*U239/100</f>
        <v/>
      </c>
      <c r="AH239" s="92" t="inlineStr">
        <is>
          <t>LINK-GIS + LoopNet</t>
        </is>
      </c>
      <c r="AI239" s="99" t="n">
        <v>39.08561</v>
      </c>
      <c r="AJ239" s="99" t="n">
        <v>-84.51725999999999</v>
      </c>
      <c r="AK239" s="94" t="n">
        <v>0.09</v>
      </c>
      <c r="AL239" s="94" t="n">
        <v>0.6</v>
      </c>
      <c r="AM239" s="94" t="n">
        <v>1.13</v>
      </c>
      <c r="AN239" s="94" t="n">
        <v>0.09</v>
      </c>
      <c r="AO239" s="92" t="inlineStr">
        <is>
          <t>Core &lt;=0.35mi</t>
        </is>
      </c>
      <c r="AP239" s="92" t="inlineStr">
        <is>
          <t>Built-out kitchen</t>
        </is>
      </c>
      <c r="AQ239" s="92" t="inlineStr">
        <is>
          <t>Tight 2-5k</t>
        </is>
      </c>
      <c r="AR239" s="100" t="n"/>
      <c r="AS239" s="96">
        <f>ROUND(INDEX('Scoring Method'!$B$63:$B$70,MATCH(AE239,'Scoring Method'!$A$63:$A$70,0))*0.625+INDEX('Scoring Method'!$B$105:$B$113,MATCH(AP239,'Scoring Method'!$A$105:$A$113,0))+INDEX('Scoring Method'!$B$74:$B$78,MATCH(AQ239,'Scoring Method'!$A$74:$A$78,0))*0.6667+INDEX('Scoring Method'!$B$96:$B$101,MATCH(AO239,'Scoring Method'!$A$96:$A$101,0))+INDEX('Scoring Method'!$B$343:$B$347,MATCH(X239,'Scoring Method'!$A$343:$A$347,0))*0.3333+INDEX('Scoring Method'!$B$25:$B$27,MATCH(P239,'Scoring Method'!$A$25:$A$27,0))*0.3333,1)</f>
        <v/>
      </c>
      <c r="AT239" s="96">
        <f>AS239*U239/100</f>
        <v/>
      </c>
      <c r="AU239" s="92" t="inlineStr">
        <is>
          <t>MainStrasse</t>
        </is>
      </c>
      <c r="AV239" s="92" t="n">
        <v>75</v>
      </c>
      <c r="AW239" s="92" t="inlineStr">
        <is>
          <t>Sourced</t>
        </is>
      </c>
      <c r="AX239" s="92" t="inlineStr">
        <is>
          <t>Safe 70-79</t>
        </is>
      </c>
      <c r="AY239" s="96">
        <f>ROUND(INDEX('Scoring Method'!$B$132:$B$140,MATCH(AE239,'Scoring Method'!$A$132:$A$140,0))+INDEX('Scoring Method'!$B$144:$B$152,MATCH(AP239,'Scoring Method'!$A$144:$A$152,0))+INDEX('Scoring Method'!$B$156:$B$160,MATCH(AQ239,'Scoring Method'!$A$156:$A$160,0))+INDEX('Scoring Method'!$B$164:$B$169,MATCH(AO239,'Scoring Method'!$A$164:$A$169,0))+INDEX('Scoring Method'!$B$173:$B$178,MATCH(AX239,'Scoring Method'!$A$173:$A$178,0))+INDEX('Scoring Method'!$B$349:$B$353,MATCH(X239,'Scoring Method'!$A$349:$A$353,0))+INDEX('Scoring Method'!$B$188:$B$190,MATCH(P239,'Scoring Method'!$A$188:$A$190,0)),1)</f>
        <v/>
      </c>
      <c r="AZ239" s="96">
        <f>AY239*U239/100</f>
        <v/>
      </c>
      <c r="BA239" s="92" t="inlineStr">
        <is>
          <t>No chain signal</t>
        </is>
      </c>
      <c r="BB239" s="94" t="n">
        <v>1</v>
      </c>
      <c r="BC239" s="103" t="inlineStr">
        <is>
          <t>Extra small 0.15-0.25 AC</t>
        </is>
      </c>
      <c r="BD239" s="94" t="n">
        <v>0.8</v>
      </c>
      <c r="BE239" s="96">
        <f>ROUND(INDEX('Scoring Method'!$B$268:$B$276,MATCH(AE239,'Scoring Method'!$A$268:$A$276,0))+INDEX('Scoring Method'!$B$280:$B$288,MATCH(AP239,'Scoring Method'!$A$280:$A$288,0))+INDEX('Scoring Method'!$B$292:$B$296,MATCH(AQ239,'Scoring Method'!$A$292:$A$296,0))+INDEX('Scoring Method'!$B$300:$B$305,MATCH(AO239,'Scoring Method'!$A$300:$A$305,0))+INDEX('Scoring Method'!$B$309:$B$314,MATCH(AX239,'Scoring Method'!$A$309:$A$314,0))+INDEX('Scoring Method'!$B$337:$B$341,MATCH(X239,'Scoring Method'!$A$337:$A$341,0))+INDEX('Scoring Method'!$B$324:$B$326,MATCH(P239,'Scoring Method'!$A$324:$A$326,0)),1)</f>
        <v/>
      </c>
      <c r="BF239" s="96">
        <f>ROUND(INDEX('Scoring Method'!$B$268:$B$276,MATCH(AE239,'Scoring Method'!$A$268:$A$276,0))*BB239*BD239+INDEX('Scoring Method'!$B$280:$B$288,MATCH(AP239,'Scoring Method'!$A$280:$A$288,0))*BM239*BB239*BD239+INDEX('Scoring Method'!$B$292:$B$296,MATCH(AQ239,'Scoring Method'!$A$292:$A$296,0))*BD239+INDEX('Scoring Method'!$B$300:$B$305,MATCH(AO239,'Scoring Method'!$A$300:$A$305,0))*BM239*BB239+INDEX('Scoring Method'!$B$309:$B$314,MATCH(AX239,'Scoring Method'!$A$309:$A$314,0))+INDEX('Scoring Method'!$B$337:$B$341,MATCH(X239,'Scoring Method'!$A$337:$A$341,0))+INDEX('Scoring Method'!$B$324:$B$326,MATCH(P239,'Scoring Method'!$A$324:$A$326,0)),1)</f>
        <v/>
      </c>
      <c r="BG239" s="92" t="inlineStr">
        <is>
          <t>Fits (~$2,555/mo)</t>
        </is>
      </c>
      <c r="BH239" s="61" t="inlineStr">
        <is>
          <t>AUC</t>
        </is>
      </c>
      <c r="BI239" s="61" t="inlineStr">
        <is>
          <t>Auto-Urban Commercial</t>
        </is>
      </c>
      <c r="BJ239" s="61" t="inlineStr"/>
      <c r="BK239" s="61" t="inlineStr"/>
      <c r="BL239" s="61" t="inlineStr">
        <is>
          <t>Bar permitted</t>
        </is>
      </c>
      <c r="BM239" s="61">
        <f>INDEX('Scoring Method'!$B$358:$B$363,MATCH(BL239,'Scoring Method'!$A$358:$A$363,0))</f>
        <v/>
      </c>
    </row>
    <row r="240" ht="15" customHeight="1" s="62">
      <c r="A240" s="92" t="n">
        <v>239</v>
      </c>
      <c r="B240" s="92" t="inlineStr">
        <is>
          <t>054-23-03-002.00</t>
        </is>
      </c>
      <c r="C240" s="92" t="inlineStr">
        <is>
          <t>16 W 9TH ST</t>
        </is>
      </c>
      <c r="D240" s="92" t="inlineStr">
        <is>
          <t>BLUE BRIDGE LLC</t>
        </is>
      </c>
      <c r="E240" s="92" t="inlineStr">
        <is>
          <t>814 WASHINGTON ST</t>
        </is>
      </c>
      <c r="F240" s="92" t="inlineStr">
        <is>
          <t>COVINGTON</t>
        </is>
      </c>
      <c r="G240" s="92" t="inlineStr">
        <is>
          <t>KY</t>
        </is>
      </c>
      <c r="H240" s="92" t="inlineStr">
        <is>
          <t>WHSE DISTRIBUTION</t>
        </is>
      </c>
      <c r="I240" s="93" t="n">
        <v>34027</v>
      </c>
      <c r="J240" s="94">
        <f>I240/43560</f>
        <v/>
      </c>
      <c r="K240" s="93" t="n">
        <v>976.9</v>
      </c>
      <c r="L240" s="95">
        <f>I240/(K240^2)</f>
        <v/>
      </c>
      <c r="M240" s="92" t="inlineStr">
        <is>
          <t>Near 14-18k/32-45k</t>
        </is>
      </c>
      <c r="N240" s="92" t="inlineStr">
        <is>
          <t>B</t>
        </is>
      </c>
      <c r="O240" s="92" t="inlineStr">
        <is>
          <t>Elongated .035-.045</t>
        </is>
      </c>
      <c r="P240" s="92" t="inlineStr">
        <is>
          <t>Low</t>
        </is>
      </c>
      <c r="Q240" s="92" t="inlineStr">
        <is>
          <t>Local absentee</t>
        </is>
      </c>
      <c r="R240" s="92" t="inlineStr">
        <is>
          <t>Operating entity</t>
        </is>
      </c>
      <c r="S240" s="92" t="n">
        <v>1</v>
      </c>
      <c r="T240" s="96">
        <f>INDEX('Scoring Method'!$B$6:$B$9,MATCH(M240,'Scoring Method'!$A$6:$A$9,0))+INDEX('Scoring Method'!$B$12:$B$16,MATCH(N240,'Scoring Method'!$A$12:$A$16,0))+INDEX('Scoring Method'!$B$19:$B$22,MATCH(O240,'Scoring Method'!$A$19:$A$22,0))+INDEX('Scoring Method'!$B$25:$B$27,MATCH(P240,'Scoring Method'!$A$25:$A$27,0))</f>
        <v/>
      </c>
      <c r="U240" s="96">
        <f>(INDEX('Scoring Method'!$B$30:$B$33,MATCH(Q240,'Scoring Method'!$A$30:$A$33,0))+INDEX('Scoring Method'!$B$36:$B$42,MATCH(R240,'Scoring Method'!$A$36:$A$42,0))+INDEX('Scoring Method'!$B$45:$B$47,MATCH(IF(S240=1,"1",IF(S240=2,"2","3+")),'Scoring Method'!$A$45:$A$47,0)))/90*100</f>
        <v/>
      </c>
      <c r="V240" s="96">
        <f>T240*U240/100</f>
        <v/>
      </c>
      <c r="W240" s="93" t="n">
        <v>31448</v>
      </c>
      <c r="X240" s="92" t="inlineStr">
        <is>
          <t>X (minimal hazard)</t>
        </is>
      </c>
      <c r="Y240" s="93" t="n">
        <v>12025</v>
      </c>
      <c r="Z240" s="97">
        <f>W240/I240</f>
        <v/>
      </c>
      <c r="AA240" s="98">
        <f>MAX(0,(Y240-5000)/300)</f>
        <v/>
      </c>
      <c r="AB240" s="92" t="n"/>
      <c r="AC240" s="92" t="n">
        <v>0.8</v>
      </c>
      <c r="AD240" s="92" t="inlineStr">
        <is>
          <t>ok</t>
        </is>
      </c>
      <c r="AE240" s="92" t="inlineStr">
        <is>
          <t>Far oversize &gt;12k</t>
        </is>
      </c>
      <c r="AF240" s="96">
        <f>INDEX('Scoring Method'!$B$63:$B$71,MATCH(AE240,'Scoring Method'!$A$63:$A$71,0))+INDEX('Scoring Method'!$B$75:$B$79,MATCH("Good 8-15k",'Scoring Method'!$A$75:$A$79,0))+INDEX('Scoring Method'!$B$343:$B$347,MATCH(X240,'Scoring Method'!$A$343:$A$347,0))+INDEX('Scoring Method'!$B$25:$B$27,MATCH(P240,'Scoring Method'!$A$25:$A$27,0))</f>
        <v/>
      </c>
      <c r="AG240" s="96">
        <f>AF240*U240/100</f>
        <v/>
      </c>
      <c r="AH240" s="92" t="inlineStr">
        <is>
          <t>LINK-GIS + LoopNet</t>
        </is>
      </c>
      <c r="AI240" s="99" t="n">
        <v>39.08132</v>
      </c>
      <c r="AJ240" s="99" t="n">
        <v>-84.51074</v>
      </c>
      <c r="AK240" s="94" t="n">
        <v>0.44</v>
      </c>
      <c r="AL240" s="94" t="n">
        <v>0.67</v>
      </c>
      <c r="AM240" s="94" t="n">
        <v>1.4</v>
      </c>
      <c r="AN240" s="94" t="n">
        <v>0.18</v>
      </c>
      <c r="AO240" s="92" t="inlineStr">
        <is>
          <t>Core &lt;=0.35mi</t>
        </is>
      </c>
      <c r="AP240" s="92" t="inlineStr">
        <is>
          <t>Open span</t>
        </is>
      </c>
      <c r="AQ240" s="92" t="inlineStr">
        <is>
          <t>Good 8-15k</t>
        </is>
      </c>
      <c r="AR240" s="100" t="n"/>
      <c r="AS240" s="96">
        <f>ROUND(INDEX('Scoring Method'!$B$63:$B$70,MATCH(AE240,'Scoring Method'!$A$63:$A$70,0))*0.625+INDEX('Scoring Method'!$B$105:$B$113,MATCH(AP240,'Scoring Method'!$A$105:$A$113,0))+INDEX('Scoring Method'!$B$74:$B$78,MATCH(AQ240,'Scoring Method'!$A$74:$A$78,0))*0.6667+INDEX('Scoring Method'!$B$96:$B$101,MATCH(AO240,'Scoring Method'!$A$96:$A$101,0))+INDEX('Scoring Method'!$B$343:$B$347,MATCH(X240,'Scoring Method'!$A$343:$A$347,0))*0.3333+INDEX('Scoring Method'!$B$25:$B$27,MATCH(P240,'Scoring Method'!$A$25:$A$27,0))*0.3333,1)</f>
        <v/>
      </c>
      <c r="AT240" s="96">
        <f>AS240*U240/100</f>
        <v/>
      </c>
      <c r="AU240" s="92" t="inlineStr">
        <is>
          <t>Central Business District</t>
        </is>
      </c>
      <c r="AV240" s="92" t="n">
        <v>48</v>
      </c>
      <c r="AW240" s="101" t="inlineStr">
        <is>
          <t>ESTIMATED</t>
        </is>
      </c>
      <c r="AX240" s="92" t="inlineStr">
        <is>
          <t>Mixed 45-59</t>
        </is>
      </c>
      <c r="AY240" s="96">
        <f>ROUND(INDEX('Scoring Method'!$B$132:$B$140,MATCH(AE240,'Scoring Method'!$A$132:$A$140,0))+INDEX('Scoring Method'!$B$144:$B$152,MATCH(AP240,'Scoring Method'!$A$144:$A$152,0))+INDEX('Scoring Method'!$B$156:$B$160,MATCH(AQ240,'Scoring Method'!$A$156:$A$160,0))+INDEX('Scoring Method'!$B$164:$B$169,MATCH(AO240,'Scoring Method'!$A$164:$A$169,0))+INDEX('Scoring Method'!$B$173:$B$178,MATCH(AX240,'Scoring Method'!$A$173:$A$178,0))+INDEX('Scoring Method'!$B$349:$B$353,MATCH(X240,'Scoring Method'!$A$349:$A$353,0))+INDEX('Scoring Method'!$B$188:$B$190,MATCH(P240,'Scoring Method'!$A$188:$A$190,0)),1)</f>
        <v/>
      </c>
      <c r="AZ240" s="96">
        <f>AY240*U240/100</f>
        <v/>
      </c>
      <c r="BA240" s="92" t="inlineStr">
        <is>
          <t>No chain signal</t>
        </is>
      </c>
      <c r="BB240" s="94" t="n">
        <v>1</v>
      </c>
      <c r="BC240" s="102" t="inlineStr">
        <is>
          <t>Large 0.75-1.25 AC</t>
        </is>
      </c>
      <c r="BD240" s="94" t="n">
        <v>0.9</v>
      </c>
      <c r="BE240" s="96">
        <f>ROUND(INDEX('Scoring Method'!$B$268:$B$276,MATCH(AE240,'Scoring Method'!$A$268:$A$276,0))+INDEX('Scoring Method'!$B$280:$B$288,MATCH(AP240,'Scoring Method'!$A$280:$A$288,0))+INDEX('Scoring Method'!$B$292:$B$296,MATCH(AQ240,'Scoring Method'!$A$292:$A$296,0))+INDEX('Scoring Method'!$B$300:$B$305,MATCH(AO240,'Scoring Method'!$A$300:$A$305,0))+INDEX('Scoring Method'!$B$309:$B$314,MATCH(AX240,'Scoring Method'!$A$309:$A$314,0))+INDEX('Scoring Method'!$B$337:$B$341,MATCH(X240,'Scoring Method'!$A$337:$A$341,0))+INDEX('Scoring Method'!$B$324:$B$326,MATCH(P240,'Scoring Method'!$A$324:$A$326,0)),1)</f>
        <v/>
      </c>
      <c r="BF240" s="96">
        <f>ROUND(INDEX('Scoring Method'!$B$268:$B$276,MATCH(AE240,'Scoring Method'!$A$268:$A$276,0))*BB240*BD240+INDEX('Scoring Method'!$B$280:$B$288,MATCH(AP240,'Scoring Method'!$A$280:$A$288,0))*BM240*BB240*BD240+INDEX('Scoring Method'!$B$292:$B$296,MATCH(AQ240,'Scoring Method'!$A$292:$A$296,0))*BD240+INDEX('Scoring Method'!$B$300:$B$305,MATCH(AO240,'Scoring Method'!$A$300:$A$305,0))*BM240*BB240+INDEX('Scoring Method'!$B$309:$B$314,MATCH(AX240,'Scoring Method'!$A$309:$A$314,0))+INDEX('Scoring Method'!$B$337:$B$341,MATCH(X240,'Scoring Method'!$A$337:$A$341,0))+INDEX('Scoring Method'!$B$324:$B$326,MATCH(P240,'Scoring Method'!$A$324:$A$326,0)),1)</f>
        <v/>
      </c>
      <c r="BG240" s="102" t="inlineStr">
        <is>
          <t>Over (~$28,827/mo)</t>
        </is>
      </c>
      <c r="BH240" s="61" t="inlineStr">
        <is>
          <t>DTC (HP)</t>
        </is>
      </c>
      <c r="BI240" s="61" t="inlineStr">
        <is>
          <t>Downtown Core</t>
        </is>
      </c>
      <c r="BJ240" s="61" t="inlineStr">
        <is>
          <t>HP</t>
        </is>
      </c>
      <c r="BK240" s="61" t="inlineStr"/>
      <c r="BL240" s="61" t="inlineStr">
        <is>
          <t>Bar permitted</t>
        </is>
      </c>
      <c r="BM240" s="61">
        <f>INDEX('Scoring Method'!$B$358:$B$363,MATCH(BL240,'Scoring Method'!$A$358:$A$363,0))</f>
        <v/>
      </c>
    </row>
    <row r="241" ht="15" customHeight="1" s="62">
      <c r="A241" s="92" t="n">
        <v>240</v>
      </c>
      <c r="B241" s="92" t="inlineStr">
        <is>
          <t>055-13-01-002.00</t>
        </is>
      </c>
      <c r="C241" s="92" t="inlineStr">
        <is>
          <t>123 14TH ST W</t>
        </is>
      </c>
      <c r="D241" s="92" t="inlineStr">
        <is>
          <t>KILLER KOATINGS LLC</t>
        </is>
      </c>
      <c r="E241" s="92" t="inlineStr">
        <is>
          <t>1408 CHESAPEAKE ST</t>
        </is>
      </c>
      <c r="F241" s="92" t="inlineStr">
        <is>
          <t>COVINGTON</t>
        </is>
      </c>
      <c r="G241" s="92" t="inlineStr">
        <is>
          <t>KY</t>
        </is>
      </c>
      <c r="H241" s="92" t="inlineStr">
        <is>
          <t>WAREHOUSE 1-20000 SQ FT</t>
        </is>
      </c>
      <c r="I241" s="93" t="n">
        <v>8992</v>
      </c>
      <c r="J241" s="94">
        <f>I241/43560</f>
        <v/>
      </c>
      <c r="K241" s="93" t="n">
        <v>389.8</v>
      </c>
      <c r="L241" s="95">
        <f>I241/(K241^2)</f>
        <v/>
      </c>
      <c r="M241" s="92" t="inlineStr">
        <is>
          <t>Poor &lt;10k/&gt;60k</t>
        </is>
      </c>
      <c r="N241" s="92" t="inlineStr">
        <is>
          <t>A</t>
        </is>
      </c>
      <c r="O241" s="92" t="inlineStr">
        <is>
          <t>Compact &gt;=.055</t>
        </is>
      </c>
      <c r="P241" s="92" t="inlineStr">
        <is>
          <t>Low</t>
        </is>
      </c>
      <c r="Q241" s="92" t="inlineStr">
        <is>
          <t>Local absentee</t>
        </is>
      </c>
      <c r="R241" s="92" t="inlineStr">
        <is>
          <t>Operating entity</t>
        </is>
      </c>
      <c r="S241" s="92" t="n">
        <v>1</v>
      </c>
      <c r="T241" s="96">
        <f>INDEX('Scoring Method'!$B$6:$B$9,MATCH(M241,'Scoring Method'!$A$6:$A$9,0))+INDEX('Scoring Method'!$B$12:$B$16,MATCH(N241,'Scoring Method'!$A$12:$A$16,0))+INDEX('Scoring Method'!$B$19:$B$22,MATCH(O241,'Scoring Method'!$A$19:$A$22,0))+INDEX('Scoring Method'!$B$25:$B$27,MATCH(P241,'Scoring Method'!$A$25:$A$27,0))</f>
        <v/>
      </c>
      <c r="U241" s="96">
        <f>(INDEX('Scoring Method'!$B$30:$B$33,MATCH(Q241,'Scoring Method'!$A$30:$A$33,0))+INDEX('Scoring Method'!$B$36:$B$42,MATCH(R241,'Scoring Method'!$A$36:$A$42,0))+INDEX('Scoring Method'!$B$45:$B$47,MATCH(IF(S241=1,"1",IF(S241=2,"2","3+")),'Scoring Method'!$A$45:$A$47,0)))/90*100</f>
        <v/>
      </c>
      <c r="V241" s="96">
        <f>T241*U241/100</f>
        <v/>
      </c>
      <c r="W241" s="93" t="n">
        <v>4200</v>
      </c>
      <c r="X241" s="92" t="inlineStr">
        <is>
          <t>X (minimal hazard)</t>
        </is>
      </c>
      <c r="Y241" s="93" t="n">
        <v>2500</v>
      </c>
      <c r="Z241" s="97">
        <f>W241/I241</f>
        <v/>
      </c>
      <c r="AA241" s="98">
        <f>MAX(0,(Y241-5000)/300)</f>
        <v/>
      </c>
      <c r="AB241" s="92" t="n"/>
      <c r="AC241" s="92" t="n">
        <v>0.14</v>
      </c>
      <c r="AD241" s="102" t="inlineStr">
        <is>
          <t>CHECK</t>
        </is>
      </c>
      <c r="AE241" s="92" t="inlineStr">
        <is>
          <t>Large 4-6k</t>
        </is>
      </c>
      <c r="AF241" s="96">
        <f>INDEX('Scoring Method'!$B$63:$B$71,MATCH(AE241,'Scoring Method'!$A$63:$A$71,0))+INDEX('Scoring Method'!$B$75:$B$79,MATCH("Tight 2-5k",'Scoring Method'!$A$75:$A$79,0))+INDEX('Scoring Method'!$B$343:$B$347,MATCH(X241,'Scoring Method'!$A$343:$A$347,0))+INDEX('Scoring Method'!$B$25:$B$27,MATCH(P241,'Scoring Method'!$A$25:$A$27,0))</f>
        <v/>
      </c>
      <c r="AG241" s="96">
        <f>AF241*U241/100</f>
        <v/>
      </c>
      <c r="AH241" s="92" t="inlineStr">
        <is>
          <t>LINK-GIS + LoopNet</t>
        </is>
      </c>
      <c r="AI241" s="99" t="n">
        <v>39.07469</v>
      </c>
      <c r="AJ241" s="99" t="n">
        <v>-84.51054999999999</v>
      </c>
      <c r="AK241" s="94" t="n">
        <v>0.78</v>
      </c>
      <c r="AL241" s="94" t="n">
        <v>1.12</v>
      </c>
      <c r="AM241" s="94" t="n">
        <v>1.86</v>
      </c>
      <c r="AN241" s="94" t="n">
        <v>0.64</v>
      </c>
      <c r="AO241" s="92" t="inlineStr">
        <is>
          <t>Near 0.35-0.75mi</t>
        </is>
      </c>
      <c r="AP241" s="92" t="inlineStr">
        <is>
          <t>Open span</t>
        </is>
      </c>
      <c r="AQ241" s="92" t="inlineStr">
        <is>
          <t>Tight 2-5k</t>
        </is>
      </c>
      <c r="AR241" s="100" t="n"/>
      <c r="AS241" s="96">
        <f>ROUND(INDEX('Scoring Method'!$B$63:$B$70,MATCH(AE241,'Scoring Method'!$A$63:$A$70,0))*0.625+INDEX('Scoring Method'!$B$105:$B$113,MATCH(AP241,'Scoring Method'!$A$105:$A$113,0))+INDEX('Scoring Method'!$B$74:$B$78,MATCH(AQ241,'Scoring Method'!$A$74:$A$78,0))*0.6667+INDEX('Scoring Method'!$B$96:$B$101,MATCH(AO241,'Scoring Method'!$A$96:$A$101,0))+INDEX('Scoring Method'!$B$343:$B$347,MATCH(X241,'Scoring Method'!$A$343:$A$347,0))*0.3333+INDEX('Scoring Method'!$B$25:$B$27,MATCH(P241,'Scoring Method'!$A$25:$A$27,0))*0.3333,1)</f>
        <v/>
      </c>
      <c r="AT241" s="96">
        <f>AS241*U241/100</f>
        <v/>
      </c>
      <c r="AU241" s="92" t="inlineStr">
        <is>
          <t>Old Seminary Square</t>
        </is>
      </c>
      <c r="AV241" s="92" t="n">
        <v>35</v>
      </c>
      <c r="AW241" s="101" t="inlineStr">
        <is>
          <t>ESTIMATED</t>
        </is>
      </c>
      <c r="AX241" s="92" t="inlineStr">
        <is>
          <t>Elevated 35-44</t>
        </is>
      </c>
      <c r="AY241" s="96">
        <f>ROUND(INDEX('Scoring Method'!$B$132:$B$140,MATCH(AE241,'Scoring Method'!$A$132:$A$140,0))+INDEX('Scoring Method'!$B$144:$B$152,MATCH(AP241,'Scoring Method'!$A$144:$A$152,0))+INDEX('Scoring Method'!$B$156:$B$160,MATCH(AQ241,'Scoring Method'!$A$156:$A$160,0))+INDEX('Scoring Method'!$B$164:$B$169,MATCH(AO241,'Scoring Method'!$A$164:$A$169,0))+INDEX('Scoring Method'!$B$173:$B$178,MATCH(AX241,'Scoring Method'!$A$173:$A$178,0))+INDEX('Scoring Method'!$B$349:$B$353,MATCH(X241,'Scoring Method'!$A$349:$A$353,0))+INDEX('Scoring Method'!$B$188:$B$190,MATCH(P241,'Scoring Method'!$A$188:$A$190,0)),1)</f>
        <v/>
      </c>
      <c r="AZ241" s="96">
        <f>AY241*U241/100</f>
        <v/>
      </c>
      <c r="BA241" s="92" t="inlineStr">
        <is>
          <t>No chain signal</t>
        </is>
      </c>
      <c r="BB241" s="94" t="n">
        <v>1</v>
      </c>
      <c r="BC241" s="103" t="inlineStr">
        <is>
          <t>Extra small 0.15-0.25 AC</t>
        </is>
      </c>
      <c r="BD241" s="94" t="n">
        <v>0.8</v>
      </c>
      <c r="BE241" s="96">
        <f>ROUND(INDEX('Scoring Method'!$B$268:$B$276,MATCH(AE241,'Scoring Method'!$A$268:$A$276,0))+INDEX('Scoring Method'!$B$280:$B$288,MATCH(AP241,'Scoring Method'!$A$280:$A$288,0))+INDEX('Scoring Method'!$B$292:$B$296,MATCH(AQ241,'Scoring Method'!$A$292:$A$296,0))+INDEX('Scoring Method'!$B$300:$B$305,MATCH(AO241,'Scoring Method'!$A$300:$A$305,0))+INDEX('Scoring Method'!$B$309:$B$314,MATCH(AX241,'Scoring Method'!$A$309:$A$314,0))+INDEX('Scoring Method'!$B$337:$B$341,MATCH(X241,'Scoring Method'!$A$337:$A$341,0))+INDEX('Scoring Method'!$B$324:$B$326,MATCH(P241,'Scoring Method'!$A$324:$A$326,0)),1)</f>
        <v/>
      </c>
      <c r="BF241" s="96">
        <f>ROUND(INDEX('Scoring Method'!$B$268:$B$276,MATCH(AE241,'Scoring Method'!$A$268:$A$276,0))*BB241*BD241+INDEX('Scoring Method'!$B$280:$B$288,MATCH(AP241,'Scoring Method'!$A$280:$A$288,0))*BM241*BB241*BD241+INDEX('Scoring Method'!$B$292:$B$296,MATCH(AQ241,'Scoring Method'!$A$292:$A$296,0))*BD241+INDEX('Scoring Method'!$B$300:$B$305,MATCH(AO241,'Scoring Method'!$A$300:$A$305,0))*BM241*BB241+INDEX('Scoring Method'!$B$309:$B$314,MATCH(AX241,'Scoring Method'!$A$309:$A$314,0))+INDEX('Scoring Method'!$B$337:$B$341,MATCH(X241,'Scoring Method'!$A$337:$A$341,0))+INDEX('Scoring Method'!$B$324:$B$326,MATCH(P241,'Scoring Method'!$A$324:$A$326,0)),1)</f>
        <v/>
      </c>
      <c r="BG241" s="92" t="inlineStr">
        <is>
          <t>Fits (~$3,850/mo)</t>
        </is>
      </c>
      <c r="BH241" s="61" t="inlineStr">
        <is>
          <t>LI</t>
        </is>
      </c>
      <c r="BI241" s="61" t="inlineStr">
        <is>
          <t>Limited Industrial</t>
        </is>
      </c>
      <c r="BJ241" s="61" t="inlineStr"/>
      <c r="BK241" s="61" t="inlineStr"/>
      <c r="BL241" s="61" t="inlineStr">
        <is>
          <t>Bar prohibited, alt-path</t>
        </is>
      </c>
      <c r="BM241" s="61">
        <f>INDEX('Scoring Method'!$B$358:$B$363,MATCH(BL241,'Scoring Method'!$A$358:$A$363,0))</f>
        <v/>
      </c>
    </row>
    <row r="242" ht="15" customHeight="1" s="62">
      <c r="A242" s="92" t="n">
        <v>241</v>
      </c>
      <c r="B242" s="92" t="inlineStr">
        <is>
          <t>055-13-02-015.00</t>
        </is>
      </c>
      <c r="C242" s="92" t="inlineStr">
        <is>
          <t>1530 RUSSELL ST</t>
        </is>
      </c>
      <c r="D242" s="92" t="inlineStr">
        <is>
          <t>BLAU MECHANICAL INC</t>
        </is>
      </c>
      <c r="E242" s="92" t="inlineStr">
        <is>
          <t>1532 RUSSELL ST</t>
        </is>
      </c>
      <c r="F242" s="92" t="inlineStr">
        <is>
          <t>COVINGTON</t>
        </is>
      </c>
      <c r="G242" s="92" t="inlineStr">
        <is>
          <t>KY</t>
        </is>
      </c>
      <c r="H242" s="92" t="inlineStr">
        <is>
          <t>WAREHOUSE 1-20000 SQ FT</t>
        </is>
      </c>
      <c r="I242" s="93" t="n">
        <v>85897</v>
      </c>
      <c r="J242" s="94">
        <f>I242/43560</f>
        <v/>
      </c>
      <c r="K242" s="93" t="n">
        <v>1222.3</v>
      </c>
      <c r="L242" s="95">
        <f>I242/(K242^2)</f>
        <v/>
      </c>
      <c r="M242" s="92" t="inlineStr">
        <is>
          <t>Poor &lt;10k/&gt;60k</t>
        </is>
      </c>
      <c r="N242" s="92" t="inlineStr">
        <is>
          <t>A</t>
        </is>
      </c>
      <c r="O242" s="92" t="inlineStr">
        <is>
          <t>Compact &gt;=.055</t>
        </is>
      </c>
      <c r="P242" s="92" t="inlineStr">
        <is>
          <t>Low</t>
        </is>
      </c>
      <c r="Q242" s="92" t="inlineStr">
        <is>
          <t>Local absentee</t>
        </is>
      </c>
      <c r="R242" s="92" t="inlineStr">
        <is>
          <t>Operating entity</t>
        </is>
      </c>
      <c r="S242" s="92" t="n">
        <v>1</v>
      </c>
      <c r="T242" s="96">
        <f>INDEX('Scoring Method'!$B$6:$B$9,MATCH(M242,'Scoring Method'!$A$6:$A$9,0))+INDEX('Scoring Method'!$B$12:$B$16,MATCH(N242,'Scoring Method'!$A$12:$A$16,0))+INDEX('Scoring Method'!$B$19:$B$22,MATCH(O242,'Scoring Method'!$A$19:$A$22,0))+INDEX('Scoring Method'!$B$25:$B$27,MATCH(P242,'Scoring Method'!$A$25:$A$27,0))</f>
        <v/>
      </c>
      <c r="U242" s="96">
        <f>(INDEX('Scoring Method'!$B$30:$B$33,MATCH(Q242,'Scoring Method'!$A$30:$A$33,0))+INDEX('Scoring Method'!$B$36:$B$42,MATCH(R242,'Scoring Method'!$A$36:$A$42,0))+INDEX('Scoring Method'!$B$45:$B$47,MATCH(IF(S242=1,"1",IF(S242=2,"2","3+")),'Scoring Method'!$A$45:$A$47,0)))/90*100</f>
        <v/>
      </c>
      <c r="V242" s="96">
        <f>T242*U242/100</f>
        <v/>
      </c>
      <c r="W242" s="93" t="n">
        <v>17880</v>
      </c>
      <c r="X242" s="92" t="inlineStr">
        <is>
          <t>X (minimal hazard)</t>
        </is>
      </c>
      <c r="Y242" s="93" t="n">
        <v>48400</v>
      </c>
      <c r="Z242" s="97">
        <f>W242/I242</f>
        <v/>
      </c>
      <c r="AA242" s="98">
        <f>MAX(0,(Y242-5000)/300)</f>
        <v/>
      </c>
      <c r="AB242" s="92" t="n"/>
      <c r="AC242" s="92" t="n">
        <v>1.94</v>
      </c>
      <c r="AD242" s="92" t="inlineStr">
        <is>
          <t>ok</t>
        </is>
      </c>
      <c r="AE242" s="92" t="inlineStr">
        <is>
          <t>Far oversize &gt;12k</t>
        </is>
      </c>
      <c r="AF242" s="96">
        <f>INDEX('Scoring Method'!$B$63:$B$71,MATCH(AE242,'Scoring Method'!$A$63:$A$71,0))+INDEX('Scoring Method'!$B$75:$B$79,MATCH("Ample &gt;=15k",'Scoring Method'!$A$75:$A$79,0))+INDEX('Scoring Method'!$B$343:$B$347,MATCH(X242,'Scoring Method'!$A$343:$A$347,0))+INDEX('Scoring Method'!$B$25:$B$27,MATCH(P242,'Scoring Method'!$A$25:$A$27,0))</f>
        <v/>
      </c>
      <c r="AG242" s="96">
        <f>AF242*U242/100</f>
        <v/>
      </c>
      <c r="AH242" s="92" t="inlineStr">
        <is>
          <t>LINK-GIS + LoopNet</t>
        </is>
      </c>
      <c r="AI242" s="99" t="n">
        <v>39.07206</v>
      </c>
      <c r="AJ242" s="99" t="n">
        <v>-84.5097</v>
      </c>
      <c r="AK242" s="94" t="n">
        <v>0.96</v>
      </c>
      <c r="AL242" s="94" t="n">
        <v>1.3</v>
      </c>
      <c r="AM242" s="94" t="n">
        <v>2.04</v>
      </c>
      <c r="AN242" s="94" t="n">
        <v>0.83</v>
      </c>
      <c r="AO242" s="92" t="inlineStr">
        <is>
          <t>Fringe 0.75-1.25mi</t>
        </is>
      </c>
      <c r="AP242" s="92" t="inlineStr">
        <is>
          <t>Open span</t>
        </is>
      </c>
      <c r="AQ242" s="92" t="inlineStr">
        <is>
          <t>Ample &gt;=15k</t>
        </is>
      </c>
      <c r="AR242" s="100" t="n"/>
      <c r="AS242" s="96">
        <f>ROUND(INDEX('Scoring Method'!$B$63:$B$70,MATCH(AE242,'Scoring Method'!$A$63:$A$70,0))*0.625+INDEX('Scoring Method'!$B$105:$B$113,MATCH(AP242,'Scoring Method'!$A$105:$A$113,0))+INDEX('Scoring Method'!$B$74:$B$78,MATCH(AQ242,'Scoring Method'!$A$74:$A$78,0))*0.6667+INDEX('Scoring Method'!$B$96:$B$101,MATCH(AO242,'Scoring Method'!$A$96:$A$101,0))+INDEX('Scoring Method'!$B$343:$B$347,MATCH(X242,'Scoring Method'!$A$343:$A$347,0))*0.3333+INDEX('Scoring Method'!$B$25:$B$27,MATCH(P242,'Scoring Method'!$A$25:$A$27,0))*0.3333,1)</f>
        <v/>
      </c>
      <c r="AT242" s="96">
        <f>AS242*U242/100</f>
        <v/>
      </c>
      <c r="AU242" s="92" t="inlineStr">
        <is>
          <t>Eastside</t>
        </is>
      </c>
      <c r="AV242" s="92" t="n">
        <v>28</v>
      </c>
      <c r="AW242" s="101" t="inlineStr">
        <is>
          <t>ESTIMATED</t>
        </is>
      </c>
      <c r="AX242" s="92" t="inlineStr">
        <is>
          <t>High &lt;35</t>
        </is>
      </c>
      <c r="AY242" s="96">
        <f>ROUND(INDEX('Scoring Method'!$B$132:$B$140,MATCH(AE242,'Scoring Method'!$A$132:$A$140,0))+INDEX('Scoring Method'!$B$144:$B$152,MATCH(AP242,'Scoring Method'!$A$144:$A$152,0))+INDEX('Scoring Method'!$B$156:$B$160,MATCH(AQ242,'Scoring Method'!$A$156:$A$160,0))+INDEX('Scoring Method'!$B$164:$B$169,MATCH(AO242,'Scoring Method'!$A$164:$A$169,0))+INDEX('Scoring Method'!$B$173:$B$178,MATCH(AX242,'Scoring Method'!$A$173:$A$178,0))+INDEX('Scoring Method'!$B$349:$B$353,MATCH(X242,'Scoring Method'!$A$349:$A$353,0))+INDEX('Scoring Method'!$B$188:$B$190,MATCH(P242,'Scoring Method'!$A$188:$A$190,0)),1)</f>
        <v/>
      </c>
      <c r="AZ242" s="96">
        <f>AY242*U242/100</f>
        <v/>
      </c>
      <c r="BA242" s="92" t="inlineStr">
        <is>
          <t>No chain signal</t>
        </is>
      </c>
      <c r="BB242" s="94" t="n">
        <v>1</v>
      </c>
      <c r="BC242" s="103" t="inlineStr">
        <is>
          <t>Oversized &gt;1.25 AC</t>
        </is>
      </c>
      <c r="BD242" s="94" t="n">
        <v>0.65</v>
      </c>
      <c r="BE242" s="96">
        <f>ROUND(INDEX('Scoring Method'!$B$268:$B$276,MATCH(AE242,'Scoring Method'!$A$268:$A$276,0))+INDEX('Scoring Method'!$B$280:$B$288,MATCH(AP242,'Scoring Method'!$A$280:$A$288,0))+INDEX('Scoring Method'!$B$292:$B$296,MATCH(AQ242,'Scoring Method'!$A$292:$A$296,0))+INDEX('Scoring Method'!$B$300:$B$305,MATCH(AO242,'Scoring Method'!$A$300:$A$305,0))+INDEX('Scoring Method'!$B$309:$B$314,MATCH(AX242,'Scoring Method'!$A$309:$A$314,0))+INDEX('Scoring Method'!$B$337:$B$341,MATCH(X242,'Scoring Method'!$A$337:$A$341,0))+INDEX('Scoring Method'!$B$324:$B$326,MATCH(P242,'Scoring Method'!$A$324:$A$326,0)),1)</f>
        <v/>
      </c>
      <c r="BF242" s="96">
        <f>ROUND(INDEX('Scoring Method'!$B$268:$B$276,MATCH(AE242,'Scoring Method'!$A$268:$A$276,0))*BB242*BD242+INDEX('Scoring Method'!$B$280:$B$288,MATCH(AP242,'Scoring Method'!$A$280:$A$288,0))*BM242*BB242*BD242+INDEX('Scoring Method'!$B$292:$B$296,MATCH(AQ242,'Scoring Method'!$A$292:$A$296,0))*BD242+INDEX('Scoring Method'!$B$300:$B$305,MATCH(AO242,'Scoring Method'!$A$300:$A$305,0))*BM242*BB242+INDEX('Scoring Method'!$B$309:$B$314,MATCH(AX242,'Scoring Method'!$A$309:$A$314,0))+INDEX('Scoring Method'!$B$337:$B$341,MATCH(X242,'Scoring Method'!$A$337:$A$341,0))+INDEX('Scoring Method'!$B$324:$B$326,MATCH(P242,'Scoring Method'!$A$324:$A$326,0)),1)</f>
        <v/>
      </c>
      <c r="BG242" s="102" t="inlineStr">
        <is>
          <t>Over (~$16,390/mo)</t>
        </is>
      </c>
      <c r="BH242" s="61" t="inlineStr">
        <is>
          <t>LI</t>
        </is>
      </c>
      <c r="BI242" s="61" t="inlineStr">
        <is>
          <t>Limited Industrial</t>
        </is>
      </c>
      <c r="BJ242" s="61" t="inlineStr"/>
      <c r="BK242" s="61" t="inlineStr"/>
      <c r="BL242" s="61" t="inlineStr">
        <is>
          <t>Bar prohibited, alt-path</t>
        </is>
      </c>
      <c r="BM242" s="61">
        <f>INDEX('Scoring Method'!$B$358:$B$363,MATCH(BL242,'Scoring Method'!$A$358:$A$363,0))</f>
        <v/>
      </c>
    </row>
    <row r="243" ht="15" customHeight="1" s="62">
      <c r="A243" s="92" t="n">
        <v>242</v>
      </c>
      <c r="B243" s="92" t="inlineStr">
        <is>
          <t>055-12-12-001.00</t>
        </is>
      </c>
      <c r="C243" s="92" t="inlineStr">
        <is>
          <t>1610 EUCLID AVE</t>
        </is>
      </c>
      <c r="D243" s="92" t="inlineStr">
        <is>
          <t>AUSDENMOORE JOHN &amp;</t>
        </is>
      </c>
      <c r="E243" s="92" t="inlineStr">
        <is>
          <t>1119 RUSSELL ST</t>
        </is>
      </c>
      <c r="F243" s="92" t="inlineStr">
        <is>
          <t>COVINGTON</t>
        </is>
      </c>
      <c r="G243" s="92" t="inlineStr">
        <is>
          <t>KY</t>
        </is>
      </c>
      <c r="H243" s="92" t="inlineStr">
        <is>
          <t>GARAGE/PARKING SPACE</t>
        </is>
      </c>
      <c r="I243" s="93" t="n">
        <v>12962</v>
      </c>
      <c r="J243" s="94">
        <f>I243/43560</f>
        <v/>
      </c>
      <c r="K243" s="93" t="n">
        <v>555.4</v>
      </c>
      <c r="L243" s="95">
        <f>I243/(K243^2)</f>
        <v/>
      </c>
      <c r="M243" s="92" t="inlineStr">
        <is>
          <t>Marginal 10-14k/45-60k</t>
        </is>
      </c>
      <c r="N243" s="92" t="inlineStr">
        <is>
          <t>D</t>
        </is>
      </c>
      <c r="O243" s="92" t="inlineStr">
        <is>
          <t>Elongated .035-.045</t>
        </is>
      </c>
      <c r="P243" s="92" t="inlineStr">
        <is>
          <t>Low</t>
        </is>
      </c>
      <c r="Q243" s="92" t="inlineStr">
        <is>
          <t>Local absentee</t>
        </is>
      </c>
      <c r="R243" s="92" t="inlineStr">
        <is>
          <t>Individual</t>
        </is>
      </c>
      <c r="S243" s="92" t="n">
        <v>1</v>
      </c>
      <c r="T243" s="96">
        <f>INDEX('Scoring Method'!$B$6:$B$9,MATCH(M243,'Scoring Method'!$A$6:$A$9,0))+INDEX('Scoring Method'!$B$12:$B$16,MATCH(N243,'Scoring Method'!$A$12:$A$16,0))+INDEX('Scoring Method'!$B$19:$B$22,MATCH(O243,'Scoring Method'!$A$19:$A$22,0))+INDEX('Scoring Method'!$B$25:$B$27,MATCH(P243,'Scoring Method'!$A$25:$A$27,0))</f>
        <v/>
      </c>
      <c r="U243" s="96">
        <f>(INDEX('Scoring Method'!$B$30:$B$33,MATCH(Q243,'Scoring Method'!$A$30:$A$33,0))+INDEX('Scoring Method'!$B$36:$B$42,MATCH(R243,'Scoring Method'!$A$36:$A$42,0))+INDEX('Scoring Method'!$B$45:$B$47,MATCH(IF(S243=1,"1",IF(S243=2,"2","3+")),'Scoring Method'!$A$45:$A$47,0)))/90*100</f>
        <v/>
      </c>
      <c r="V243" s="96">
        <f>T243*U243/100</f>
        <v/>
      </c>
      <c r="W243" s="93" t="n">
        <v>712</v>
      </c>
      <c r="X243" s="92" t="inlineStr">
        <is>
          <t>X (minimal hazard)</t>
        </is>
      </c>
      <c r="Y243" s="93" t="n">
        <v>11450</v>
      </c>
      <c r="Z243" s="97" t="n"/>
      <c r="AA243" s="98">
        <f>MAX(0,(Y243-5000)/300)</f>
        <v/>
      </c>
      <c r="AB243" s="92" t="n"/>
      <c r="AC243" s="92" t="n"/>
      <c r="AD243" s="92" t="n"/>
      <c r="AE243" s="92" t="inlineStr">
        <is>
          <t>Too small &lt;1.2k</t>
        </is>
      </c>
      <c r="AF243" s="96">
        <f>INDEX('Scoring Method'!$B$63:$B$71,MATCH(AE243,'Scoring Method'!$A$63:$A$71,0))+INDEX('Scoring Method'!$B$75:$B$79,MATCH("Good 8-15k",'Scoring Method'!$A$75:$A$79,0))+INDEX('Scoring Method'!$B$343:$B$347,MATCH(X243,'Scoring Method'!$A$343:$A$347,0))+INDEX('Scoring Method'!$B$25:$B$27,MATCH(P243,'Scoring Method'!$A$25:$A$27,0))</f>
        <v/>
      </c>
      <c r="AG243" s="96">
        <f>AF243*U243/100</f>
        <v/>
      </c>
      <c r="AH243" s="92" t="inlineStr">
        <is>
          <t>LINK-GIS only</t>
        </is>
      </c>
      <c r="AI243" s="99" t="n">
        <v>39.07015</v>
      </c>
      <c r="AJ243" s="99" t="n">
        <v>-84.51494</v>
      </c>
      <c r="AK243" s="94" t="n">
        <v>1</v>
      </c>
      <c r="AL243" s="94" t="n">
        <v>1.47</v>
      </c>
      <c r="AM243" s="94" t="n">
        <v>2.17</v>
      </c>
      <c r="AN243" s="94" t="n">
        <v>0.98</v>
      </c>
      <c r="AO243" s="92" t="inlineStr">
        <is>
          <t>Fringe 0.75-1.25mi</t>
        </is>
      </c>
      <c r="AP243" s="92" t="inlineStr">
        <is>
          <t>Lot / minimal bldg</t>
        </is>
      </c>
      <c r="AQ243" s="92" t="inlineStr">
        <is>
          <t>Good 8-15k</t>
        </is>
      </c>
      <c r="AR243" s="100" t="n"/>
      <c r="AS243" s="96">
        <f>ROUND(INDEX('Scoring Method'!$B$63:$B$70,MATCH(AE243,'Scoring Method'!$A$63:$A$70,0))*0.625+INDEX('Scoring Method'!$B$105:$B$113,MATCH(AP243,'Scoring Method'!$A$105:$A$113,0))+INDEX('Scoring Method'!$B$74:$B$78,MATCH(AQ243,'Scoring Method'!$A$74:$A$78,0))*0.6667+INDEX('Scoring Method'!$B$96:$B$101,MATCH(AO243,'Scoring Method'!$A$96:$A$101,0))+INDEX('Scoring Method'!$B$343:$B$347,MATCH(X243,'Scoring Method'!$A$343:$A$347,0))*0.3333+INDEX('Scoring Method'!$B$25:$B$27,MATCH(P243,'Scoring Method'!$A$25:$A$27,0))*0.3333,1)</f>
        <v/>
      </c>
      <c r="AT243" s="96">
        <f>AS243*U243/100</f>
        <v/>
      </c>
      <c r="AU243" s="92" t="inlineStr">
        <is>
          <t>Old Seminary Square</t>
        </is>
      </c>
      <c r="AV243" s="92" t="n">
        <v>35</v>
      </c>
      <c r="AW243" s="101" t="inlineStr">
        <is>
          <t>ESTIMATED</t>
        </is>
      </c>
      <c r="AX243" s="92" t="inlineStr">
        <is>
          <t>Elevated 35-44</t>
        </is>
      </c>
      <c r="AY243" s="96">
        <f>ROUND(INDEX('Scoring Method'!$B$132:$B$140,MATCH(AE243,'Scoring Method'!$A$132:$A$140,0))+INDEX('Scoring Method'!$B$144:$B$152,MATCH(AP243,'Scoring Method'!$A$144:$A$152,0))+INDEX('Scoring Method'!$B$156:$B$160,MATCH(AQ243,'Scoring Method'!$A$156:$A$160,0))+INDEX('Scoring Method'!$B$164:$B$169,MATCH(AO243,'Scoring Method'!$A$164:$A$169,0))+INDEX('Scoring Method'!$B$173:$B$178,MATCH(AX243,'Scoring Method'!$A$173:$A$178,0))+INDEX('Scoring Method'!$B$349:$B$353,MATCH(X243,'Scoring Method'!$A$349:$A$353,0))+INDEX('Scoring Method'!$B$188:$B$190,MATCH(P243,'Scoring Method'!$A$188:$A$190,0)),1)</f>
        <v/>
      </c>
      <c r="AZ243" s="96">
        <f>AY243*U243/100</f>
        <v/>
      </c>
      <c r="BA243" s="92" t="inlineStr">
        <is>
          <t>No chain signal</t>
        </is>
      </c>
      <c r="BB243" s="94" t="n">
        <v>1</v>
      </c>
      <c r="BC243" s="102" t="inlineStr">
        <is>
          <t>Small 0.25-0.35 AC</t>
        </is>
      </c>
      <c r="BD243" s="94" t="n">
        <v>0.9</v>
      </c>
      <c r="BE243" s="96">
        <f>ROUND(INDEX('Scoring Method'!$B$268:$B$276,MATCH(AE243,'Scoring Method'!$A$268:$A$276,0))+INDEX('Scoring Method'!$B$280:$B$288,MATCH(AP243,'Scoring Method'!$A$280:$A$288,0))+INDEX('Scoring Method'!$B$292:$B$296,MATCH(AQ243,'Scoring Method'!$A$292:$A$296,0))+INDEX('Scoring Method'!$B$300:$B$305,MATCH(AO243,'Scoring Method'!$A$300:$A$305,0))+INDEX('Scoring Method'!$B$309:$B$314,MATCH(AX243,'Scoring Method'!$A$309:$A$314,0))+INDEX('Scoring Method'!$B$337:$B$341,MATCH(X243,'Scoring Method'!$A$337:$A$341,0))+INDEX('Scoring Method'!$B$324:$B$326,MATCH(P243,'Scoring Method'!$A$324:$A$326,0)),1)</f>
        <v/>
      </c>
      <c r="BF243" s="96">
        <f>ROUND(INDEX('Scoring Method'!$B$268:$B$276,MATCH(AE243,'Scoring Method'!$A$268:$A$276,0))*BB243*BD243+INDEX('Scoring Method'!$B$280:$B$288,MATCH(AP243,'Scoring Method'!$A$280:$A$288,0))*BM243*BB243*BD243+INDEX('Scoring Method'!$B$292:$B$296,MATCH(AQ243,'Scoring Method'!$A$292:$A$296,0))*BD243+INDEX('Scoring Method'!$B$300:$B$305,MATCH(AO243,'Scoring Method'!$A$300:$A$305,0))*BM243*BB243+INDEX('Scoring Method'!$B$309:$B$314,MATCH(AX243,'Scoring Method'!$A$309:$A$314,0))+INDEX('Scoring Method'!$B$337:$B$341,MATCH(X243,'Scoring Method'!$A$337:$A$341,0))+INDEX('Scoring Method'!$B$324:$B$326,MATCH(P243,'Scoring Method'!$A$324:$A$326,0)),1)</f>
        <v/>
      </c>
      <c r="BG243" s="92" t="inlineStr">
        <is>
          <t>Fits (~$653/mo)</t>
        </is>
      </c>
      <c r="BH243" s="61" t="inlineStr">
        <is>
          <t>SU</t>
        </is>
      </c>
      <c r="BI243" s="61" t="inlineStr">
        <is>
          <t>Semi-Urban Residential</t>
        </is>
      </c>
      <c r="BJ243" s="61" t="inlineStr"/>
      <c r="BK243" s="61" t="inlineStr"/>
      <c r="BL243" s="61" t="inlineStr">
        <is>
          <t>SU corner unverified</t>
        </is>
      </c>
      <c r="BM243" s="61">
        <f>INDEX('Scoring Method'!$B$358:$B$363,MATCH(BL243,'Scoring Method'!$A$358:$A$363,0))</f>
        <v/>
      </c>
    </row>
    <row r="244" ht="15" customHeight="1" s="62">
      <c r="A244" s="92" t="n">
        <v>243</v>
      </c>
      <c r="B244" s="92" t="inlineStr">
        <is>
          <t>055-32-17-011.00</t>
        </is>
      </c>
      <c r="C244" s="92" t="inlineStr">
        <is>
          <t>1930 MARYLAND AVE</t>
        </is>
      </c>
      <c r="D244" s="92" t="inlineStr">
        <is>
          <t>PAVILION AT KENTON</t>
        </is>
      </c>
      <c r="E244" s="92" t="inlineStr">
        <is>
          <t>401 E 20TH ST</t>
        </is>
      </c>
      <c r="F244" s="92" t="inlineStr">
        <is>
          <t>COVINGTON</t>
        </is>
      </c>
      <c r="G244" s="92" t="inlineStr">
        <is>
          <t>KY</t>
        </is>
      </c>
      <c r="H244" s="92" t="inlineStr">
        <is>
          <t>PARKING GARAGE</t>
        </is>
      </c>
      <c r="I244" s="93" t="n">
        <v>43262</v>
      </c>
      <c r="J244" s="94">
        <f>I244/43560</f>
        <v/>
      </c>
      <c r="K244" s="93" t="n">
        <v>902</v>
      </c>
      <c r="L244" s="95">
        <f>I244/(K244^2)</f>
        <v/>
      </c>
      <c r="M244" s="92" t="inlineStr">
        <is>
          <t>Near 14-18k/32-45k</t>
        </is>
      </c>
      <c r="N244" s="92" t="inlineStr">
        <is>
          <t>E</t>
        </is>
      </c>
      <c r="O244" s="92" t="inlineStr">
        <is>
          <t>Regular .045-.055</t>
        </is>
      </c>
      <c r="P244" s="92" t="inlineStr">
        <is>
          <t>Low</t>
        </is>
      </c>
      <c r="Q244" s="92" t="inlineStr">
        <is>
          <t>Local absentee</t>
        </is>
      </c>
      <c r="R244" s="92" t="inlineStr">
        <is>
          <t>Nonprofit/Inst</t>
        </is>
      </c>
      <c r="S244" s="92" t="n">
        <v>2</v>
      </c>
      <c r="T244" s="96">
        <f>INDEX('Scoring Method'!$B$6:$B$9,MATCH(M244,'Scoring Method'!$A$6:$A$9,0))+INDEX('Scoring Method'!$B$12:$B$16,MATCH(N244,'Scoring Method'!$A$12:$A$16,0))+INDEX('Scoring Method'!$B$19:$B$22,MATCH(O244,'Scoring Method'!$A$19:$A$22,0))+INDEX('Scoring Method'!$B$25:$B$27,MATCH(P244,'Scoring Method'!$A$25:$A$27,0))</f>
        <v/>
      </c>
      <c r="U244" s="96">
        <f>(INDEX('Scoring Method'!$B$30:$B$33,MATCH(Q244,'Scoring Method'!$A$30:$A$33,0))+INDEX('Scoring Method'!$B$36:$B$42,MATCH(R244,'Scoring Method'!$A$36:$A$42,0))+INDEX('Scoring Method'!$B$45:$B$47,MATCH(IF(S244=1,"1",IF(S244=2,"2","3+")),'Scoring Method'!$A$45:$A$47,0)))/90*100</f>
        <v/>
      </c>
      <c r="V244" s="96">
        <f>T244*U244/100</f>
        <v/>
      </c>
      <c r="W244" s="93" t="n">
        <v>34962</v>
      </c>
      <c r="X244" s="92" t="inlineStr">
        <is>
          <t>X (minimal hazard)</t>
        </is>
      </c>
      <c r="Y244" s="93" t="n">
        <v>325</v>
      </c>
      <c r="Z244" s="97" t="n"/>
      <c r="AA244" s="98">
        <f>MAX(0,(Y244-5000)/300)</f>
        <v/>
      </c>
      <c r="AB244" s="92" t="n"/>
      <c r="AC244" s="92" t="n"/>
      <c r="AD244" s="92" t="n"/>
      <c r="AE244" s="92" t="inlineStr">
        <is>
          <t>Far oversize &gt;12k</t>
        </is>
      </c>
      <c r="AF244" s="96">
        <f>INDEX('Scoring Method'!$B$63:$B$71,MATCH(AE244,'Scoring Method'!$A$63:$A$71,0))+INDEX('Scoring Method'!$B$75:$B$79,MATCH("Insufficient &lt;2k",'Scoring Method'!$A$75:$A$79,0))+INDEX('Scoring Method'!$B$343:$B$347,MATCH(X244,'Scoring Method'!$A$343:$A$347,0))+INDEX('Scoring Method'!$B$25:$B$27,MATCH(P244,'Scoring Method'!$A$25:$A$27,0))</f>
        <v/>
      </c>
      <c r="AG244" s="96">
        <f>AF244*U244/100</f>
        <v/>
      </c>
      <c r="AH244" s="92" t="inlineStr">
        <is>
          <t>LINK-GIS only</t>
        </is>
      </c>
      <c r="AI244" s="99" t="n">
        <v>39.06793</v>
      </c>
      <c r="AJ244" s="99" t="n">
        <v>-84.49935000000001</v>
      </c>
      <c r="AK244" s="94" t="n">
        <v>1.51</v>
      </c>
      <c r="AL244" s="94" t="n">
        <v>1.66</v>
      </c>
      <c r="AM244" s="94" t="n">
        <v>2.42</v>
      </c>
      <c r="AN244" s="94" t="n">
        <v>1.27</v>
      </c>
      <c r="AO244" s="92" t="inlineStr">
        <is>
          <t>Outer 1.25-2mi</t>
        </is>
      </c>
      <c r="AP244" s="92" t="inlineStr">
        <is>
          <t>Office/institutional</t>
        </is>
      </c>
      <c r="AQ244" s="92" t="inlineStr">
        <is>
          <t>Insufficient &lt;2k</t>
        </is>
      </c>
      <c r="AR244" s="100" t="n"/>
      <c r="AS244" s="96">
        <f>ROUND(INDEX('Scoring Method'!$B$63:$B$70,MATCH(AE244,'Scoring Method'!$A$63:$A$70,0))*0.625+INDEX('Scoring Method'!$B$105:$B$113,MATCH(AP244,'Scoring Method'!$A$105:$A$113,0))+INDEX('Scoring Method'!$B$74:$B$78,MATCH(AQ244,'Scoring Method'!$A$74:$A$78,0))*0.6667+INDEX('Scoring Method'!$B$96:$B$101,MATCH(AO244,'Scoring Method'!$A$96:$A$101,0))+INDEX('Scoring Method'!$B$343:$B$347,MATCH(X244,'Scoring Method'!$A$343:$A$347,0))*0.3333+INDEX('Scoring Method'!$B$25:$B$27,MATCH(P244,'Scoring Method'!$A$25:$A$27,0))*0.3333,1)</f>
        <v/>
      </c>
      <c r="AT244" s="96">
        <f>AS244*U244/100</f>
        <v/>
      </c>
      <c r="AU244" s="92" t="inlineStr">
        <is>
          <t>Levassor Park</t>
        </is>
      </c>
      <c r="AV244" s="92" t="n">
        <v>42</v>
      </c>
      <c r="AW244" s="101" t="inlineStr">
        <is>
          <t>ESTIMATED</t>
        </is>
      </c>
      <c r="AX244" s="92" t="inlineStr">
        <is>
          <t>Elevated 35-44</t>
        </is>
      </c>
      <c r="AY244" s="96">
        <f>ROUND(INDEX('Scoring Method'!$B$132:$B$140,MATCH(AE244,'Scoring Method'!$A$132:$A$140,0))+INDEX('Scoring Method'!$B$144:$B$152,MATCH(AP244,'Scoring Method'!$A$144:$A$152,0))+INDEX('Scoring Method'!$B$156:$B$160,MATCH(AQ244,'Scoring Method'!$A$156:$A$160,0))+INDEX('Scoring Method'!$B$164:$B$169,MATCH(AO244,'Scoring Method'!$A$164:$A$169,0))+INDEX('Scoring Method'!$B$173:$B$178,MATCH(AX244,'Scoring Method'!$A$173:$A$178,0))+INDEX('Scoring Method'!$B$349:$B$353,MATCH(X244,'Scoring Method'!$A$349:$A$353,0))+INDEX('Scoring Method'!$B$188:$B$190,MATCH(P244,'Scoring Method'!$A$188:$A$190,0)),1)</f>
        <v/>
      </c>
      <c r="AZ244" s="96">
        <f>AY244*U244/100</f>
        <v/>
      </c>
      <c r="BA244" s="92" t="inlineStr">
        <is>
          <t>No chain signal</t>
        </is>
      </c>
      <c r="BB244" s="94" t="n">
        <v>1</v>
      </c>
      <c r="BC244" s="102" t="inlineStr">
        <is>
          <t>Large 0.75-1.25 AC</t>
        </is>
      </c>
      <c r="BD244" s="94" t="n">
        <v>0.9</v>
      </c>
      <c r="BE244" s="96">
        <f>ROUND(INDEX('Scoring Method'!$B$268:$B$276,MATCH(AE244,'Scoring Method'!$A$268:$A$276,0))+INDEX('Scoring Method'!$B$280:$B$288,MATCH(AP244,'Scoring Method'!$A$280:$A$288,0))+INDEX('Scoring Method'!$B$292:$B$296,MATCH(AQ244,'Scoring Method'!$A$292:$A$296,0))+INDEX('Scoring Method'!$B$300:$B$305,MATCH(AO244,'Scoring Method'!$A$300:$A$305,0))+INDEX('Scoring Method'!$B$309:$B$314,MATCH(AX244,'Scoring Method'!$A$309:$A$314,0))+INDEX('Scoring Method'!$B$337:$B$341,MATCH(X244,'Scoring Method'!$A$337:$A$341,0))+INDEX('Scoring Method'!$B$324:$B$326,MATCH(P244,'Scoring Method'!$A$324:$A$326,0)),1)</f>
        <v/>
      </c>
      <c r="BF244" s="96">
        <f>ROUND(INDEX('Scoring Method'!$B$268:$B$276,MATCH(AE244,'Scoring Method'!$A$268:$A$276,0))*BB244*BD244+INDEX('Scoring Method'!$B$280:$B$288,MATCH(AP244,'Scoring Method'!$A$280:$A$288,0))*BM244*BB244*BD244+INDEX('Scoring Method'!$B$292:$B$296,MATCH(AQ244,'Scoring Method'!$A$292:$A$296,0))*BD244+INDEX('Scoring Method'!$B$300:$B$305,MATCH(AO244,'Scoring Method'!$A$300:$A$305,0))*BM244*BB244+INDEX('Scoring Method'!$B$309:$B$314,MATCH(AX244,'Scoring Method'!$A$309:$A$314,0))+INDEX('Scoring Method'!$B$337:$B$341,MATCH(X244,'Scoring Method'!$A$337:$A$341,0))+INDEX('Scoring Method'!$B$324:$B$326,MATCH(P244,'Scoring Method'!$A$324:$A$326,0)),1)</f>
        <v/>
      </c>
      <c r="BG244" s="102" t="inlineStr">
        <is>
          <t>Over (~$32,048/mo)</t>
        </is>
      </c>
      <c r="BH244" s="61" t="inlineStr">
        <is>
          <t>TUMU</t>
        </is>
      </c>
      <c r="BI244" s="61" t="inlineStr">
        <is>
          <t>Traditional Urban Mixed Use</t>
        </is>
      </c>
      <c r="BJ244" s="61" t="inlineStr"/>
      <c r="BK244" s="61" t="inlineStr"/>
      <c r="BL244" s="61" t="inlineStr">
        <is>
          <t>Bar permitted</t>
        </is>
      </c>
      <c r="BM244" s="61">
        <f>INDEX('Scoring Method'!$B$358:$B$363,MATCH(BL244,'Scoring Method'!$A$358:$A$363,0))</f>
        <v/>
      </c>
    </row>
    <row r="245" ht="15" customHeight="1" s="62">
      <c r="A245" s="92" t="n">
        <v>244</v>
      </c>
      <c r="B245" s="92" t="inlineStr">
        <is>
          <t>054-21-22-002.00</t>
        </is>
      </c>
      <c r="C245" s="92" t="inlineStr">
        <is>
          <t>23 W 6TH ST</t>
        </is>
      </c>
      <c r="D245" s="92" t="inlineStr">
        <is>
          <t>DS &amp; JS PROPERTIES LLC</t>
        </is>
      </c>
      <c r="E245" s="92" t="inlineStr">
        <is>
          <t>700 MADISON AVE</t>
        </is>
      </c>
      <c r="F245" s="92" t="inlineStr">
        <is>
          <t>COVINGTON</t>
        </is>
      </c>
      <c r="G245" s="92" t="inlineStr">
        <is>
          <t>KY</t>
        </is>
      </c>
      <c r="H245" s="92" t="inlineStr">
        <is>
          <t>PAVED LOT</t>
        </is>
      </c>
      <c r="I245" s="93" t="n">
        <v>8131</v>
      </c>
      <c r="J245" s="94">
        <f>I245/43560</f>
        <v/>
      </c>
      <c r="K245" s="93" t="n">
        <v>362.8</v>
      </c>
      <c r="L245" s="95">
        <f>I245/(K245^2)</f>
        <v/>
      </c>
      <c r="M245" s="92" t="inlineStr">
        <is>
          <t>Poor &lt;10k/&gt;60k</t>
        </is>
      </c>
      <c r="N245" s="92" t="inlineStr">
        <is>
          <t>D</t>
        </is>
      </c>
      <c r="O245" s="92" t="inlineStr">
        <is>
          <t>Compact &gt;=.055</t>
        </is>
      </c>
      <c r="P245" s="92" t="inlineStr">
        <is>
          <t>Low</t>
        </is>
      </c>
      <c r="Q245" s="92" t="inlineStr">
        <is>
          <t>Local absentee</t>
        </is>
      </c>
      <c r="R245" s="92" t="inlineStr">
        <is>
          <t>Passive vehicle</t>
        </is>
      </c>
      <c r="S245" s="92" t="n">
        <v>1</v>
      </c>
      <c r="T245" s="96">
        <f>INDEX('Scoring Method'!$B$6:$B$9,MATCH(M245,'Scoring Method'!$A$6:$A$9,0))+INDEX('Scoring Method'!$B$12:$B$16,MATCH(N245,'Scoring Method'!$A$12:$A$16,0))+INDEX('Scoring Method'!$B$19:$B$22,MATCH(O245,'Scoring Method'!$A$19:$A$22,0))+INDEX('Scoring Method'!$B$25:$B$27,MATCH(P245,'Scoring Method'!$A$25:$A$27,0))</f>
        <v/>
      </c>
      <c r="U245" s="96">
        <f>(INDEX('Scoring Method'!$B$30:$B$33,MATCH(Q245,'Scoring Method'!$A$30:$A$33,0))+INDEX('Scoring Method'!$B$36:$B$42,MATCH(R245,'Scoring Method'!$A$36:$A$42,0))+INDEX('Scoring Method'!$B$45:$B$47,MATCH(IF(S245=1,"1",IF(S245=2,"2","3+")),'Scoring Method'!$A$45:$A$47,0)))/90*100</f>
        <v/>
      </c>
      <c r="V245" s="96">
        <f>T245*U245/100</f>
        <v/>
      </c>
      <c r="W245" s="93" t="n"/>
      <c r="X245" s="92" t="inlineStr">
        <is>
          <t>X (minimal hazard)</t>
        </is>
      </c>
      <c r="Y245" s="93" t="n">
        <v>7900</v>
      </c>
      <c r="Z245" s="97" t="n"/>
      <c r="AA245" s="98" t="n"/>
      <c r="AB245" s="92" t="n"/>
      <c r="AC245" s="92" t="n">
        <v>0.19</v>
      </c>
      <c r="AD245" s="92" t="inlineStr">
        <is>
          <t>ok</t>
        </is>
      </c>
      <c r="AE245" s="92" t="inlineStr">
        <is>
          <t>No building</t>
        </is>
      </c>
      <c r="AF245" s="96">
        <f>INDEX('Scoring Method'!$B$63:$B$71,MATCH(AE245,'Scoring Method'!$A$63:$A$71,0))+INDEX('Scoring Method'!$B$75:$B$79,MATCH("Adequate 5-8k",'Scoring Method'!$A$75:$A$79,0))+INDEX('Scoring Method'!$B$343:$B$347,MATCH(X245,'Scoring Method'!$A$343:$A$347,0))+INDEX('Scoring Method'!$B$25:$B$27,MATCH(P245,'Scoring Method'!$A$25:$A$27,0))</f>
        <v/>
      </c>
      <c r="AG245" s="96">
        <f>AF245*U245/100</f>
        <v/>
      </c>
      <c r="AH245" s="92" t="inlineStr">
        <is>
          <t>LINK-GIS + LoopNet</t>
        </is>
      </c>
      <c r="AI245" s="99" t="n">
        <v>39.08431</v>
      </c>
      <c r="AJ245" s="99" t="n">
        <v>-84.51130999999999</v>
      </c>
      <c r="AK245" s="94" t="n">
        <v>0.35</v>
      </c>
      <c r="AL245" s="94" t="n">
        <v>0.48</v>
      </c>
      <c r="AM245" s="94" t="n">
        <v>1.19</v>
      </c>
      <c r="AN245" s="94" t="n">
        <v>0.03</v>
      </c>
      <c r="AO245" s="92" t="inlineStr">
        <is>
          <t>Core &lt;=0.35mi</t>
        </is>
      </c>
      <c r="AP245" s="92" t="inlineStr">
        <is>
          <t>Lot / minimal bldg</t>
        </is>
      </c>
      <c r="AQ245" s="92" t="inlineStr">
        <is>
          <t>Adequate 5-8k</t>
        </is>
      </c>
      <c r="AR245" s="100" t="n"/>
      <c r="AS245" s="96">
        <f>ROUND(INDEX('Scoring Method'!$B$63:$B$70,MATCH(AE245,'Scoring Method'!$A$63:$A$70,0))*0.625+INDEX('Scoring Method'!$B$105:$B$113,MATCH(AP245,'Scoring Method'!$A$105:$A$113,0))+INDEX('Scoring Method'!$B$74:$B$78,MATCH(AQ245,'Scoring Method'!$A$74:$A$78,0))*0.6667+INDEX('Scoring Method'!$B$96:$B$101,MATCH(AO245,'Scoring Method'!$A$96:$A$101,0))+INDEX('Scoring Method'!$B$343:$B$347,MATCH(X245,'Scoring Method'!$A$343:$A$347,0))*0.3333+INDEX('Scoring Method'!$B$25:$B$27,MATCH(P245,'Scoring Method'!$A$25:$A$27,0))*0.3333,1)</f>
        <v/>
      </c>
      <c r="AT245" s="96">
        <f>AS245*U245/100</f>
        <v/>
      </c>
      <c r="AU245" s="92" t="inlineStr">
        <is>
          <t>Central Business District</t>
        </is>
      </c>
      <c r="AV245" s="92" t="n">
        <v>48</v>
      </c>
      <c r="AW245" s="101" t="inlineStr">
        <is>
          <t>ESTIMATED</t>
        </is>
      </c>
      <c r="AX245" s="92" t="inlineStr">
        <is>
          <t>Mixed 45-59</t>
        </is>
      </c>
      <c r="AY245" s="96">
        <f>ROUND(INDEX('Scoring Method'!$B$132:$B$140,MATCH(AE245,'Scoring Method'!$A$132:$A$140,0))+INDEX('Scoring Method'!$B$144:$B$152,MATCH(AP245,'Scoring Method'!$A$144:$A$152,0))+INDEX('Scoring Method'!$B$156:$B$160,MATCH(AQ245,'Scoring Method'!$A$156:$A$160,0))+INDEX('Scoring Method'!$B$164:$B$169,MATCH(AO245,'Scoring Method'!$A$164:$A$169,0))+INDEX('Scoring Method'!$B$173:$B$178,MATCH(AX245,'Scoring Method'!$A$173:$A$178,0))+INDEX('Scoring Method'!$B$349:$B$353,MATCH(X245,'Scoring Method'!$A$349:$A$353,0))+INDEX('Scoring Method'!$B$188:$B$190,MATCH(P245,'Scoring Method'!$A$188:$A$190,0)),1)</f>
        <v/>
      </c>
      <c r="AZ245" s="96">
        <f>AY245*U245/100</f>
        <v/>
      </c>
      <c r="BA245" s="92" t="inlineStr">
        <is>
          <t>No chain signal</t>
        </is>
      </c>
      <c r="BB245" s="94" t="n">
        <v>1</v>
      </c>
      <c r="BC245" s="103" t="inlineStr">
        <is>
          <t>Extra small 0.15-0.25 AC</t>
        </is>
      </c>
      <c r="BD245" s="94" t="n">
        <v>0.8</v>
      </c>
      <c r="BE245" s="96">
        <f>ROUND(INDEX('Scoring Method'!$B$268:$B$276,MATCH(AE245,'Scoring Method'!$A$268:$A$276,0))+INDEX('Scoring Method'!$B$280:$B$288,MATCH(AP245,'Scoring Method'!$A$280:$A$288,0))+INDEX('Scoring Method'!$B$292:$B$296,MATCH(AQ245,'Scoring Method'!$A$292:$A$296,0))+INDEX('Scoring Method'!$B$300:$B$305,MATCH(AO245,'Scoring Method'!$A$300:$A$305,0))+INDEX('Scoring Method'!$B$309:$B$314,MATCH(AX245,'Scoring Method'!$A$309:$A$314,0))+INDEX('Scoring Method'!$B$337:$B$341,MATCH(X245,'Scoring Method'!$A$337:$A$341,0))+INDEX('Scoring Method'!$B$324:$B$326,MATCH(P245,'Scoring Method'!$A$324:$A$326,0)),1)</f>
        <v/>
      </c>
      <c r="BF245" s="96">
        <f>ROUND(INDEX('Scoring Method'!$B$268:$B$276,MATCH(AE245,'Scoring Method'!$A$268:$A$276,0))*BB245*BD245+INDEX('Scoring Method'!$B$280:$B$288,MATCH(AP245,'Scoring Method'!$A$280:$A$288,0))*BM245*BB245*BD245+INDEX('Scoring Method'!$B$292:$B$296,MATCH(AQ245,'Scoring Method'!$A$292:$A$296,0))*BD245+INDEX('Scoring Method'!$B$300:$B$305,MATCH(AO245,'Scoring Method'!$A$300:$A$305,0))*BM245*BB245+INDEX('Scoring Method'!$B$309:$B$314,MATCH(AX245,'Scoring Method'!$A$309:$A$314,0))+INDEX('Scoring Method'!$B$337:$B$341,MATCH(X245,'Scoring Method'!$A$337:$A$341,0))+INDEX('Scoring Method'!$B$324:$B$326,MATCH(P245,'Scoring Method'!$A$324:$A$326,0)),1)</f>
        <v/>
      </c>
      <c r="BG245" s="92" t="n"/>
      <c r="BH245" s="61" t="inlineStr">
        <is>
          <t>DTC (HP)</t>
        </is>
      </c>
      <c r="BI245" s="61" t="inlineStr">
        <is>
          <t>Downtown Core</t>
        </is>
      </c>
      <c r="BJ245" s="61" t="inlineStr">
        <is>
          <t>HP</t>
        </is>
      </c>
      <c r="BK245" s="61" t="inlineStr"/>
      <c r="BL245" s="61" t="inlineStr">
        <is>
          <t>Bar permitted</t>
        </is>
      </c>
      <c r="BM245" s="61">
        <f>INDEX('Scoring Method'!$B$358:$B$363,MATCH(BL245,'Scoring Method'!$A$358:$A$363,0))</f>
        <v/>
      </c>
    </row>
    <row r="246" ht="15" customHeight="1" s="62">
      <c r="A246" s="92" t="n">
        <v>245</v>
      </c>
      <c r="B246" s="92" t="inlineStr">
        <is>
          <t>054-24-11-016.00</t>
        </is>
      </c>
      <c r="C246" s="92" t="inlineStr">
        <is>
          <t>115 E MARTIN LUTHER KING JR BLVD</t>
        </is>
      </c>
      <c r="D246" s="92" t="inlineStr">
        <is>
          <t>CHAMP REALTY INVESTMENT CORP</t>
        </is>
      </c>
      <c r="E246" s="92" t="inlineStr">
        <is>
          <t>100 E RIVERCENTER BLVD</t>
        </is>
      </c>
      <c r="F246" s="92" t="inlineStr">
        <is>
          <t>COVINGTON</t>
        </is>
      </c>
      <c r="G246" s="92" t="inlineStr">
        <is>
          <t>KY</t>
        </is>
      </c>
      <c r="H246" s="92" t="inlineStr">
        <is>
          <t>PAVED LOT</t>
        </is>
      </c>
      <c r="I246" s="93" t="n">
        <v>8100</v>
      </c>
      <c r="J246" s="94">
        <f>I246/43560</f>
        <v/>
      </c>
      <c r="K246" s="93" t="n">
        <v>360</v>
      </c>
      <c r="L246" s="95">
        <f>I246/(K246^2)</f>
        <v/>
      </c>
      <c r="M246" s="92" t="inlineStr">
        <is>
          <t>Poor &lt;10k/&gt;60k</t>
        </is>
      </c>
      <c r="N246" s="92" t="inlineStr">
        <is>
          <t>D</t>
        </is>
      </c>
      <c r="O246" s="92" t="inlineStr">
        <is>
          <t>Compact &gt;=.055</t>
        </is>
      </c>
      <c r="P246" s="92" t="inlineStr">
        <is>
          <t>Low</t>
        </is>
      </c>
      <c r="Q246" s="92" t="inlineStr">
        <is>
          <t>Local absentee</t>
        </is>
      </c>
      <c r="R246" s="92" t="inlineStr">
        <is>
          <t>Passive vehicle</t>
        </is>
      </c>
      <c r="S246" s="92" t="n">
        <v>1</v>
      </c>
      <c r="T246" s="96">
        <f>INDEX('Scoring Method'!$B$6:$B$9,MATCH(M246,'Scoring Method'!$A$6:$A$9,0))+INDEX('Scoring Method'!$B$12:$B$16,MATCH(N246,'Scoring Method'!$A$12:$A$16,0))+INDEX('Scoring Method'!$B$19:$B$22,MATCH(O246,'Scoring Method'!$A$19:$A$22,0))+INDEX('Scoring Method'!$B$25:$B$27,MATCH(P246,'Scoring Method'!$A$25:$A$27,0))</f>
        <v/>
      </c>
      <c r="U246" s="96">
        <f>(INDEX('Scoring Method'!$B$30:$B$33,MATCH(Q246,'Scoring Method'!$A$30:$A$33,0))+INDEX('Scoring Method'!$B$36:$B$42,MATCH(R246,'Scoring Method'!$A$36:$A$42,0))+INDEX('Scoring Method'!$B$45:$B$47,MATCH(IF(S246=1,"1",IF(S246=2,"2","3+")),'Scoring Method'!$A$45:$A$47,0)))/90*100</f>
        <v/>
      </c>
      <c r="V246" s="96">
        <f>T246*U246/100</f>
        <v/>
      </c>
      <c r="W246" s="93" t="n">
        <v>7775</v>
      </c>
      <c r="X246" s="92" t="inlineStr">
        <is>
          <t>X (minimal hazard)</t>
        </is>
      </c>
      <c r="Y246" s="93" t="n">
        <v>0</v>
      </c>
      <c r="Z246" s="97" t="n"/>
      <c r="AA246" s="98">
        <f>MAX(0,(Y246-5000)/300)</f>
        <v/>
      </c>
      <c r="AB246" s="92" t="n"/>
      <c r="AC246" s="92" t="n"/>
      <c r="AD246" s="92" t="n"/>
      <c r="AE246" s="92" t="inlineStr">
        <is>
          <t>Oversize 6-12k</t>
        </is>
      </c>
      <c r="AF246" s="96">
        <f>INDEX('Scoring Method'!$B$63:$B$71,MATCH(AE246,'Scoring Method'!$A$63:$A$71,0))+INDEX('Scoring Method'!$B$75:$B$79,MATCH("Insufficient &lt;2k",'Scoring Method'!$A$75:$A$79,0))+INDEX('Scoring Method'!$B$343:$B$347,MATCH(X246,'Scoring Method'!$A$343:$A$347,0))+INDEX('Scoring Method'!$B$25:$B$27,MATCH(P246,'Scoring Method'!$A$25:$A$27,0))</f>
        <v/>
      </c>
      <c r="AG246" s="96">
        <f>AF246*U246/100</f>
        <v/>
      </c>
      <c r="AH246" s="92" t="inlineStr">
        <is>
          <t>LINK-GIS only</t>
        </is>
      </c>
      <c r="AI246" s="99" t="n">
        <v>39.07687</v>
      </c>
      <c r="AJ246" s="99" t="n">
        <v>-84.50725</v>
      </c>
      <c r="AK246" s="94" t="n">
        <v>0.77</v>
      </c>
      <c r="AL246" s="94" t="n">
        <v>0.97</v>
      </c>
      <c r="AM246" s="94" t="n">
        <v>1.72</v>
      </c>
      <c r="AN246" s="94" t="n">
        <v>0.53</v>
      </c>
      <c r="AO246" s="92" t="inlineStr">
        <is>
          <t>Near 0.35-0.75mi</t>
        </is>
      </c>
      <c r="AP246" s="92" t="inlineStr">
        <is>
          <t>Lot / minimal bldg</t>
        </is>
      </c>
      <c r="AQ246" s="92" t="inlineStr">
        <is>
          <t>Insufficient &lt;2k</t>
        </is>
      </c>
      <c r="AR246" s="100" t="n"/>
      <c r="AS246" s="96">
        <f>ROUND(INDEX('Scoring Method'!$B$63:$B$70,MATCH(AE246,'Scoring Method'!$A$63:$A$70,0))*0.625+INDEX('Scoring Method'!$B$105:$B$113,MATCH(AP246,'Scoring Method'!$A$105:$A$113,0))+INDEX('Scoring Method'!$B$74:$B$78,MATCH(AQ246,'Scoring Method'!$A$74:$A$78,0))*0.6667+INDEX('Scoring Method'!$B$96:$B$101,MATCH(AO246,'Scoring Method'!$A$96:$A$101,0))+INDEX('Scoring Method'!$B$343:$B$347,MATCH(X246,'Scoring Method'!$A$343:$A$347,0))*0.3333+INDEX('Scoring Method'!$B$25:$B$27,MATCH(P246,'Scoring Method'!$A$25:$A$27,0))*0.3333,1)</f>
        <v/>
      </c>
      <c r="AT246" s="96">
        <f>AS246*U246/100</f>
        <v/>
      </c>
      <c r="AU246" s="92" t="inlineStr">
        <is>
          <t>Eastside</t>
        </is>
      </c>
      <c r="AV246" s="92" t="n">
        <v>28</v>
      </c>
      <c r="AW246" s="101" t="inlineStr">
        <is>
          <t>ESTIMATED</t>
        </is>
      </c>
      <c r="AX246" s="92" t="inlineStr">
        <is>
          <t>High &lt;35</t>
        </is>
      </c>
      <c r="AY246" s="96">
        <f>ROUND(INDEX('Scoring Method'!$B$132:$B$140,MATCH(AE246,'Scoring Method'!$A$132:$A$140,0))+INDEX('Scoring Method'!$B$144:$B$152,MATCH(AP246,'Scoring Method'!$A$144:$A$152,0))+INDEX('Scoring Method'!$B$156:$B$160,MATCH(AQ246,'Scoring Method'!$A$156:$A$160,0))+INDEX('Scoring Method'!$B$164:$B$169,MATCH(AO246,'Scoring Method'!$A$164:$A$169,0))+INDEX('Scoring Method'!$B$173:$B$178,MATCH(AX246,'Scoring Method'!$A$173:$A$178,0))+INDEX('Scoring Method'!$B$349:$B$353,MATCH(X246,'Scoring Method'!$A$349:$A$353,0))+INDEX('Scoring Method'!$B$188:$B$190,MATCH(P246,'Scoring Method'!$A$188:$A$190,0)),1)</f>
        <v/>
      </c>
      <c r="AZ246" s="96">
        <f>AY246*U246/100</f>
        <v/>
      </c>
      <c r="BA246" s="92" t="inlineStr">
        <is>
          <t>No chain signal</t>
        </is>
      </c>
      <c r="BB246" s="94" t="n">
        <v>1</v>
      </c>
      <c r="BC246" s="103" t="inlineStr">
        <is>
          <t>Extra small 0.15-0.25 AC</t>
        </is>
      </c>
      <c r="BD246" s="94" t="n">
        <v>0.8</v>
      </c>
      <c r="BE246" s="96">
        <f>ROUND(INDEX('Scoring Method'!$B$268:$B$276,MATCH(AE246,'Scoring Method'!$A$268:$A$276,0))+INDEX('Scoring Method'!$B$280:$B$288,MATCH(AP246,'Scoring Method'!$A$280:$A$288,0))+INDEX('Scoring Method'!$B$292:$B$296,MATCH(AQ246,'Scoring Method'!$A$292:$A$296,0))+INDEX('Scoring Method'!$B$300:$B$305,MATCH(AO246,'Scoring Method'!$A$300:$A$305,0))+INDEX('Scoring Method'!$B$309:$B$314,MATCH(AX246,'Scoring Method'!$A$309:$A$314,0))+INDEX('Scoring Method'!$B$337:$B$341,MATCH(X246,'Scoring Method'!$A$337:$A$341,0))+INDEX('Scoring Method'!$B$324:$B$326,MATCH(P246,'Scoring Method'!$A$324:$A$326,0)),1)</f>
        <v/>
      </c>
      <c r="BF246" s="96">
        <f>ROUND(INDEX('Scoring Method'!$B$268:$B$276,MATCH(AE246,'Scoring Method'!$A$268:$A$276,0))*BB246*BD246+INDEX('Scoring Method'!$B$280:$B$288,MATCH(AP246,'Scoring Method'!$A$280:$A$288,0))*BM246*BB246*BD246+INDEX('Scoring Method'!$B$292:$B$296,MATCH(AQ246,'Scoring Method'!$A$292:$A$296,0))*BD246+INDEX('Scoring Method'!$B$300:$B$305,MATCH(AO246,'Scoring Method'!$A$300:$A$305,0))*BM246*BB246+INDEX('Scoring Method'!$B$309:$B$314,MATCH(AX246,'Scoring Method'!$A$309:$A$314,0))+INDEX('Scoring Method'!$B$337:$B$341,MATCH(X246,'Scoring Method'!$A$337:$A$341,0))+INDEX('Scoring Method'!$B$324:$B$326,MATCH(P246,'Scoring Method'!$A$324:$A$326,0)),1)</f>
        <v/>
      </c>
      <c r="BG246" s="92" t="inlineStr">
        <is>
          <t>Fits (~$7,127/mo)</t>
        </is>
      </c>
      <c r="BH246" s="61" t="inlineStr">
        <is>
          <t>SU</t>
        </is>
      </c>
      <c r="BI246" s="61" t="inlineStr">
        <is>
          <t>Semi-Urban Residential</t>
        </is>
      </c>
      <c r="BJ246" s="61" t="inlineStr"/>
      <c r="BK246" s="61" t="inlineStr"/>
      <c r="BL246" s="61" t="inlineStr">
        <is>
          <t>SU corner unverified</t>
        </is>
      </c>
      <c r="BM246" s="61">
        <f>INDEX('Scoring Method'!$B$358:$B$363,MATCH(BL246,'Scoring Method'!$A$358:$A$363,0))</f>
        <v/>
      </c>
    </row>
    <row r="247" ht="15" customHeight="1" s="62">
      <c r="A247" s="92" t="n">
        <v>246</v>
      </c>
      <c r="B247" s="92" t="inlineStr">
        <is>
          <t>055-13-07-001.00</t>
        </is>
      </c>
      <c r="C247" s="92" t="inlineStr">
        <is>
          <t>1300 MADISON AVE</t>
        </is>
      </c>
      <c r="D247" s="92" t="inlineStr">
        <is>
          <t>HAWKSTONE ASSOCIATES INC</t>
        </is>
      </c>
      <c r="E247" s="92" t="inlineStr">
        <is>
          <t>9171 DRY FORK RD</t>
        </is>
      </c>
      <c r="F247" s="92" t="inlineStr">
        <is>
          <t>HARRISON</t>
        </is>
      </c>
      <c r="G247" s="92" t="inlineStr">
        <is>
          <t>OH</t>
        </is>
      </c>
      <c r="H247" s="92" t="inlineStr">
        <is>
          <t>GAS STATION/CONVENIENCE STORE</t>
        </is>
      </c>
      <c r="I247" s="93" t="n">
        <v>36975</v>
      </c>
      <c r="J247" s="94">
        <f>I247/43560</f>
        <v/>
      </c>
      <c r="K247" s="93" t="n">
        <v>769.2</v>
      </c>
      <c r="L247" s="95">
        <f>I247/(K247^2)</f>
        <v/>
      </c>
      <c r="M247" s="92" t="inlineStr">
        <is>
          <t>Near 14-18k/32-45k</t>
        </is>
      </c>
      <c r="N247" s="92" t="inlineStr">
        <is>
          <t>E</t>
        </is>
      </c>
      <c r="O247" s="92" t="inlineStr">
        <is>
          <t>Compact &gt;=.055</t>
        </is>
      </c>
      <c r="P247" s="92" t="inlineStr">
        <is>
          <t>High</t>
        </is>
      </c>
      <c r="Q247" s="92" t="inlineStr">
        <is>
          <t>Out-of-state</t>
        </is>
      </c>
      <c r="R247" s="92" t="inlineStr">
        <is>
          <t>Operating entity</t>
        </is>
      </c>
      <c r="S247" s="92" t="n">
        <v>1</v>
      </c>
      <c r="T247" s="96">
        <f>INDEX('Scoring Method'!$B$6:$B$9,MATCH(M247,'Scoring Method'!$A$6:$A$9,0))+INDEX('Scoring Method'!$B$12:$B$16,MATCH(N247,'Scoring Method'!$A$12:$A$16,0))+INDEX('Scoring Method'!$B$19:$B$22,MATCH(O247,'Scoring Method'!$A$19:$A$22,0))+INDEX('Scoring Method'!$B$25:$B$27,MATCH(P247,'Scoring Method'!$A$25:$A$27,0))</f>
        <v/>
      </c>
      <c r="U247" s="96">
        <f>(INDEX('Scoring Method'!$B$30:$B$33,MATCH(Q247,'Scoring Method'!$A$30:$A$33,0))+INDEX('Scoring Method'!$B$36:$B$42,MATCH(R247,'Scoring Method'!$A$36:$A$42,0))+INDEX('Scoring Method'!$B$45:$B$47,MATCH(IF(S247=1,"1",IF(S247=2,"2","3+")),'Scoring Method'!$A$45:$A$47,0)))/90*100</f>
        <v/>
      </c>
      <c r="V247" s="96">
        <f>T247*U247/100</f>
        <v/>
      </c>
      <c r="W247" s="93" t="n">
        <v>3750</v>
      </c>
      <c r="X247" s="92" t="inlineStr">
        <is>
          <t>X (minimal hazard)</t>
        </is>
      </c>
      <c r="Y247" s="93" t="n">
        <v>27125</v>
      </c>
      <c r="Z247" s="97" t="n"/>
      <c r="AA247" s="98">
        <f>MAX(0,(Y247-5000)/300)</f>
        <v/>
      </c>
      <c r="AB247" s="92" t="n"/>
      <c r="AC247" s="92" t="n"/>
      <c r="AD247" s="92" t="n"/>
      <c r="AE247" s="92" t="inlineStr">
        <is>
          <t>Above 2.5-4k</t>
        </is>
      </c>
      <c r="AF247" s="96">
        <f>INDEX('Scoring Method'!$B$63:$B$71,MATCH(AE247,'Scoring Method'!$A$63:$A$71,0))+INDEX('Scoring Method'!$B$75:$B$79,MATCH("Ample &gt;=15k",'Scoring Method'!$A$75:$A$79,0))+INDEX('Scoring Method'!$B$343:$B$347,MATCH(X247,'Scoring Method'!$A$343:$A$347,0))+INDEX('Scoring Method'!$B$25:$B$27,MATCH(P247,'Scoring Method'!$A$25:$A$27,0))</f>
        <v/>
      </c>
      <c r="AG247" s="96">
        <f>AF247*U247/100</f>
        <v/>
      </c>
      <c r="AH247" s="92" t="inlineStr">
        <is>
          <t>LINK-GIS + LoopNet (2026-08-03)</t>
        </is>
      </c>
      <c r="AI247" s="99" t="n">
        <v>39.0762</v>
      </c>
      <c r="AJ247" s="99" t="n">
        <v>-84.50769</v>
      </c>
      <c r="AK247" s="94" t="n">
        <v>0.79</v>
      </c>
      <c r="AL247" s="94" t="n">
        <v>1.01</v>
      </c>
      <c r="AM247" s="94" t="n">
        <v>1.77</v>
      </c>
      <c r="AN247" s="94" t="n">
        <v>0.57</v>
      </c>
      <c r="AO247" s="92" t="inlineStr">
        <is>
          <t>Near 0.35-0.75mi</t>
        </is>
      </c>
      <c r="AP247" s="92" t="inlineStr">
        <is>
          <t>Built-out kitchen</t>
        </is>
      </c>
      <c r="AQ247" s="92" t="inlineStr">
        <is>
          <t>Ample &gt;=15k</t>
        </is>
      </c>
      <c r="AR247" s="100" t="n"/>
      <c r="AS247" s="96">
        <f>ROUND(INDEX('Scoring Method'!$B$63:$B$70,MATCH(AE247,'Scoring Method'!$A$63:$A$70,0))*0.625+INDEX('Scoring Method'!$B$105:$B$113,MATCH(AP247,'Scoring Method'!$A$105:$A$113,0))+INDEX('Scoring Method'!$B$74:$B$78,MATCH(AQ247,'Scoring Method'!$A$74:$A$78,0))*0.6667+INDEX('Scoring Method'!$B$96:$B$101,MATCH(AO247,'Scoring Method'!$A$96:$A$101,0))+INDEX('Scoring Method'!$B$343:$B$347,MATCH(X247,'Scoring Method'!$A$343:$A$347,0))*0.3333+INDEX('Scoring Method'!$B$25:$B$27,MATCH(P247,'Scoring Method'!$A$25:$A$27,0))*0.3333,1)</f>
        <v/>
      </c>
      <c r="AT247" s="96">
        <f>AS247*U247/100</f>
        <v/>
      </c>
      <c r="AU247" s="92" t="inlineStr">
        <is>
          <t>Eastside</t>
        </is>
      </c>
      <c r="AV247" s="92" t="n">
        <v>28</v>
      </c>
      <c r="AW247" s="101" t="inlineStr">
        <is>
          <t>ESTIMATED</t>
        </is>
      </c>
      <c r="AX247" s="92" t="inlineStr">
        <is>
          <t>High &lt;35</t>
        </is>
      </c>
      <c r="AY247" s="96">
        <f>ROUND(INDEX('Scoring Method'!$B$132:$B$140,MATCH(AE247,'Scoring Method'!$A$132:$A$140,0))+INDEX('Scoring Method'!$B$144:$B$152,MATCH(AP247,'Scoring Method'!$A$144:$A$152,0))+INDEX('Scoring Method'!$B$156:$B$160,MATCH(AQ247,'Scoring Method'!$A$156:$A$160,0))+INDEX('Scoring Method'!$B$164:$B$169,MATCH(AO247,'Scoring Method'!$A$164:$A$169,0))+INDEX('Scoring Method'!$B$173:$B$178,MATCH(AX247,'Scoring Method'!$A$173:$A$178,0))+INDEX('Scoring Method'!$B$349:$B$353,MATCH(X247,'Scoring Method'!$A$349:$A$353,0))+INDEX('Scoring Method'!$B$188:$B$190,MATCH(P247,'Scoring Method'!$A$188:$A$190,0)),1)</f>
        <v/>
      </c>
      <c r="AZ247" s="96">
        <f>AY247*U247/100</f>
        <v/>
      </c>
      <c r="BA247" s="102" t="inlineStr">
        <is>
          <t>Chain format + local owner</t>
        </is>
      </c>
      <c r="BB247" s="94" t="n">
        <v>0.7</v>
      </c>
      <c r="BC247" s="102" t="inlineStr">
        <is>
          <t>Large 0.75-1.25 AC</t>
        </is>
      </c>
      <c r="BD247" s="94" t="n">
        <v>0.9</v>
      </c>
      <c r="BE247" s="96">
        <f>ROUND(INDEX('Scoring Method'!$B$268:$B$276,MATCH(AE247,'Scoring Method'!$A$268:$A$276,0))+INDEX('Scoring Method'!$B$280:$B$288,MATCH(AP247,'Scoring Method'!$A$280:$A$288,0))+INDEX('Scoring Method'!$B$292:$B$296,MATCH(AQ247,'Scoring Method'!$A$292:$A$296,0))+INDEX('Scoring Method'!$B$300:$B$305,MATCH(AO247,'Scoring Method'!$A$300:$A$305,0))+INDEX('Scoring Method'!$B$309:$B$314,MATCH(AX247,'Scoring Method'!$A$309:$A$314,0))+INDEX('Scoring Method'!$B$337:$B$341,MATCH(X247,'Scoring Method'!$A$337:$A$341,0))+INDEX('Scoring Method'!$B$324:$B$326,MATCH(P247,'Scoring Method'!$A$324:$A$326,0)),1)</f>
        <v/>
      </c>
      <c r="BF247" s="96">
        <f>ROUND(INDEX('Scoring Method'!$B$268:$B$276,MATCH(AE247,'Scoring Method'!$A$268:$A$276,0))*BB247*BD247+INDEX('Scoring Method'!$B$280:$B$288,MATCH(AP247,'Scoring Method'!$A$280:$A$288,0))*BM247*BB247*BD247+INDEX('Scoring Method'!$B$292:$B$296,MATCH(AQ247,'Scoring Method'!$A$292:$A$296,0))*BD247+INDEX('Scoring Method'!$B$300:$B$305,MATCH(AO247,'Scoring Method'!$A$300:$A$305,0))*BM247*BB247+INDEX('Scoring Method'!$B$309:$B$314,MATCH(AX247,'Scoring Method'!$A$309:$A$314,0))+INDEX('Scoring Method'!$B$337:$B$341,MATCH(X247,'Scoring Method'!$A$337:$A$341,0))+INDEX('Scoring Method'!$B$324:$B$326,MATCH(P247,'Scoring Method'!$A$324:$A$326,0)),1)</f>
        <v/>
      </c>
      <c r="BG247" s="92" t="inlineStr">
        <is>
          <t>Fits (~$3,438/mo)</t>
        </is>
      </c>
      <c r="BH247" s="61" t="inlineStr">
        <is>
          <t>DTC</t>
        </is>
      </c>
      <c r="BI247" s="61" t="inlineStr">
        <is>
          <t>Downtown Core</t>
        </is>
      </c>
      <c r="BJ247" s="61" t="inlineStr"/>
      <c r="BK247" s="61" t="inlineStr"/>
      <c r="BL247" s="61" t="inlineStr">
        <is>
          <t>Bar permitted</t>
        </is>
      </c>
      <c r="BM247" s="61">
        <f>INDEX('Scoring Method'!$B$358:$B$363,MATCH(BL247,'Scoring Method'!$A$358:$A$363,0))</f>
        <v/>
      </c>
    </row>
    <row r="248" ht="15" customHeight="1" s="62">
      <c r="A248" s="92" t="n">
        <v>247</v>
      </c>
      <c r="B248" s="92" t="inlineStr">
        <is>
          <t>056-13-15-015.00</t>
        </is>
      </c>
      <c r="C248" s="92" t="inlineStr">
        <is>
          <t>3215 DECOURSEY AVE</t>
        </is>
      </c>
      <c r="D248" s="92" t="inlineStr">
        <is>
          <t>ME BLEH LLC</t>
        </is>
      </c>
      <c r="E248" s="92" t="inlineStr">
        <is>
          <t>260 TIMBER LAKE CIR #202</t>
        </is>
      </c>
      <c r="F248" s="92" t="inlineStr">
        <is>
          <t>NAPLES</t>
        </is>
      </c>
      <c r="G248" s="92" t="inlineStr">
        <is>
          <t>FL</t>
        </is>
      </c>
      <c r="H248" s="92" t="inlineStr">
        <is>
          <t>OTHER RETAIL</t>
        </is>
      </c>
      <c r="I248" s="93" t="n">
        <v>11734</v>
      </c>
      <c r="J248" s="94">
        <f>I248/43560</f>
        <v/>
      </c>
      <c r="K248" s="93" t="n">
        <v>595.8</v>
      </c>
      <c r="L248" s="95">
        <f>I248/(K248^2)</f>
        <v/>
      </c>
      <c r="M248" s="92" t="inlineStr">
        <is>
          <t>Marginal 10-14k/45-60k</t>
        </is>
      </c>
      <c r="N248" s="92" t="inlineStr">
        <is>
          <t>C</t>
        </is>
      </c>
      <c r="O248" s="92" t="inlineStr">
        <is>
          <t>Irregular &lt;.035</t>
        </is>
      </c>
      <c r="P248" s="92" t="inlineStr">
        <is>
          <t>Low</t>
        </is>
      </c>
      <c r="Q248" s="92" t="inlineStr">
        <is>
          <t>Out-of-state</t>
        </is>
      </c>
      <c r="R248" s="92" t="inlineStr">
        <is>
          <t>Operating entity</t>
        </is>
      </c>
      <c r="S248" s="92" t="n">
        <v>1</v>
      </c>
      <c r="T248" s="96">
        <f>INDEX('Scoring Method'!$B$6:$B$9,MATCH(M248,'Scoring Method'!$A$6:$A$9,0))+INDEX('Scoring Method'!$B$12:$B$16,MATCH(N248,'Scoring Method'!$A$12:$A$16,0))+INDEX('Scoring Method'!$B$19:$B$22,MATCH(O248,'Scoring Method'!$A$19:$A$22,0))+INDEX('Scoring Method'!$B$25:$B$27,MATCH(P248,'Scoring Method'!$A$25:$A$27,0))</f>
        <v/>
      </c>
      <c r="U248" s="96">
        <f>(INDEX('Scoring Method'!$B$30:$B$33,MATCH(Q248,'Scoring Method'!$A$30:$A$33,0))+INDEX('Scoring Method'!$B$36:$B$42,MATCH(R248,'Scoring Method'!$A$36:$A$42,0))+INDEX('Scoring Method'!$B$45:$B$47,MATCH(IF(S248=1,"1",IF(S248=2,"2","3+")),'Scoring Method'!$A$45:$A$47,0)))/90*100</f>
        <v/>
      </c>
      <c r="V248" s="96">
        <f>T248*U248/100</f>
        <v/>
      </c>
      <c r="W248" s="93" t="n">
        <v>2400</v>
      </c>
      <c r="X248" s="92" t="inlineStr">
        <is>
          <t>X (minimal hazard)</t>
        </is>
      </c>
      <c r="Y248" s="93" t="n">
        <v>7450</v>
      </c>
      <c r="Z248" s="97" t="n"/>
      <c r="AA248" s="98">
        <f>MAX(0,(Y248-5000)/300)</f>
        <v/>
      </c>
      <c r="AB248" s="92" t="n"/>
      <c r="AC248" s="92" t="n"/>
      <c r="AD248" s="92" t="n"/>
      <c r="AE248" s="92" t="inlineStr">
        <is>
          <t>Target 1.5-2.5k</t>
        </is>
      </c>
      <c r="AF248" s="96">
        <f>INDEX('Scoring Method'!$B$63:$B$71,MATCH(AE248,'Scoring Method'!$A$63:$A$71,0))+INDEX('Scoring Method'!$B$75:$B$79,MATCH("Adequate 5-8k",'Scoring Method'!$A$75:$A$79,0))+INDEX('Scoring Method'!$B$343:$B$347,MATCH(X248,'Scoring Method'!$A$343:$A$347,0))+INDEX('Scoring Method'!$B$25:$B$27,MATCH(P248,'Scoring Method'!$A$25:$A$27,0))</f>
        <v/>
      </c>
      <c r="AG248" s="96">
        <f>AF248*U248/100</f>
        <v/>
      </c>
      <c r="AH248" s="92" t="inlineStr">
        <is>
          <t>LINK-GIS + LoopNet (2026-08-02)</t>
        </is>
      </c>
      <c r="AI248" s="99" t="n">
        <v>39.0515</v>
      </c>
      <c r="AJ248" s="99" t="n">
        <v>-84.50346</v>
      </c>
      <c r="AK248" s="94" t="n">
        <v>2.4</v>
      </c>
      <c r="AL248" s="94" t="n">
        <v>2.73</v>
      </c>
      <c r="AM248" s="94" t="n">
        <v>3.49</v>
      </c>
      <c r="AN248" s="94" t="n">
        <v>2.28</v>
      </c>
      <c r="AO248" s="92" t="inlineStr">
        <is>
          <t>Distant 2-3mi</t>
        </is>
      </c>
      <c r="AP248" s="92" t="inlineStr">
        <is>
          <t>Retail shell</t>
        </is>
      </c>
      <c r="AQ248" s="92" t="inlineStr">
        <is>
          <t>Adequate 5-8k</t>
        </is>
      </c>
      <c r="AR248" s="100" t="n"/>
      <c r="AS248" s="96">
        <f>ROUND(INDEX('Scoring Method'!$B$63:$B$70,MATCH(AE248,'Scoring Method'!$A$63:$A$70,0))*0.625+INDEX('Scoring Method'!$B$105:$B$113,MATCH(AP248,'Scoring Method'!$A$105:$A$113,0))+INDEX('Scoring Method'!$B$74:$B$78,MATCH(AQ248,'Scoring Method'!$A$74:$A$78,0))*0.6667+INDEX('Scoring Method'!$B$96:$B$101,MATCH(AO248,'Scoring Method'!$A$96:$A$101,0))+INDEX('Scoring Method'!$B$343:$B$347,MATCH(X248,'Scoring Method'!$A$343:$A$347,0))*0.3333+INDEX('Scoring Method'!$B$25:$B$27,MATCH(P248,'Scoring Method'!$A$25:$A$27,0))*0.3333,1)</f>
        <v/>
      </c>
      <c r="AT248" s="96">
        <f>AS248*U248/100</f>
        <v/>
      </c>
      <c r="AU248" s="92" t="inlineStr">
        <is>
          <t>Latonia</t>
        </is>
      </c>
      <c r="AV248" s="92" t="n">
        <v>78</v>
      </c>
      <c r="AW248" s="92" t="inlineStr">
        <is>
          <t>Sourced</t>
        </is>
      </c>
      <c r="AX248" s="92" t="inlineStr">
        <is>
          <t>Safe 70-79</t>
        </is>
      </c>
      <c r="AY248" s="96">
        <f>ROUND(INDEX('Scoring Method'!$B$132:$B$140,MATCH(AE248,'Scoring Method'!$A$132:$A$140,0))+INDEX('Scoring Method'!$B$144:$B$152,MATCH(AP248,'Scoring Method'!$A$144:$A$152,0))+INDEX('Scoring Method'!$B$156:$B$160,MATCH(AQ248,'Scoring Method'!$A$156:$A$160,0))+INDEX('Scoring Method'!$B$164:$B$169,MATCH(AO248,'Scoring Method'!$A$164:$A$169,0))+INDEX('Scoring Method'!$B$173:$B$178,MATCH(AX248,'Scoring Method'!$A$173:$A$178,0))+INDEX('Scoring Method'!$B$349:$B$353,MATCH(X248,'Scoring Method'!$A$349:$A$353,0))+INDEX('Scoring Method'!$B$188:$B$190,MATCH(P248,'Scoring Method'!$A$188:$A$190,0)),1)</f>
        <v/>
      </c>
      <c r="AZ248" s="96">
        <f>AY248*U248/100</f>
        <v/>
      </c>
      <c r="BA248" s="92" t="inlineStr">
        <is>
          <t>No chain signal</t>
        </is>
      </c>
      <c r="BB248" s="94" t="n">
        <v>1</v>
      </c>
      <c r="BC248" s="102" t="inlineStr">
        <is>
          <t>Small 0.25-0.35 AC</t>
        </is>
      </c>
      <c r="BD248" s="94" t="n">
        <v>0.9</v>
      </c>
      <c r="BE248" s="96">
        <f>ROUND(INDEX('Scoring Method'!$B$268:$B$276,MATCH(AE248,'Scoring Method'!$A$268:$A$276,0))+INDEX('Scoring Method'!$B$280:$B$288,MATCH(AP248,'Scoring Method'!$A$280:$A$288,0))+INDEX('Scoring Method'!$B$292:$B$296,MATCH(AQ248,'Scoring Method'!$A$292:$A$296,0))+INDEX('Scoring Method'!$B$300:$B$305,MATCH(AO248,'Scoring Method'!$A$300:$A$305,0))+INDEX('Scoring Method'!$B$309:$B$314,MATCH(AX248,'Scoring Method'!$A$309:$A$314,0))+INDEX('Scoring Method'!$B$337:$B$341,MATCH(X248,'Scoring Method'!$A$337:$A$341,0))+INDEX('Scoring Method'!$B$324:$B$326,MATCH(P248,'Scoring Method'!$A$324:$A$326,0)),1)</f>
        <v/>
      </c>
      <c r="BF248" s="96">
        <f>ROUND(INDEX('Scoring Method'!$B$268:$B$276,MATCH(AE248,'Scoring Method'!$A$268:$A$276,0))*BB248*BD248+INDEX('Scoring Method'!$B$280:$B$288,MATCH(AP248,'Scoring Method'!$A$280:$A$288,0))*BM248*BB248*BD248+INDEX('Scoring Method'!$B$292:$B$296,MATCH(AQ248,'Scoring Method'!$A$292:$A$296,0))*BD248+INDEX('Scoring Method'!$B$300:$B$305,MATCH(AO248,'Scoring Method'!$A$300:$A$305,0))*BM248*BB248+INDEX('Scoring Method'!$B$309:$B$314,MATCH(AX248,'Scoring Method'!$A$309:$A$314,0))+INDEX('Scoring Method'!$B$337:$B$341,MATCH(X248,'Scoring Method'!$A$337:$A$341,0))+INDEX('Scoring Method'!$B$324:$B$326,MATCH(P248,'Scoring Method'!$A$324:$A$326,0)),1)</f>
        <v/>
      </c>
      <c r="BG248" s="92" t="inlineStr">
        <is>
          <t>Fits (~$2,200/mo)</t>
        </is>
      </c>
      <c r="BH248" s="61" t="inlineStr">
        <is>
          <t>TUMU</t>
        </is>
      </c>
      <c r="BI248" s="61" t="inlineStr">
        <is>
          <t>Traditional Urban Mixed Use</t>
        </is>
      </c>
      <c r="BJ248" s="61" t="inlineStr"/>
      <c r="BK248" s="61" t="inlineStr"/>
      <c r="BL248" s="61" t="inlineStr">
        <is>
          <t>Bar permitted</t>
        </is>
      </c>
      <c r="BM248" s="61">
        <f>INDEX('Scoring Method'!$B$358:$B$363,MATCH(BL248,'Scoring Method'!$A$358:$A$363,0))</f>
        <v/>
      </c>
    </row>
    <row r="249" ht="15" customHeight="1" s="62">
      <c r="A249" s="92" t="n">
        <v>248</v>
      </c>
      <c r="B249" s="92" t="inlineStr">
        <is>
          <t>055-24-06-028.00</t>
        </is>
      </c>
      <c r="C249" s="92" t="inlineStr">
        <is>
          <t>2754 MADISON AVE</t>
        </is>
      </c>
      <c r="D249" s="92" t="inlineStr">
        <is>
          <t>WISEMAN RENTAL PROPERTIES LLC</t>
        </is>
      </c>
      <c r="E249" s="92" t="inlineStr">
        <is>
          <t>4 ELIZABETH LN</t>
        </is>
      </c>
      <c r="F249" s="92" t="inlineStr">
        <is>
          <t>MELBOURNE</t>
        </is>
      </c>
      <c r="G249" s="92" t="inlineStr">
        <is>
          <t>KY</t>
        </is>
      </c>
      <c r="H249" s="92" t="inlineStr">
        <is>
          <t>OFFICE BLDG 1 OR 2 STORY</t>
        </is>
      </c>
      <c r="I249" s="93" t="n">
        <v>10736</v>
      </c>
      <c r="J249" s="94">
        <f>I249/43560</f>
        <v/>
      </c>
      <c r="K249" s="93" t="n">
        <v>533</v>
      </c>
      <c r="L249" s="95">
        <f>I249/(K249^2)</f>
        <v/>
      </c>
      <c r="M249" s="92" t="inlineStr">
        <is>
          <t>Marginal 10-14k/45-60k</t>
        </is>
      </c>
      <c r="N249" s="92" t="inlineStr">
        <is>
          <t>E</t>
        </is>
      </c>
      <c r="O249" s="92" t="inlineStr">
        <is>
          <t>Elongated .035-.045</t>
        </is>
      </c>
      <c r="P249" s="92" t="inlineStr">
        <is>
          <t>Low</t>
        </is>
      </c>
      <c r="Q249" s="92" t="inlineStr">
        <is>
          <t>Out-of-city KY</t>
        </is>
      </c>
      <c r="R249" s="92" t="inlineStr">
        <is>
          <t>Passive vehicle</t>
        </is>
      </c>
      <c r="S249" s="92" t="n">
        <v>1</v>
      </c>
      <c r="T249" s="96">
        <f>INDEX('Scoring Method'!$B$6:$B$9,MATCH(M249,'Scoring Method'!$A$6:$A$9,0))+INDEX('Scoring Method'!$B$12:$B$16,MATCH(N249,'Scoring Method'!$A$12:$A$16,0))+INDEX('Scoring Method'!$B$19:$B$22,MATCH(O249,'Scoring Method'!$A$19:$A$22,0))+INDEX('Scoring Method'!$B$25:$B$27,MATCH(P249,'Scoring Method'!$A$25:$A$27,0))</f>
        <v/>
      </c>
      <c r="U249" s="96">
        <f>(INDEX('Scoring Method'!$B$30:$B$33,MATCH(Q249,'Scoring Method'!$A$30:$A$33,0))+INDEX('Scoring Method'!$B$36:$B$42,MATCH(R249,'Scoring Method'!$A$36:$A$42,0))+INDEX('Scoring Method'!$B$45:$B$47,MATCH(IF(S249=1,"1",IF(S249=2,"2","3+")),'Scoring Method'!$A$45:$A$47,0)))/90*100</f>
        <v/>
      </c>
      <c r="V249" s="96">
        <f>T249*U249/100</f>
        <v/>
      </c>
      <c r="W249" s="93" t="n">
        <v>3303</v>
      </c>
      <c r="X249" s="92" t="inlineStr">
        <is>
          <t>X (minimal hazard)</t>
        </is>
      </c>
      <c r="Y249" s="93" t="n">
        <v>6950</v>
      </c>
      <c r="Z249" s="97" t="n"/>
      <c r="AA249" s="98">
        <f>MAX(0,(Y249-5000)/300)</f>
        <v/>
      </c>
      <c r="AB249" s="92" t="n"/>
      <c r="AC249" s="92" t="n"/>
      <c r="AD249" s="92" t="n"/>
      <c r="AE249" s="92" t="inlineStr">
        <is>
          <t>Above 2.5-4k</t>
        </is>
      </c>
      <c r="AF249" s="96">
        <f>INDEX('Scoring Method'!$B$63:$B$71,MATCH(AE249,'Scoring Method'!$A$63:$A$71,0))+INDEX('Scoring Method'!$B$75:$B$79,MATCH("Adequate 5-8k",'Scoring Method'!$A$75:$A$79,0))+INDEX('Scoring Method'!$B$343:$B$347,MATCH(X249,'Scoring Method'!$A$343:$A$347,0))+INDEX('Scoring Method'!$B$25:$B$27,MATCH(P249,'Scoring Method'!$A$25:$A$27,0))</f>
        <v/>
      </c>
      <c r="AG249" s="96">
        <f>AF249*U249/100</f>
        <v/>
      </c>
      <c r="AH249" s="92" t="inlineStr">
        <is>
          <t>LINK-GIS + LoopNet (2026-08-03)</t>
        </is>
      </c>
      <c r="AI249" s="99" t="n">
        <v>39.0568</v>
      </c>
      <c r="AJ249" s="99" t="n">
        <v>-84.50315999999999</v>
      </c>
      <c r="AK249" s="94" t="n">
        <v>2.06</v>
      </c>
      <c r="AL249" s="94" t="n">
        <v>2.37</v>
      </c>
      <c r="AM249" s="94" t="n">
        <v>3.13</v>
      </c>
      <c r="AN249" s="94" t="n">
        <v>1.92</v>
      </c>
      <c r="AO249" s="92" t="inlineStr">
        <is>
          <t>Outer 1.25-2mi</t>
        </is>
      </c>
      <c r="AP249" s="92" t="inlineStr">
        <is>
          <t>Office/institutional</t>
        </is>
      </c>
      <c r="AQ249" s="92" t="inlineStr">
        <is>
          <t>Adequate 5-8k</t>
        </is>
      </c>
      <c r="AR249" s="100" t="n"/>
      <c r="AS249" s="96">
        <f>ROUND(INDEX('Scoring Method'!$B$63:$B$70,MATCH(AE249,'Scoring Method'!$A$63:$A$70,0))*0.625+INDEX('Scoring Method'!$B$105:$B$113,MATCH(AP249,'Scoring Method'!$A$105:$A$113,0))+INDEX('Scoring Method'!$B$74:$B$78,MATCH(AQ249,'Scoring Method'!$A$74:$A$78,0))*0.6667+INDEX('Scoring Method'!$B$96:$B$101,MATCH(AO249,'Scoring Method'!$A$96:$A$101,0))+INDEX('Scoring Method'!$B$343:$B$347,MATCH(X249,'Scoring Method'!$A$343:$A$347,0))*0.3333+INDEX('Scoring Method'!$B$25:$B$27,MATCH(P249,'Scoring Method'!$A$25:$A$27,0))*0.3333,1)</f>
        <v/>
      </c>
      <c r="AT249" s="96">
        <f>AS249*U249/100</f>
        <v/>
      </c>
      <c r="AU249" s="92" t="inlineStr">
        <is>
          <t>Latonia</t>
        </is>
      </c>
      <c r="AV249" s="92" t="n">
        <v>78</v>
      </c>
      <c r="AW249" s="92" t="inlineStr">
        <is>
          <t>Sourced</t>
        </is>
      </c>
      <c r="AX249" s="92" t="inlineStr">
        <is>
          <t>Safe 70-79</t>
        </is>
      </c>
      <c r="AY249" s="96">
        <f>ROUND(INDEX('Scoring Method'!$B$132:$B$140,MATCH(AE249,'Scoring Method'!$A$132:$A$140,0))+INDEX('Scoring Method'!$B$144:$B$152,MATCH(AP249,'Scoring Method'!$A$144:$A$152,0))+INDEX('Scoring Method'!$B$156:$B$160,MATCH(AQ249,'Scoring Method'!$A$156:$A$160,0))+INDEX('Scoring Method'!$B$164:$B$169,MATCH(AO249,'Scoring Method'!$A$164:$A$169,0))+INDEX('Scoring Method'!$B$173:$B$178,MATCH(AX249,'Scoring Method'!$A$173:$A$178,0))+INDEX('Scoring Method'!$B$349:$B$353,MATCH(X249,'Scoring Method'!$A$349:$A$353,0))+INDEX('Scoring Method'!$B$188:$B$190,MATCH(P249,'Scoring Method'!$A$188:$A$190,0)),1)</f>
        <v/>
      </c>
      <c r="AZ249" s="96">
        <f>AY249*U249/100</f>
        <v/>
      </c>
      <c r="BA249" s="92" t="inlineStr">
        <is>
          <t>No chain signal</t>
        </is>
      </c>
      <c r="BB249" s="94" t="n">
        <v>1</v>
      </c>
      <c r="BC249" s="103" t="inlineStr">
        <is>
          <t>Extra small 0.15-0.25 AC</t>
        </is>
      </c>
      <c r="BD249" s="94" t="n">
        <v>0.8</v>
      </c>
      <c r="BE249" s="96">
        <f>ROUND(INDEX('Scoring Method'!$B$268:$B$276,MATCH(AE249,'Scoring Method'!$A$268:$A$276,0))+INDEX('Scoring Method'!$B$280:$B$288,MATCH(AP249,'Scoring Method'!$A$280:$A$288,0))+INDEX('Scoring Method'!$B$292:$B$296,MATCH(AQ249,'Scoring Method'!$A$292:$A$296,0))+INDEX('Scoring Method'!$B$300:$B$305,MATCH(AO249,'Scoring Method'!$A$300:$A$305,0))+INDEX('Scoring Method'!$B$309:$B$314,MATCH(AX249,'Scoring Method'!$A$309:$A$314,0))+INDEX('Scoring Method'!$B$337:$B$341,MATCH(X249,'Scoring Method'!$A$337:$A$341,0))+INDEX('Scoring Method'!$B$324:$B$326,MATCH(P249,'Scoring Method'!$A$324:$A$326,0)),1)</f>
        <v/>
      </c>
      <c r="BF249" s="96">
        <f>ROUND(INDEX('Scoring Method'!$B$268:$B$276,MATCH(AE249,'Scoring Method'!$A$268:$A$276,0))*BB249*BD249+INDEX('Scoring Method'!$B$280:$B$288,MATCH(AP249,'Scoring Method'!$A$280:$A$288,0))*BM249*BB249*BD249+INDEX('Scoring Method'!$B$292:$B$296,MATCH(AQ249,'Scoring Method'!$A$292:$A$296,0))*BD249+INDEX('Scoring Method'!$B$300:$B$305,MATCH(AO249,'Scoring Method'!$A$300:$A$305,0))*BM249*BB249+INDEX('Scoring Method'!$B$309:$B$314,MATCH(AX249,'Scoring Method'!$A$309:$A$314,0))+INDEX('Scoring Method'!$B$337:$B$341,MATCH(X249,'Scoring Method'!$A$337:$A$341,0))+INDEX('Scoring Method'!$B$324:$B$326,MATCH(P249,'Scoring Method'!$A$324:$A$326,0)),1)</f>
        <v/>
      </c>
      <c r="BG249" s="92" t="inlineStr">
        <is>
          <t>Fits (~$3,028/mo)</t>
        </is>
      </c>
      <c r="BH249" s="61" t="inlineStr">
        <is>
          <t>SU</t>
        </is>
      </c>
      <c r="BI249" s="61" t="inlineStr">
        <is>
          <t>Semi-Urban Residential</t>
        </is>
      </c>
      <c r="BJ249" s="61" t="inlineStr"/>
      <c r="BK249" s="61" t="inlineStr"/>
      <c r="BL249" s="61" t="inlineStr">
        <is>
          <t>SU corner unverified</t>
        </is>
      </c>
      <c r="BM249" s="61">
        <f>INDEX('Scoring Method'!$B$358:$B$363,MATCH(BL249,'Scoring Method'!$A$358:$A$363,0))</f>
        <v/>
      </c>
    </row>
    <row r="250" ht="15" customHeight="1" s="62">
      <c r="A250" s="92" t="n">
        <v>249</v>
      </c>
      <c r="B250" s="92" t="inlineStr">
        <is>
          <t>055-13-10-002.00</t>
        </is>
      </c>
      <c r="C250" s="92" t="inlineStr">
        <is>
          <t>1616 MADISON AVE</t>
        </is>
      </c>
      <c r="D250" s="92" t="inlineStr">
        <is>
          <t>COVINGTON PLAZA HOLDING LLC</t>
        </is>
      </c>
      <c r="E250" s="92" t="inlineStr">
        <is>
          <t>855 MAN O WAR BLVD</t>
        </is>
      </c>
      <c r="F250" s="92" t="inlineStr">
        <is>
          <t>UNION</t>
        </is>
      </c>
      <c r="G250" s="92" t="inlineStr">
        <is>
          <t>KY</t>
        </is>
      </c>
      <c r="H250" s="92" t="inlineStr">
        <is>
          <t>SUPERMARKET (FOOD)</t>
        </is>
      </c>
      <c r="I250" s="93" t="n">
        <v>87760</v>
      </c>
      <c r="J250" s="94">
        <f>I250/43560</f>
        <v/>
      </c>
      <c r="K250" s="93" t="n">
        <v>1436</v>
      </c>
      <c r="L250" s="95">
        <f>I250/(K250^2)</f>
        <v/>
      </c>
      <c r="M250" s="92" t="inlineStr">
        <is>
          <t>Poor &lt;10k/&gt;60k</t>
        </is>
      </c>
      <c r="N250" s="92" t="inlineStr">
        <is>
          <t>C</t>
        </is>
      </c>
      <c r="O250" s="92" t="inlineStr">
        <is>
          <t>Elongated .035-.045</t>
        </is>
      </c>
      <c r="P250" s="92" t="inlineStr">
        <is>
          <t>Low</t>
        </is>
      </c>
      <c r="Q250" s="92" t="inlineStr">
        <is>
          <t>Out-of-city KY</t>
        </is>
      </c>
      <c r="R250" s="92" t="inlineStr">
        <is>
          <t>Operating entity</t>
        </is>
      </c>
      <c r="S250" s="92" t="n">
        <v>2</v>
      </c>
      <c r="T250" s="96">
        <f>INDEX('Scoring Method'!$B$6:$B$9,MATCH(M250,'Scoring Method'!$A$6:$A$9,0))+INDEX('Scoring Method'!$B$12:$B$16,MATCH(N250,'Scoring Method'!$A$12:$A$16,0))+INDEX('Scoring Method'!$B$19:$B$22,MATCH(O250,'Scoring Method'!$A$19:$A$22,0))+INDEX('Scoring Method'!$B$25:$B$27,MATCH(P250,'Scoring Method'!$A$25:$A$27,0))</f>
        <v/>
      </c>
      <c r="U250" s="96">
        <f>(INDEX('Scoring Method'!$B$30:$B$33,MATCH(Q250,'Scoring Method'!$A$30:$A$33,0))+INDEX('Scoring Method'!$B$36:$B$42,MATCH(R250,'Scoring Method'!$A$36:$A$42,0))+INDEX('Scoring Method'!$B$45:$B$47,MATCH(IF(S250=1,"1",IF(S250=2,"2","3+")),'Scoring Method'!$A$45:$A$47,0)))/90*100</f>
        <v/>
      </c>
      <c r="V250" s="96">
        <f>T250*U250/100</f>
        <v/>
      </c>
      <c r="W250" s="93" t="n">
        <v>27116</v>
      </c>
      <c r="X250" s="92" t="inlineStr">
        <is>
          <t>X (minimal hazard)</t>
        </is>
      </c>
      <c r="Y250" s="93" t="n">
        <v>51200</v>
      </c>
      <c r="Z250" s="97">
        <f>W250/I250</f>
        <v/>
      </c>
      <c r="AA250" s="98">
        <f>MAX(0,(Y250-5000)/300)</f>
        <v/>
      </c>
      <c r="AB250" s="92" t="n"/>
      <c r="AC250" s="92" t="n">
        <v>2.01</v>
      </c>
      <c r="AD250" s="92" t="inlineStr">
        <is>
          <t>ok</t>
        </is>
      </c>
      <c r="AE250" s="92" t="inlineStr">
        <is>
          <t>Far oversize &gt;12k</t>
        </is>
      </c>
      <c r="AF250" s="96">
        <f>INDEX('Scoring Method'!$B$63:$B$71,MATCH(AE250,'Scoring Method'!$A$63:$A$71,0))+INDEX('Scoring Method'!$B$75:$B$79,MATCH("Ample &gt;=15k",'Scoring Method'!$A$75:$A$79,0))+INDEX('Scoring Method'!$B$343:$B$347,MATCH(X250,'Scoring Method'!$A$343:$A$347,0))+INDEX('Scoring Method'!$B$25:$B$27,MATCH(P250,'Scoring Method'!$A$25:$A$27,0))</f>
        <v/>
      </c>
      <c r="AG250" s="96">
        <f>AF250*U250/100</f>
        <v/>
      </c>
      <c r="AH250" s="92" t="inlineStr">
        <is>
          <t>LINK-GIS + LoopNet</t>
        </is>
      </c>
      <c r="AI250" s="99" t="n">
        <v>39.07137</v>
      </c>
      <c r="AJ250" s="99" t="n">
        <v>-84.50624000000001</v>
      </c>
      <c r="AK250" s="94" t="n">
        <v>1.09</v>
      </c>
      <c r="AL250" s="94" t="n">
        <v>1.35</v>
      </c>
      <c r="AM250" s="94" t="n">
        <v>2.11</v>
      </c>
      <c r="AN250" s="94" t="n">
        <v>0.91</v>
      </c>
      <c r="AO250" s="92" t="inlineStr">
        <is>
          <t>Fringe 0.75-1.25mi</t>
        </is>
      </c>
      <c r="AP250" s="92" t="inlineStr">
        <is>
          <t>Retail shell</t>
        </is>
      </c>
      <c r="AQ250" s="92" t="inlineStr">
        <is>
          <t>Ample &gt;=15k</t>
        </is>
      </c>
      <c r="AR250" s="100" t="n"/>
      <c r="AS250" s="96">
        <f>ROUND(INDEX('Scoring Method'!$B$63:$B$70,MATCH(AE250,'Scoring Method'!$A$63:$A$70,0))*0.625+INDEX('Scoring Method'!$B$105:$B$113,MATCH(AP250,'Scoring Method'!$A$105:$A$113,0))+INDEX('Scoring Method'!$B$74:$B$78,MATCH(AQ250,'Scoring Method'!$A$74:$A$78,0))*0.6667+INDEX('Scoring Method'!$B$96:$B$101,MATCH(AO250,'Scoring Method'!$A$96:$A$101,0))+INDEX('Scoring Method'!$B$343:$B$347,MATCH(X250,'Scoring Method'!$A$343:$A$347,0))*0.3333+INDEX('Scoring Method'!$B$25:$B$27,MATCH(P250,'Scoring Method'!$A$25:$A$27,0))*0.3333,1)</f>
        <v/>
      </c>
      <c r="AT250" s="96">
        <f>AS250*U250/100</f>
        <v/>
      </c>
      <c r="AU250" s="92" t="inlineStr">
        <is>
          <t>Eastside</t>
        </is>
      </c>
      <c r="AV250" s="92" t="n">
        <v>28</v>
      </c>
      <c r="AW250" s="101" t="inlineStr">
        <is>
          <t>ESTIMATED</t>
        </is>
      </c>
      <c r="AX250" s="92" t="inlineStr">
        <is>
          <t>High &lt;35</t>
        </is>
      </c>
      <c r="AY250" s="96">
        <f>ROUND(INDEX('Scoring Method'!$B$132:$B$140,MATCH(AE250,'Scoring Method'!$A$132:$A$140,0))+INDEX('Scoring Method'!$B$144:$B$152,MATCH(AP250,'Scoring Method'!$A$144:$A$152,0))+INDEX('Scoring Method'!$B$156:$B$160,MATCH(AQ250,'Scoring Method'!$A$156:$A$160,0))+INDEX('Scoring Method'!$B$164:$B$169,MATCH(AO250,'Scoring Method'!$A$164:$A$169,0))+INDEX('Scoring Method'!$B$173:$B$178,MATCH(AX250,'Scoring Method'!$A$173:$A$178,0))+INDEX('Scoring Method'!$B$349:$B$353,MATCH(X250,'Scoring Method'!$A$349:$A$353,0))+INDEX('Scoring Method'!$B$188:$B$190,MATCH(P250,'Scoring Method'!$A$188:$A$190,0)),1)</f>
        <v/>
      </c>
      <c r="AZ250" s="96">
        <f>AY250*U250/100</f>
        <v/>
      </c>
      <c r="BA250" s="102" t="inlineStr">
        <is>
          <t>Chain format + local owner</t>
        </is>
      </c>
      <c r="BB250" s="94" t="n">
        <v>0.7</v>
      </c>
      <c r="BC250" s="103" t="inlineStr">
        <is>
          <t>Oversized &gt;1.25 AC</t>
        </is>
      </c>
      <c r="BD250" s="94" t="n">
        <v>0.65</v>
      </c>
      <c r="BE250" s="96">
        <f>ROUND(INDEX('Scoring Method'!$B$268:$B$276,MATCH(AE250,'Scoring Method'!$A$268:$A$276,0))+INDEX('Scoring Method'!$B$280:$B$288,MATCH(AP250,'Scoring Method'!$A$280:$A$288,0))+INDEX('Scoring Method'!$B$292:$B$296,MATCH(AQ250,'Scoring Method'!$A$292:$A$296,0))+INDEX('Scoring Method'!$B$300:$B$305,MATCH(AO250,'Scoring Method'!$A$300:$A$305,0))+INDEX('Scoring Method'!$B$309:$B$314,MATCH(AX250,'Scoring Method'!$A$309:$A$314,0))+INDEX('Scoring Method'!$B$337:$B$341,MATCH(X250,'Scoring Method'!$A$337:$A$341,0))+INDEX('Scoring Method'!$B$324:$B$326,MATCH(P250,'Scoring Method'!$A$324:$A$326,0)),1)</f>
        <v/>
      </c>
      <c r="BF250" s="96">
        <f>ROUND(INDEX('Scoring Method'!$B$268:$B$276,MATCH(AE250,'Scoring Method'!$A$268:$A$276,0))*BB250*BD250+INDEX('Scoring Method'!$B$280:$B$288,MATCH(AP250,'Scoring Method'!$A$280:$A$288,0))*BM250*BB250*BD250+INDEX('Scoring Method'!$B$292:$B$296,MATCH(AQ250,'Scoring Method'!$A$292:$A$296,0))*BD250+INDEX('Scoring Method'!$B$300:$B$305,MATCH(AO250,'Scoring Method'!$A$300:$A$305,0))*BM250*BB250+INDEX('Scoring Method'!$B$309:$B$314,MATCH(AX250,'Scoring Method'!$A$309:$A$314,0))+INDEX('Scoring Method'!$B$337:$B$341,MATCH(X250,'Scoring Method'!$A$337:$A$341,0))+INDEX('Scoring Method'!$B$324:$B$326,MATCH(P250,'Scoring Method'!$A$324:$A$326,0)),1)</f>
        <v/>
      </c>
      <c r="BG250" s="102" t="inlineStr">
        <is>
          <t>Over (~$24,856/mo)</t>
        </is>
      </c>
      <c r="BH250" s="61" t="inlineStr">
        <is>
          <t>AUC</t>
        </is>
      </c>
      <c r="BI250" s="61" t="inlineStr">
        <is>
          <t>Auto-Urban Commercial</t>
        </is>
      </c>
      <c r="BJ250" s="61" t="inlineStr"/>
      <c r="BK250" s="61" t="inlineStr"/>
      <c r="BL250" s="61" t="inlineStr">
        <is>
          <t>Bar permitted</t>
        </is>
      </c>
      <c r="BM250" s="61">
        <f>INDEX('Scoring Method'!$B$358:$B$363,MATCH(BL250,'Scoring Method'!$A$358:$A$363,0))</f>
        <v/>
      </c>
    </row>
    <row r="251" ht="15" customHeight="1" s="62">
      <c r="A251" s="92" t="n">
        <v>250</v>
      </c>
      <c r="B251" s="92" t="inlineStr">
        <is>
          <t>056-14-12-016.00</t>
        </is>
      </c>
      <c r="C251" s="92" t="inlineStr">
        <is>
          <t>3822 WINSTON AVE</t>
        </is>
      </c>
      <c r="D251" s="92" t="inlineStr">
        <is>
          <t>RAWALSONS INVESTMENTS LLC</t>
        </is>
      </c>
      <c r="E251" s="92" t="inlineStr">
        <is>
          <t>3822-26 WINSTON AVE</t>
        </is>
      </c>
      <c r="F251" s="92" t="inlineStr">
        <is>
          <t>COVINGTON</t>
        </is>
      </c>
      <c r="G251" s="92" t="inlineStr">
        <is>
          <t>KY</t>
        </is>
      </c>
      <c r="H251" s="92" t="inlineStr">
        <is>
          <t>OTHER RETAIL</t>
        </is>
      </c>
      <c r="I251" s="93" t="n">
        <v>12804</v>
      </c>
      <c r="J251" s="94">
        <f>I251/43560</f>
        <v/>
      </c>
      <c r="K251" s="93" t="n">
        <v>459.6</v>
      </c>
      <c r="L251" s="95">
        <f>I251/(K251^2)</f>
        <v/>
      </c>
      <c r="M251" s="92" t="inlineStr">
        <is>
          <t>Marginal 10-14k/45-60k</t>
        </is>
      </c>
      <c r="N251" s="92" t="inlineStr">
        <is>
          <t>C</t>
        </is>
      </c>
      <c r="O251" s="92" t="inlineStr">
        <is>
          <t>Compact &gt;=.055</t>
        </is>
      </c>
      <c r="P251" s="92" t="inlineStr">
        <is>
          <t>Low</t>
        </is>
      </c>
      <c r="Q251" s="92" t="inlineStr">
        <is>
          <t>Owner-occupied</t>
        </is>
      </c>
      <c r="R251" s="92" t="inlineStr">
        <is>
          <t>Passive vehicle</t>
        </is>
      </c>
      <c r="S251" s="92" t="n">
        <v>1</v>
      </c>
      <c r="T251" s="96">
        <f>INDEX('Scoring Method'!$B$6:$B$9,MATCH(M251,'Scoring Method'!$A$6:$A$9,0))+INDEX('Scoring Method'!$B$12:$B$16,MATCH(N251,'Scoring Method'!$A$12:$A$16,0))+INDEX('Scoring Method'!$B$19:$B$22,MATCH(O251,'Scoring Method'!$A$19:$A$22,0))+INDEX('Scoring Method'!$B$25:$B$27,MATCH(P251,'Scoring Method'!$A$25:$A$27,0))</f>
        <v/>
      </c>
      <c r="U251" s="96">
        <f>(INDEX('Scoring Method'!$B$30:$B$33,MATCH(Q251,'Scoring Method'!$A$30:$A$33,0))+INDEX('Scoring Method'!$B$36:$B$42,MATCH(R251,'Scoring Method'!$A$36:$A$42,0))+INDEX('Scoring Method'!$B$45:$B$47,MATCH(IF(S251=1,"1",IF(S251=2,"2","3+")),'Scoring Method'!$A$45:$A$47,0)))/90*100</f>
        <v/>
      </c>
      <c r="V251" s="96">
        <f>T251*U251/100</f>
        <v/>
      </c>
      <c r="W251" s="93" t="n">
        <v>2394</v>
      </c>
      <c r="X251" s="92" t="inlineStr">
        <is>
          <t>X (minimal hazard)</t>
        </is>
      </c>
      <c r="Y251" s="93" t="n">
        <v>9475</v>
      </c>
      <c r="Z251" s="97" t="n"/>
      <c r="AA251" s="98">
        <f>MAX(0,(Y251-5000)/300)</f>
        <v/>
      </c>
      <c r="AB251" s="92" t="n"/>
      <c r="AC251" s="92" t="n"/>
      <c r="AD251" s="92" t="n"/>
      <c r="AE251" s="92" t="inlineStr">
        <is>
          <t>Target 1.5-2.5k</t>
        </is>
      </c>
      <c r="AF251" s="96">
        <f>INDEX('Scoring Method'!$B$63:$B$71,MATCH(AE251,'Scoring Method'!$A$63:$A$71,0))+INDEX('Scoring Method'!$B$75:$B$79,MATCH("Good 8-15k",'Scoring Method'!$A$75:$A$79,0))+INDEX('Scoring Method'!$B$343:$B$347,MATCH(X251,'Scoring Method'!$A$343:$A$347,0))+INDEX('Scoring Method'!$B$25:$B$27,MATCH(P251,'Scoring Method'!$A$25:$A$27,0))</f>
        <v/>
      </c>
      <c r="AG251" s="96">
        <f>AF251*U251/100</f>
        <v/>
      </c>
      <c r="AH251" s="92" t="inlineStr">
        <is>
          <t>LINK-GIS + LoopNet (2026-08-03)</t>
        </is>
      </c>
      <c r="AI251" s="99" t="n">
        <v>39.04537</v>
      </c>
      <c r="AJ251" s="99" t="n">
        <v>-84.50393</v>
      </c>
      <c r="AK251" s="94" t="n">
        <v>2.8</v>
      </c>
      <c r="AL251" s="94" t="n">
        <v>3.15</v>
      </c>
      <c r="AM251" s="94" t="n">
        <v>3.9</v>
      </c>
      <c r="AN251" s="94" t="n">
        <v>2.69</v>
      </c>
      <c r="AO251" s="92" t="inlineStr">
        <is>
          <t>Distant 2-3mi</t>
        </is>
      </c>
      <c r="AP251" s="92" t="inlineStr">
        <is>
          <t>Retail shell</t>
        </is>
      </c>
      <c r="AQ251" s="92" t="inlineStr">
        <is>
          <t>Good 8-15k</t>
        </is>
      </c>
      <c r="AR251" s="100" t="n"/>
      <c r="AS251" s="96">
        <f>ROUND(INDEX('Scoring Method'!$B$63:$B$70,MATCH(AE251,'Scoring Method'!$A$63:$A$70,0))*0.625+INDEX('Scoring Method'!$B$105:$B$113,MATCH(AP251,'Scoring Method'!$A$105:$A$113,0))+INDEX('Scoring Method'!$B$74:$B$78,MATCH(AQ251,'Scoring Method'!$A$74:$A$78,0))*0.6667+INDEX('Scoring Method'!$B$96:$B$101,MATCH(AO251,'Scoring Method'!$A$96:$A$101,0))+INDEX('Scoring Method'!$B$343:$B$347,MATCH(X251,'Scoring Method'!$A$343:$A$347,0))*0.3333+INDEX('Scoring Method'!$B$25:$B$27,MATCH(P251,'Scoring Method'!$A$25:$A$27,0))*0.3333,1)</f>
        <v/>
      </c>
      <c r="AT251" s="96">
        <f>AS251*U251/100</f>
        <v/>
      </c>
      <c r="AU251" s="92" t="inlineStr">
        <is>
          <t>Latonia</t>
        </is>
      </c>
      <c r="AV251" s="92" t="n">
        <v>78</v>
      </c>
      <c r="AW251" s="92" t="inlineStr">
        <is>
          <t>Sourced</t>
        </is>
      </c>
      <c r="AX251" s="92" t="inlineStr">
        <is>
          <t>Safe 70-79</t>
        </is>
      </c>
      <c r="AY251" s="96">
        <f>ROUND(INDEX('Scoring Method'!$B$132:$B$140,MATCH(AE251,'Scoring Method'!$A$132:$A$140,0))+INDEX('Scoring Method'!$B$144:$B$152,MATCH(AP251,'Scoring Method'!$A$144:$A$152,0))+INDEX('Scoring Method'!$B$156:$B$160,MATCH(AQ251,'Scoring Method'!$A$156:$A$160,0))+INDEX('Scoring Method'!$B$164:$B$169,MATCH(AO251,'Scoring Method'!$A$164:$A$169,0))+INDEX('Scoring Method'!$B$173:$B$178,MATCH(AX251,'Scoring Method'!$A$173:$A$178,0))+INDEX('Scoring Method'!$B$349:$B$353,MATCH(X251,'Scoring Method'!$A$349:$A$353,0))+INDEX('Scoring Method'!$B$188:$B$190,MATCH(P251,'Scoring Method'!$A$188:$A$190,0)),1)</f>
        <v/>
      </c>
      <c r="AZ251" s="96">
        <f>AY251*U251/100</f>
        <v/>
      </c>
      <c r="BA251" s="92" t="inlineStr">
        <is>
          <t>Owner-occupied operator</t>
        </is>
      </c>
      <c r="BB251" s="94" t="n">
        <v>0.8</v>
      </c>
      <c r="BC251" s="102" t="inlineStr">
        <is>
          <t>Small 0.25-0.35 AC</t>
        </is>
      </c>
      <c r="BD251" s="94" t="n">
        <v>0.9</v>
      </c>
      <c r="BE251" s="96">
        <f>ROUND(INDEX('Scoring Method'!$B$268:$B$276,MATCH(AE251,'Scoring Method'!$A$268:$A$276,0))+INDEX('Scoring Method'!$B$280:$B$288,MATCH(AP251,'Scoring Method'!$A$280:$A$288,0))+INDEX('Scoring Method'!$B$292:$B$296,MATCH(AQ251,'Scoring Method'!$A$292:$A$296,0))+INDEX('Scoring Method'!$B$300:$B$305,MATCH(AO251,'Scoring Method'!$A$300:$A$305,0))+INDEX('Scoring Method'!$B$309:$B$314,MATCH(AX251,'Scoring Method'!$A$309:$A$314,0))+INDEX('Scoring Method'!$B$337:$B$341,MATCH(X251,'Scoring Method'!$A$337:$A$341,0))+INDEX('Scoring Method'!$B$324:$B$326,MATCH(P251,'Scoring Method'!$A$324:$A$326,0)),1)</f>
        <v/>
      </c>
      <c r="BF251" s="96">
        <f>ROUND(INDEX('Scoring Method'!$B$268:$B$276,MATCH(AE251,'Scoring Method'!$A$268:$A$276,0))*BB251*BD251+INDEX('Scoring Method'!$B$280:$B$288,MATCH(AP251,'Scoring Method'!$A$280:$A$288,0))*BM251*BB251*BD251+INDEX('Scoring Method'!$B$292:$B$296,MATCH(AQ251,'Scoring Method'!$A$292:$A$296,0))*BD251+INDEX('Scoring Method'!$B$300:$B$305,MATCH(AO251,'Scoring Method'!$A$300:$A$305,0))*BM251*BB251+INDEX('Scoring Method'!$B$309:$B$314,MATCH(AX251,'Scoring Method'!$A$309:$A$314,0))+INDEX('Scoring Method'!$B$337:$B$341,MATCH(X251,'Scoring Method'!$A$337:$A$341,0))+INDEX('Scoring Method'!$B$324:$B$326,MATCH(P251,'Scoring Method'!$A$324:$A$326,0)),1)</f>
        <v/>
      </c>
      <c r="BG251" s="92" t="inlineStr">
        <is>
          <t>Fits (~$2,194/mo)</t>
        </is>
      </c>
      <c r="BH251" s="61" t="inlineStr">
        <is>
          <t>TUMU</t>
        </is>
      </c>
      <c r="BI251" s="61" t="inlineStr">
        <is>
          <t>Traditional Urban Mixed Use</t>
        </is>
      </c>
      <c r="BJ251" s="61" t="inlineStr"/>
      <c r="BK251" s="61" t="inlineStr"/>
      <c r="BL251" s="61" t="inlineStr">
        <is>
          <t>Bar permitted</t>
        </is>
      </c>
      <c r="BM251" s="61">
        <f>INDEX('Scoring Method'!$B$358:$B$363,MATCH(BL251,'Scoring Method'!$A$358:$A$363,0))</f>
        <v/>
      </c>
    </row>
    <row r="252" ht="15" customHeight="1" s="62">
      <c r="A252" s="92" t="n">
        <v>251</v>
      </c>
      <c r="B252" s="92" t="inlineStr">
        <is>
          <t>056-34-02-007.00</t>
        </is>
      </c>
      <c r="C252" s="92" t="inlineStr">
        <is>
          <t>508 E 38TH ST</t>
        </is>
      </c>
      <c r="D252" s="92" t="inlineStr">
        <is>
          <t>SANDMAN JOHN JOSEPH &amp; CAMERON</t>
        </is>
      </c>
      <c r="E252" s="92" t="inlineStr">
        <is>
          <t>400 BRENTWOOD LN UNIT A</t>
        </is>
      </c>
      <c r="F252" s="92" t="inlineStr">
        <is>
          <t>ALEXANDRIA</t>
        </is>
      </c>
      <c r="G252" s="92" t="inlineStr">
        <is>
          <t>KY</t>
        </is>
      </c>
      <c r="H252" s="92" t="inlineStr">
        <is>
          <t>GARAGE/PARKING SPACE</t>
        </is>
      </c>
      <c r="I252" s="93" t="n">
        <v>9841</v>
      </c>
      <c r="J252" s="94">
        <f>I252/43560</f>
        <v/>
      </c>
      <c r="K252" s="93" t="n">
        <v>494.9</v>
      </c>
      <c r="L252" s="95">
        <f>I252/(K252^2)</f>
        <v/>
      </c>
      <c r="M252" s="92" t="inlineStr">
        <is>
          <t>Poor &lt;10k/&gt;60k</t>
        </is>
      </c>
      <c r="N252" s="92" t="inlineStr">
        <is>
          <t>D</t>
        </is>
      </c>
      <c r="O252" s="92" t="inlineStr">
        <is>
          <t>Elongated .035-.045</t>
        </is>
      </c>
      <c r="P252" s="92" t="inlineStr">
        <is>
          <t>Low</t>
        </is>
      </c>
      <c r="Q252" s="92" t="inlineStr">
        <is>
          <t>Out-of-city KY</t>
        </is>
      </c>
      <c r="R252" s="92" t="inlineStr">
        <is>
          <t>Individual</t>
        </is>
      </c>
      <c r="S252" s="92" t="n">
        <v>1</v>
      </c>
      <c r="T252" s="96">
        <f>INDEX('Scoring Method'!$B$6:$B$9,MATCH(M252,'Scoring Method'!$A$6:$A$9,0))+INDEX('Scoring Method'!$B$12:$B$16,MATCH(N252,'Scoring Method'!$A$12:$A$16,0))+INDEX('Scoring Method'!$B$19:$B$22,MATCH(O252,'Scoring Method'!$A$19:$A$22,0))+INDEX('Scoring Method'!$B$25:$B$27,MATCH(P252,'Scoring Method'!$A$25:$A$27,0))</f>
        <v/>
      </c>
      <c r="U252" s="96">
        <f>(INDEX('Scoring Method'!$B$30:$B$33,MATCH(Q252,'Scoring Method'!$A$30:$A$33,0))+INDEX('Scoring Method'!$B$36:$B$42,MATCH(R252,'Scoring Method'!$A$36:$A$42,0))+INDEX('Scoring Method'!$B$45:$B$47,MATCH(IF(S252=1,"1",IF(S252=2,"2","3+")),'Scoring Method'!$A$45:$A$47,0)))/90*100</f>
        <v/>
      </c>
      <c r="V252" s="96">
        <f>T252*U252/100</f>
        <v/>
      </c>
      <c r="W252" s="93" t="n">
        <v>291</v>
      </c>
      <c r="X252" s="92" t="inlineStr">
        <is>
          <t>X (minimal hazard)</t>
        </is>
      </c>
      <c r="Y252" s="93" t="n">
        <v>9175</v>
      </c>
      <c r="Z252" s="97" t="n"/>
      <c r="AA252" s="98">
        <f>MAX(0,(Y252-5000)/300)</f>
        <v/>
      </c>
      <c r="AB252" s="92" t="n"/>
      <c r="AC252" s="92" t="n"/>
      <c r="AD252" s="92" t="n"/>
      <c r="AE252" s="92" t="inlineStr">
        <is>
          <t>Too small &lt;1.2k</t>
        </is>
      </c>
      <c r="AF252" s="96">
        <f>INDEX('Scoring Method'!$B$63:$B$71,MATCH(AE252,'Scoring Method'!$A$63:$A$71,0))+INDEX('Scoring Method'!$B$75:$B$79,MATCH("Good 8-15k",'Scoring Method'!$A$75:$A$79,0))+INDEX('Scoring Method'!$B$343:$B$347,MATCH(X252,'Scoring Method'!$A$343:$A$347,0))+INDEX('Scoring Method'!$B$25:$B$27,MATCH(P252,'Scoring Method'!$A$25:$A$27,0))</f>
        <v/>
      </c>
      <c r="AG252" s="96">
        <f>AF252*U252/100</f>
        <v/>
      </c>
      <c r="AH252" s="92" t="inlineStr">
        <is>
          <t>LINK-GIS only</t>
        </is>
      </c>
      <c r="AI252" s="99" t="n">
        <v>39.04602</v>
      </c>
      <c r="AJ252" s="99" t="n">
        <v>-84.49451999999999</v>
      </c>
      <c r="AK252" s="94" t="n">
        <v>2.93</v>
      </c>
      <c r="AL252" s="94" t="n">
        <v>3.19</v>
      </c>
      <c r="AM252" s="94" t="n">
        <v>3.95</v>
      </c>
      <c r="AN252" s="94" t="n">
        <v>2.77</v>
      </c>
      <c r="AO252" s="92" t="inlineStr">
        <is>
          <t>Distant 2-3mi</t>
        </is>
      </c>
      <c r="AP252" s="92" t="inlineStr">
        <is>
          <t>Lot / minimal bldg</t>
        </is>
      </c>
      <c r="AQ252" s="92" t="inlineStr">
        <is>
          <t>Good 8-15k</t>
        </is>
      </c>
      <c r="AR252" s="100" t="n"/>
      <c r="AS252" s="96">
        <f>ROUND(INDEX('Scoring Method'!$B$63:$B$70,MATCH(AE252,'Scoring Method'!$A$63:$A$70,0))*0.625+INDEX('Scoring Method'!$B$105:$B$113,MATCH(AP252,'Scoring Method'!$A$105:$A$113,0))+INDEX('Scoring Method'!$B$74:$B$78,MATCH(AQ252,'Scoring Method'!$A$74:$A$78,0))*0.6667+INDEX('Scoring Method'!$B$96:$B$101,MATCH(AO252,'Scoring Method'!$A$96:$A$101,0))+INDEX('Scoring Method'!$B$343:$B$347,MATCH(X252,'Scoring Method'!$A$343:$A$347,0))*0.3333+INDEX('Scoring Method'!$B$25:$B$27,MATCH(P252,'Scoring Method'!$A$25:$A$27,0))*0.3333,1)</f>
        <v/>
      </c>
      <c r="AT252" s="96">
        <f>AS252*U252/100</f>
        <v/>
      </c>
      <c r="AU252" s="92" t="inlineStr">
        <is>
          <t>Latonia</t>
        </is>
      </c>
      <c r="AV252" s="92" t="n">
        <v>78</v>
      </c>
      <c r="AW252" s="92" t="inlineStr">
        <is>
          <t>Sourced</t>
        </is>
      </c>
      <c r="AX252" s="92" t="inlineStr">
        <is>
          <t>Safe 70-79</t>
        </is>
      </c>
      <c r="AY252" s="96">
        <f>ROUND(INDEX('Scoring Method'!$B$132:$B$140,MATCH(AE252,'Scoring Method'!$A$132:$A$140,0))+INDEX('Scoring Method'!$B$144:$B$152,MATCH(AP252,'Scoring Method'!$A$144:$A$152,0))+INDEX('Scoring Method'!$B$156:$B$160,MATCH(AQ252,'Scoring Method'!$A$156:$A$160,0))+INDEX('Scoring Method'!$B$164:$B$169,MATCH(AO252,'Scoring Method'!$A$164:$A$169,0))+INDEX('Scoring Method'!$B$173:$B$178,MATCH(AX252,'Scoring Method'!$A$173:$A$178,0))+INDEX('Scoring Method'!$B$349:$B$353,MATCH(X252,'Scoring Method'!$A$349:$A$353,0))+INDEX('Scoring Method'!$B$188:$B$190,MATCH(P252,'Scoring Method'!$A$188:$A$190,0)),1)</f>
        <v/>
      </c>
      <c r="AZ252" s="96">
        <f>AY252*U252/100</f>
        <v/>
      </c>
      <c r="BA252" s="92" t="inlineStr">
        <is>
          <t>No chain signal</t>
        </is>
      </c>
      <c r="BB252" s="94" t="n">
        <v>1</v>
      </c>
      <c r="BC252" s="103" t="inlineStr">
        <is>
          <t>Extra small 0.15-0.25 AC</t>
        </is>
      </c>
      <c r="BD252" s="94" t="n">
        <v>0.8</v>
      </c>
      <c r="BE252" s="96">
        <f>ROUND(INDEX('Scoring Method'!$B$268:$B$276,MATCH(AE252,'Scoring Method'!$A$268:$A$276,0))+INDEX('Scoring Method'!$B$280:$B$288,MATCH(AP252,'Scoring Method'!$A$280:$A$288,0))+INDEX('Scoring Method'!$B$292:$B$296,MATCH(AQ252,'Scoring Method'!$A$292:$A$296,0))+INDEX('Scoring Method'!$B$300:$B$305,MATCH(AO252,'Scoring Method'!$A$300:$A$305,0))+INDEX('Scoring Method'!$B$309:$B$314,MATCH(AX252,'Scoring Method'!$A$309:$A$314,0))+INDEX('Scoring Method'!$B$337:$B$341,MATCH(X252,'Scoring Method'!$A$337:$A$341,0))+INDEX('Scoring Method'!$B$324:$B$326,MATCH(P252,'Scoring Method'!$A$324:$A$326,0)),1)</f>
        <v/>
      </c>
      <c r="BF252" s="96">
        <f>ROUND(INDEX('Scoring Method'!$B$268:$B$276,MATCH(AE252,'Scoring Method'!$A$268:$A$276,0))*BB252*BD252+INDEX('Scoring Method'!$B$280:$B$288,MATCH(AP252,'Scoring Method'!$A$280:$A$288,0))*BM252*BB252*BD252+INDEX('Scoring Method'!$B$292:$B$296,MATCH(AQ252,'Scoring Method'!$A$292:$A$296,0))*BD252+INDEX('Scoring Method'!$B$300:$B$305,MATCH(AO252,'Scoring Method'!$A$300:$A$305,0))*BM252*BB252+INDEX('Scoring Method'!$B$309:$B$314,MATCH(AX252,'Scoring Method'!$A$309:$A$314,0))+INDEX('Scoring Method'!$B$337:$B$341,MATCH(X252,'Scoring Method'!$A$337:$A$341,0))+INDEX('Scoring Method'!$B$324:$B$326,MATCH(P252,'Scoring Method'!$A$324:$A$326,0)),1)</f>
        <v/>
      </c>
      <c r="BG252" s="92" t="inlineStr">
        <is>
          <t>Fits (~$267/mo)</t>
        </is>
      </c>
      <c r="BH252" s="61" t="inlineStr">
        <is>
          <t>SU</t>
        </is>
      </c>
      <c r="BI252" s="61" t="inlineStr">
        <is>
          <t>Semi-Urban Residential</t>
        </is>
      </c>
      <c r="BJ252" s="61" t="inlineStr"/>
      <c r="BK252" s="61" t="inlineStr"/>
      <c r="BL252" s="61" t="inlineStr">
        <is>
          <t>SU corner unverified</t>
        </is>
      </c>
      <c r="BM252" s="61">
        <f>INDEX('Scoring Method'!$B$358:$B$363,MATCH(BL252,'Scoring Method'!$A$358:$A$363,0))</f>
        <v/>
      </c>
    </row>
    <row r="253" ht="15" customHeight="1" s="62">
      <c r="A253" s="92" t="n">
        <v>252</v>
      </c>
      <c r="B253" s="92" t="inlineStr">
        <is>
          <t>055-42-04-010.00</t>
        </is>
      </c>
      <c r="C253" s="92" t="inlineStr">
        <is>
          <t>114 E 30TH ST</t>
        </is>
      </c>
      <c r="D253" s="92" t="inlineStr">
        <is>
          <t>RESTAURANT EL CHAPIN LLC</t>
        </is>
      </c>
      <c r="E253" s="92" t="inlineStr">
        <is>
          <t>112 E 30TH ST</t>
        </is>
      </c>
      <c r="F253" s="92" t="inlineStr">
        <is>
          <t>COVINGTON</t>
        </is>
      </c>
      <c r="G253" s="92" t="inlineStr">
        <is>
          <t>KY</t>
        </is>
      </c>
      <c r="H253" s="92" t="inlineStr">
        <is>
          <t>PAVED LOT</t>
        </is>
      </c>
      <c r="I253" s="93" t="n">
        <v>9131</v>
      </c>
      <c r="J253" s="94">
        <f>I253/43560</f>
        <v/>
      </c>
      <c r="K253" s="93" t="n">
        <v>393.5</v>
      </c>
      <c r="L253" s="95">
        <f>I253/(K253^2)</f>
        <v/>
      </c>
      <c r="M253" s="92" t="inlineStr">
        <is>
          <t>Poor &lt;10k/&gt;60k</t>
        </is>
      </c>
      <c r="N253" s="92" t="inlineStr">
        <is>
          <t>D</t>
        </is>
      </c>
      <c r="O253" s="92" t="inlineStr">
        <is>
          <t>Compact &gt;=.055</t>
        </is>
      </c>
      <c r="P253" s="92" t="inlineStr">
        <is>
          <t>Low</t>
        </is>
      </c>
      <c r="Q253" s="92" t="inlineStr">
        <is>
          <t>Local absentee</t>
        </is>
      </c>
      <c r="R253" s="92" t="inlineStr">
        <is>
          <t>Operating entity</t>
        </is>
      </c>
      <c r="S253" s="92" t="n">
        <v>3</v>
      </c>
      <c r="T253" s="96">
        <f>INDEX('Scoring Method'!$B$6:$B$9,MATCH(M253,'Scoring Method'!$A$6:$A$9,0))+INDEX('Scoring Method'!$B$12:$B$16,MATCH(N253,'Scoring Method'!$A$12:$A$16,0))+INDEX('Scoring Method'!$B$19:$B$22,MATCH(O253,'Scoring Method'!$A$19:$A$22,0))+INDEX('Scoring Method'!$B$25:$B$27,MATCH(P253,'Scoring Method'!$A$25:$A$27,0))</f>
        <v/>
      </c>
      <c r="U253" s="96">
        <f>(INDEX('Scoring Method'!$B$30:$B$33,MATCH(Q253,'Scoring Method'!$A$30:$A$33,0))+INDEX('Scoring Method'!$B$36:$B$42,MATCH(R253,'Scoring Method'!$A$36:$A$42,0))+INDEX('Scoring Method'!$B$45:$B$47,MATCH(IF(S253=1,"1",IF(S253=2,"2","3+")),'Scoring Method'!$A$45:$A$47,0)))/90*100</f>
        <v/>
      </c>
      <c r="V253" s="96">
        <f>T253*U253/100</f>
        <v/>
      </c>
      <c r="W253" s="93" t="n">
        <v>81</v>
      </c>
      <c r="X253" s="92" t="inlineStr">
        <is>
          <t>X shaded (0.2%)</t>
        </is>
      </c>
      <c r="Y253" s="93" t="n">
        <v>8950</v>
      </c>
      <c r="Z253" s="97" t="n"/>
      <c r="AA253" s="98">
        <f>MAX(0,(Y253-5000)/300)</f>
        <v/>
      </c>
      <c r="AB253" s="92" t="n"/>
      <c r="AC253" s="92" t="n"/>
      <c r="AD253" s="92" t="n"/>
      <c r="AE253" s="92" t="inlineStr">
        <is>
          <t>Too small &lt;1.2k</t>
        </is>
      </c>
      <c r="AF253" s="96">
        <f>INDEX('Scoring Method'!$B$63:$B$71,MATCH(AE253,'Scoring Method'!$A$63:$A$71,0))+INDEX('Scoring Method'!$B$75:$B$79,MATCH("Good 8-15k",'Scoring Method'!$A$75:$A$79,0))+INDEX('Scoring Method'!$B$343:$B$347,MATCH(X253,'Scoring Method'!$A$343:$A$347,0))+INDEX('Scoring Method'!$B$25:$B$27,MATCH(P253,'Scoring Method'!$A$25:$A$27,0))</f>
        <v/>
      </c>
      <c r="AG253" s="96">
        <f>AF253*U253/100</f>
        <v/>
      </c>
      <c r="AH253" s="92" t="inlineStr">
        <is>
          <t>LINK-GIS only</t>
        </is>
      </c>
      <c r="AI253" s="99" t="n">
        <v>39.05478</v>
      </c>
      <c r="AJ253" s="99" t="n">
        <v>-84.50171</v>
      </c>
      <c r="AK253" s="94" t="n">
        <v>2.22</v>
      </c>
      <c r="AL253" s="94" t="n">
        <v>2.52</v>
      </c>
      <c r="AM253" s="94" t="n">
        <v>3.28</v>
      </c>
      <c r="AN253" s="94" t="n">
        <v>2.08</v>
      </c>
      <c r="AO253" s="92" t="inlineStr">
        <is>
          <t>Distant 2-3mi</t>
        </is>
      </c>
      <c r="AP253" s="92" t="inlineStr">
        <is>
          <t>Lot / minimal bldg</t>
        </is>
      </c>
      <c r="AQ253" s="92" t="inlineStr">
        <is>
          <t>Good 8-15k</t>
        </is>
      </c>
      <c r="AR253" s="100" t="n"/>
      <c r="AS253" s="96">
        <f>ROUND(INDEX('Scoring Method'!$B$63:$B$70,MATCH(AE253,'Scoring Method'!$A$63:$A$70,0))*0.625+INDEX('Scoring Method'!$B$105:$B$113,MATCH(AP253,'Scoring Method'!$A$105:$A$113,0))+INDEX('Scoring Method'!$B$74:$B$78,MATCH(AQ253,'Scoring Method'!$A$74:$A$78,0))*0.6667+INDEX('Scoring Method'!$B$96:$B$101,MATCH(AO253,'Scoring Method'!$A$96:$A$101,0))+INDEX('Scoring Method'!$B$343:$B$347,MATCH(X253,'Scoring Method'!$A$343:$A$347,0))*0.3333+INDEX('Scoring Method'!$B$25:$B$27,MATCH(P253,'Scoring Method'!$A$25:$A$27,0))*0.3333,1)</f>
        <v/>
      </c>
      <c r="AT253" s="96">
        <f>AS253*U253/100</f>
        <v/>
      </c>
      <c r="AU253" s="92" t="inlineStr">
        <is>
          <t>Latonia</t>
        </is>
      </c>
      <c r="AV253" s="92" t="n">
        <v>78</v>
      </c>
      <c r="AW253" s="92" t="inlineStr">
        <is>
          <t>Sourced</t>
        </is>
      </c>
      <c r="AX253" s="92" t="inlineStr">
        <is>
          <t>Safe 70-79</t>
        </is>
      </c>
      <c r="AY253" s="96">
        <f>ROUND(INDEX('Scoring Method'!$B$132:$B$140,MATCH(AE253,'Scoring Method'!$A$132:$A$140,0))+INDEX('Scoring Method'!$B$144:$B$152,MATCH(AP253,'Scoring Method'!$A$144:$A$152,0))+INDEX('Scoring Method'!$B$156:$B$160,MATCH(AQ253,'Scoring Method'!$A$156:$A$160,0))+INDEX('Scoring Method'!$B$164:$B$169,MATCH(AO253,'Scoring Method'!$A$164:$A$169,0))+INDEX('Scoring Method'!$B$173:$B$178,MATCH(AX253,'Scoring Method'!$A$173:$A$178,0))+INDEX('Scoring Method'!$B$349:$B$353,MATCH(X253,'Scoring Method'!$A$349:$A$353,0))+INDEX('Scoring Method'!$B$188:$B$190,MATCH(P253,'Scoring Method'!$A$188:$A$190,0)),1)</f>
        <v/>
      </c>
      <c r="AZ253" s="96">
        <f>AY253*U253/100</f>
        <v/>
      </c>
      <c r="BA253" s="92" t="inlineStr">
        <is>
          <t>No chain signal</t>
        </is>
      </c>
      <c r="BB253" s="94" t="n">
        <v>1</v>
      </c>
      <c r="BC253" s="103" t="inlineStr">
        <is>
          <t>Extra small 0.15-0.25 AC</t>
        </is>
      </c>
      <c r="BD253" s="94" t="n">
        <v>0.8</v>
      </c>
      <c r="BE253" s="96">
        <f>ROUND(INDEX('Scoring Method'!$B$268:$B$276,MATCH(AE253,'Scoring Method'!$A$268:$A$276,0))+INDEX('Scoring Method'!$B$280:$B$288,MATCH(AP253,'Scoring Method'!$A$280:$A$288,0))+INDEX('Scoring Method'!$B$292:$B$296,MATCH(AQ253,'Scoring Method'!$A$292:$A$296,0))+INDEX('Scoring Method'!$B$300:$B$305,MATCH(AO253,'Scoring Method'!$A$300:$A$305,0))+INDEX('Scoring Method'!$B$309:$B$314,MATCH(AX253,'Scoring Method'!$A$309:$A$314,0))+INDEX('Scoring Method'!$B$337:$B$341,MATCH(X253,'Scoring Method'!$A$337:$A$341,0))+INDEX('Scoring Method'!$B$324:$B$326,MATCH(P253,'Scoring Method'!$A$324:$A$326,0)),1)</f>
        <v/>
      </c>
      <c r="BF253" s="96">
        <f>ROUND(INDEX('Scoring Method'!$B$268:$B$276,MATCH(AE253,'Scoring Method'!$A$268:$A$276,0))*BB253*BD253+INDEX('Scoring Method'!$B$280:$B$288,MATCH(AP253,'Scoring Method'!$A$280:$A$288,0))*BM253*BB253*BD253+INDEX('Scoring Method'!$B$292:$B$296,MATCH(AQ253,'Scoring Method'!$A$292:$A$296,0))*BD253+INDEX('Scoring Method'!$B$300:$B$305,MATCH(AO253,'Scoring Method'!$A$300:$A$305,0))*BM253*BB253+INDEX('Scoring Method'!$B$309:$B$314,MATCH(AX253,'Scoring Method'!$A$309:$A$314,0))+INDEX('Scoring Method'!$B$337:$B$341,MATCH(X253,'Scoring Method'!$A$337:$A$341,0))+INDEX('Scoring Method'!$B$324:$B$326,MATCH(P253,'Scoring Method'!$A$324:$A$326,0)),1)</f>
        <v/>
      </c>
      <c r="BG253" s="92" t="inlineStr">
        <is>
          <t>Fits (~$74/mo)</t>
        </is>
      </c>
      <c r="BH253" s="61" t="inlineStr">
        <is>
          <t>AUC</t>
        </is>
      </c>
      <c r="BI253" s="61" t="inlineStr">
        <is>
          <t>Auto-Urban Commercial</t>
        </is>
      </c>
      <c r="BJ253" s="61" t="inlineStr"/>
      <c r="BK253" s="61" t="inlineStr"/>
      <c r="BL253" s="61" t="inlineStr">
        <is>
          <t>Bar permitted</t>
        </is>
      </c>
      <c r="BM253" s="61">
        <f>INDEX('Scoring Method'!$B$358:$B$363,MATCH(BL253,'Scoring Method'!$A$358:$A$363,0))</f>
        <v/>
      </c>
    </row>
    <row r="254" ht="15" customHeight="1" s="62">
      <c r="A254" s="92" t="n">
        <v>253</v>
      </c>
      <c r="B254" s="92" t="inlineStr">
        <is>
          <t>055-42-04-011.03</t>
        </is>
      </c>
      <c r="C254" s="92" t="inlineStr">
        <is>
          <t>102 E 30TH ST</t>
        </is>
      </c>
      <c r="D254" s="92" t="inlineStr">
        <is>
          <t>RESTAURANT EL CHAPIN LLC</t>
        </is>
      </c>
      <c r="E254" s="92" t="inlineStr">
        <is>
          <t>112 E 30TH ST</t>
        </is>
      </c>
      <c r="F254" s="92" t="inlineStr">
        <is>
          <t>COVINGTON</t>
        </is>
      </c>
      <c r="G254" s="92" t="inlineStr">
        <is>
          <t>KY</t>
        </is>
      </c>
      <c r="H254" s="92" t="inlineStr">
        <is>
          <t>PAVED LOT</t>
        </is>
      </c>
      <c r="I254" s="93" t="n">
        <v>8117</v>
      </c>
      <c r="J254" s="94">
        <f>I254/43560</f>
        <v/>
      </c>
      <c r="K254" s="93" t="n">
        <v>376.8</v>
      </c>
      <c r="L254" s="95">
        <f>I254/(K254^2)</f>
        <v/>
      </c>
      <c r="M254" s="92" t="inlineStr">
        <is>
          <t>Poor &lt;10k/&gt;60k</t>
        </is>
      </c>
      <c r="N254" s="92" t="inlineStr">
        <is>
          <t>D</t>
        </is>
      </c>
      <c r="O254" s="92" t="inlineStr">
        <is>
          <t>Compact &gt;=.055</t>
        </is>
      </c>
      <c r="P254" s="92" t="inlineStr">
        <is>
          <t>Low</t>
        </is>
      </c>
      <c r="Q254" s="92" t="inlineStr">
        <is>
          <t>Local absentee</t>
        </is>
      </c>
      <c r="R254" s="92" t="inlineStr">
        <is>
          <t>Operating entity</t>
        </is>
      </c>
      <c r="S254" s="92" t="n">
        <v>3</v>
      </c>
      <c r="T254" s="96">
        <f>INDEX('Scoring Method'!$B$6:$B$9,MATCH(M254,'Scoring Method'!$A$6:$A$9,0))+INDEX('Scoring Method'!$B$12:$B$16,MATCH(N254,'Scoring Method'!$A$12:$A$16,0))+INDEX('Scoring Method'!$B$19:$B$22,MATCH(O254,'Scoring Method'!$A$19:$A$22,0))+INDEX('Scoring Method'!$B$25:$B$27,MATCH(P254,'Scoring Method'!$A$25:$A$27,0))</f>
        <v/>
      </c>
      <c r="U254" s="96">
        <f>(INDEX('Scoring Method'!$B$30:$B$33,MATCH(Q254,'Scoring Method'!$A$30:$A$33,0))+INDEX('Scoring Method'!$B$36:$B$42,MATCH(R254,'Scoring Method'!$A$36:$A$42,0))+INDEX('Scoring Method'!$B$45:$B$47,MATCH(IF(S254=1,"1",IF(S254=2,"2","3+")),'Scoring Method'!$A$45:$A$47,0)))/90*100</f>
        <v/>
      </c>
      <c r="V254" s="96">
        <f>T254*U254/100</f>
        <v/>
      </c>
      <c r="W254" s="93" t="n">
        <v>17</v>
      </c>
      <c r="X254" s="92" t="inlineStr">
        <is>
          <t>X shaded (0.2%)</t>
        </is>
      </c>
      <c r="Y254" s="93" t="n">
        <v>7925</v>
      </c>
      <c r="Z254" s="97" t="n"/>
      <c r="AA254" s="98">
        <f>MAX(0,(Y254-5000)/300)</f>
        <v/>
      </c>
      <c r="AB254" s="92" t="n"/>
      <c r="AC254" s="92" t="n"/>
      <c r="AD254" s="92" t="n"/>
      <c r="AE254" s="92" t="inlineStr">
        <is>
          <t>Too small &lt;1.2k</t>
        </is>
      </c>
      <c r="AF254" s="96">
        <f>INDEX('Scoring Method'!$B$63:$B$71,MATCH(AE254,'Scoring Method'!$A$63:$A$71,0))+INDEX('Scoring Method'!$B$75:$B$79,MATCH("Adequate 5-8k",'Scoring Method'!$A$75:$A$79,0))+INDEX('Scoring Method'!$B$343:$B$347,MATCH(X254,'Scoring Method'!$A$343:$A$347,0))+INDEX('Scoring Method'!$B$25:$B$27,MATCH(P254,'Scoring Method'!$A$25:$A$27,0))</f>
        <v/>
      </c>
      <c r="AG254" s="96">
        <f>AF254*U254/100</f>
        <v/>
      </c>
      <c r="AH254" s="92" t="inlineStr">
        <is>
          <t>LINK-GIS only</t>
        </is>
      </c>
      <c r="AI254" s="99" t="n">
        <v>39.05455</v>
      </c>
      <c r="AJ254" s="99" t="n">
        <v>-84.50223</v>
      </c>
      <c r="AK254" s="94" t="n">
        <v>2.23</v>
      </c>
      <c r="AL254" s="94" t="n">
        <v>2.53</v>
      </c>
      <c r="AM254" s="94" t="n">
        <v>3.29</v>
      </c>
      <c r="AN254" s="94" t="n">
        <v>2.09</v>
      </c>
      <c r="AO254" s="92" t="inlineStr">
        <is>
          <t>Distant 2-3mi</t>
        </is>
      </c>
      <c r="AP254" s="92" t="inlineStr">
        <is>
          <t>Lot / minimal bldg</t>
        </is>
      </c>
      <c r="AQ254" s="92" t="inlineStr">
        <is>
          <t>Adequate 5-8k</t>
        </is>
      </c>
      <c r="AR254" s="100" t="n"/>
      <c r="AS254" s="96">
        <f>ROUND(INDEX('Scoring Method'!$B$63:$B$70,MATCH(AE254,'Scoring Method'!$A$63:$A$70,0))*0.625+INDEX('Scoring Method'!$B$105:$B$113,MATCH(AP254,'Scoring Method'!$A$105:$A$113,0))+INDEX('Scoring Method'!$B$74:$B$78,MATCH(AQ254,'Scoring Method'!$A$74:$A$78,0))*0.6667+INDEX('Scoring Method'!$B$96:$B$101,MATCH(AO254,'Scoring Method'!$A$96:$A$101,0))+INDEX('Scoring Method'!$B$343:$B$347,MATCH(X254,'Scoring Method'!$A$343:$A$347,0))*0.3333+INDEX('Scoring Method'!$B$25:$B$27,MATCH(P254,'Scoring Method'!$A$25:$A$27,0))*0.3333,1)</f>
        <v/>
      </c>
      <c r="AT254" s="96">
        <f>AS254*U254/100</f>
        <v/>
      </c>
      <c r="AU254" s="92" t="inlineStr">
        <is>
          <t>Latonia</t>
        </is>
      </c>
      <c r="AV254" s="92" t="n">
        <v>78</v>
      </c>
      <c r="AW254" s="92" t="inlineStr">
        <is>
          <t>Sourced</t>
        </is>
      </c>
      <c r="AX254" s="92" t="inlineStr">
        <is>
          <t>Safe 70-79</t>
        </is>
      </c>
      <c r="AY254" s="96">
        <f>ROUND(INDEX('Scoring Method'!$B$132:$B$140,MATCH(AE254,'Scoring Method'!$A$132:$A$140,0))+INDEX('Scoring Method'!$B$144:$B$152,MATCH(AP254,'Scoring Method'!$A$144:$A$152,0))+INDEX('Scoring Method'!$B$156:$B$160,MATCH(AQ254,'Scoring Method'!$A$156:$A$160,0))+INDEX('Scoring Method'!$B$164:$B$169,MATCH(AO254,'Scoring Method'!$A$164:$A$169,0))+INDEX('Scoring Method'!$B$173:$B$178,MATCH(AX254,'Scoring Method'!$A$173:$A$178,0))+INDEX('Scoring Method'!$B$349:$B$353,MATCH(X254,'Scoring Method'!$A$349:$A$353,0))+INDEX('Scoring Method'!$B$188:$B$190,MATCH(P254,'Scoring Method'!$A$188:$A$190,0)),1)</f>
        <v/>
      </c>
      <c r="AZ254" s="96">
        <f>AY254*U254/100</f>
        <v/>
      </c>
      <c r="BA254" s="92" t="inlineStr">
        <is>
          <t>No chain signal</t>
        </is>
      </c>
      <c r="BB254" s="94" t="n">
        <v>1</v>
      </c>
      <c r="BC254" s="103" t="inlineStr">
        <is>
          <t>Extra small 0.15-0.25 AC</t>
        </is>
      </c>
      <c r="BD254" s="94" t="n">
        <v>0.8</v>
      </c>
      <c r="BE254" s="96">
        <f>ROUND(INDEX('Scoring Method'!$B$268:$B$276,MATCH(AE254,'Scoring Method'!$A$268:$A$276,0))+INDEX('Scoring Method'!$B$280:$B$288,MATCH(AP254,'Scoring Method'!$A$280:$A$288,0))+INDEX('Scoring Method'!$B$292:$B$296,MATCH(AQ254,'Scoring Method'!$A$292:$A$296,0))+INDEX('Scoring Method'!$B$300:$B$305,MATCH(AO254,'Scoring Method'!$A$300:$A$305,0))+INDEX('Scoring Method'!$B$309:$B$314,MATCH(AX254,'Scoring Method'!$A$309:$A$314,0))+INDEX('Scoring Method'!$B$337:$B$341,MATCH(X254,'Scoring Method'!$A$337:$A$341,0))+INDEX('Scoring Method'!$B$324:$B$326,MATCH(P254,'Scoring Method'!$A$324:$A$326,0)),1)</f>
        <v/>
      </c>
      <c r="BF254" s="96">
        <f>ROUND(INDEX('Scoring Method'!$B$268:$B$276,MATCH(AE254,'Scoring Method'!$A$268:$A$276,0))*BB254*BD254+INDEX('Scoring Method'!$B$280:$B$288,MATCH(AP254,'Scoring Method'!$A$280:$A$288,0))*BM254*BB254*BD254+INDEX('Scoring Method'!$B$292:$B$296,MATCH(AQ254,'Scoring Method'!$A$292:$A$296,0))*BD254+INDEX('Scoring Method'!$B$300:$B$305,MATCH(AO254,'Scoring Method'!$A$300:$A$305,0))*BM254*BB254+INDEX('Scoring Method'!$B$309:$B$314,MATCH(AX254,'Scoring Method'!$A$309:$A$314,0))+INDEX('Scoring Method'!$B$337:$B$341,MATCH(X254,'Scoring Method'!$A$337:$A$341,0))+INDEX('Scoring Method'!$B$324:$B$326,MATCH(P254,'Scoring Method'!$A$324:$A$326,0)),1)</f>
        <v/>
      </c>
      <c r="BG254" s="92" t="inlineStr">
        <is>
          <t>Fits (~$16/mo)</t>
        </is>
      </c>
      <c r="BH254" s="61" t="inlineStr">
        <is>
          <t>AUC</t>
        </is>
      </c>
      <c r="BI254" s="61" t="inlineStr">
        <is>
          <t>Auto-Urban Commercial</t>
        </is>
      </c>
      <c r="BJ254" s="61" t="inlineStr"/>
      <c r="BK254" s="61" t="inlineStr"/>
      <c r="BL254" s="61" t="inlineStr">
        <is>
          <t>Bar permitted</t>
        </is>
      </c>
      <c r="BM254" s="61">
        <f>INDEX('Scoring Method'!$B$358:$B$363,MATCH(BL254,'Scoring Method'!$A$358:$A$363,0))</f>
        <v/>
      </c>
    </row>
    <row r="255" ht="15" customHeight="1" s="62">
      <c r="A255" s="92" t="n">
        <v>254</v>
      </c>
      <c r="B255" s="92" t="inlineStr">
        <is>
          <t>054-21-17-010.00</t>
        </is>
      </c>
      <c r="C255" s="92" t="inlineStr">
        <is>
          <t>431 MADISON AVE</t>
        </is>
      </c>
      <c r="D255" s="92" t="inlineStr">
        <is>
          <t>CITIZENS FEDERAL S &amp; L ASSN</t>
        </is>
      </c>
      <c r="E255" s="92" t="inlineStr">
        <is>
          <t>433 MADISON AVE</t>
        </is>
      </c>
      <c r="F255" s="92" t="inlineStr">
        <is>
          <t>COVINGTON</t>
        </is>
      </c>
      <c r="G255" s="92" t="inlineStr">
        <is>
          <t>KY</t>
        </is>
      </c>
      <c r="H255" s="92" t="inlineStr">
        <is>
          <t>FULL SERVICE BANK</t>
        </is>
      </c>
      <c r="I255" s="93" t="n">
        <v>9500</v>
      </c>
      <c r="J255" s="94">
        <f>I255/43560</f>
        <v/>
      </c>
      <c r="K255" s="93" t="n">
        <v>390</v>
      </c>
      <c r="L255" s="95">
        <f>I255/(K255^2)</f>
        <v/>
      </c>
      <c r="M255" s="92" t="inlineStr">
        <is>
          <t>Poor &lt;10k/&gt;60k</t>
        </is>
      </c>
      <c r="N255" s="92" t="inlineStr">
        <is>
          <t>E</t>
        </is>
      </c>
      <c r="O255" s="92" t="inlineStr">
        <is>
          <t>Compact &gt;=.055</t>
        </is>
      </c>
      <c r="P255" s="92" t="inlineStr">
        <is>
          <t>Low</t>
        </is>
      </c>
      <c r="Q255" s="92" t="inlineStr">
        <is>
          <t>Local absentee</t>
        </is>
      </c>
      <c r="R255" s="92" t="inlineStr">
        <is>
          <t>Individual</t>
        </is>
      </c>
      <c r="S255" s="92" t="n">
        <v>1</v>
      </c>
      <c r="T255" s="96">
        <f>INDEX('Scoring Method'!$B$6:$B$9,MATCH(M255,'Scoring Method'!$A$6:$A$9,0))+INDEX('Scoring Method'!$B$12:$B$16,MATCH(N255,'Scoring Method'!$A$12:$A$16,0))+INDEX('Scoring Method'!$B$19:$B$22,MATCH(O255,'Scoring Method'!$A$19:$A$22,0))+INDEX('Scoring Method'!$B$25:$B$27,MATCH(P255,'Scoring Method'!$A$25:$A$27,0))</f>
        <v/>
      </c>
      <c r="U255" s="96">
        <f>(INDEX('Scoring Method'!$B$30:$B$33,MATCH(Q255,'Scoring Method'!$A$30:$A$33,0))+INDEX('Scoring Method'!$B$36:$B$42,MATCH(R255,'Scoring Method'!$A$36:$A$42,0))+INDEX('Scoring Method'!$B$45:$B$47,MATCH(IF(S255=1,"1",IF(S255=2,"2","3+")),'Scoring Method'!$A$45:$A$47,0)))/90*100</f>
        <v/>
      </c>
      <c r="V255" s="96">
        <f>T255*U255/100</f>
        <v/>
      </c>
      <c r="W255" s="93" t="n">
        <v>3854</v>
      </c>
      <c r="X255" s="92" t="inlineStr">
        <is>
          <t>X (minimal hazard)</t>
        </is>
      </c>
      <c r="Y255" s="93" t="n">
        <v>6550</v>
      </c>
      <c r="Z255" s="97" t="n"/>
      <c r="AA255" s="98">
        <f>MAX(0,(Y255-5000)/300)</f>
        <v/>
      </c>
      <c r="AB255" s="92" t="n"/>
      <c r="AC255" s="92" t="n"/>
      <c r="AD255" s="92" t="n"/>
      <c r="AE255" s="92" t="inlineStr">
        <is>
          <t>Above 2.5-4k</t>
        </is>
      </c>
      <c r="AF255" s="96">
        <f>INDEX('Scoring Method'!$B$63:$B$71,MATCH(AE255,'Scoring Method'!$A$63:$A$71,0))+INDEX('Scoring Method'!$B$75:$B$79,MATCH("Adequate 5-8k",'Scoring Method'!$A$75:$A$79,0))+INDEX('Scoring Method'!$B$343:$B$347,MATCH(X255,'Scoring Method'!$A$343:$A$347,0))+INDEX('Scoring Method'!$B$25:$B$27,MATCH(P255,'Scoring Method'!$A$25:$A$27,0))</f>
        <v/>
      </c>
      <c r="AG255" s="96">
        <f>AF255*U255/100</f>
        <v/>
      </c>
      <c r="AH255" s="92" t="inlineStr">
        <is>
          <t>LINK-GIS + LoopNet (2026-08-03)</t>
        </is>
      </c>
      <c r="AI255" s="99" t="n">
        <v>39.08601</v>
      </c>
      <c r="AJ255" s="99" t="n">
        <v>-84.5111</v>
      </c>
      <c r="AK255" s="94" t="n">
        <v>0.38</v>
      </c>
      <c r="AL255" s="94" t="n">
        <v>0.37</v>
      </c>
      <c r="AM255" s="94" t="n">
        <v>1.07</v>
      </c>
      <c r="AN255" s="94" t="n">
        <v>0.14</v>
      </c>
      <c r="AO255" s="92" t="inlineStr">
        <is>
          <t>Core &lt;=0.35mi</t>
        </is>
      </c>
      <c r="AP255" s="92" t="inlineStr">
        <is>
          <t>Office/institutional</t>
        </is>
      </c>
      <c r="AQ255" s="92" t="inlineStr">
        <is>
          <t>Adequate 5-8k</t>
        </is>
      </c>
      <c r="AR255" s="100" t="n"/>
      <c r="AS255" s="96">
        <f>ROUND(INDEX('Scoring Method'!$B$63:$B$70,MATCH(AE255,'Scoring Method'!$A$63:$A$70,0))*0.625+INDEX('Scoring Method'!$B$105:$B$113,MATCH(AP255,'Scoring Method'!$A$105:$A$113,0))+INDEX('Scoring Method'!$B$74:$B$78,MATCH(AQ255,'Scoring Method'!$A$74:$A$78,0))*0.6667+INDEX('Scoring Method'!$B$96:$B$101,MATCH(AO255,'Scoring Method'!$A$96:$A$101,0))+INDEX('Scoring Method'!$B$343:$B$347,MATCH(X255,'Scoring Method'!$A$343:$A$347,0))*0.3333+INDEX('Scoring Method'!$B$25:$B$27,MATCH(P255,'Scoring Method'!$A$25:$A$27,0))*0.3333,1)</f>
        <v/>
      </c>
      <c r="AT255" s="96">
        <f>AS255*U255/100</f>
        <v/>
      </c>
      <c r="AU255" s="92" t="inlineStr">
        <is>
          <t>Central Business District</t>
        </is>
      </c>
      <c r="AV255" s="92" t="n">
        <v>48</v>
      </c>
      <c r="AW255" s="101" t="inlineStr">
        <is>
          <t>ESTIMATED</t>
        </is>
      </c>
      <c r="AX255" s="92" t="inlineStr">
        <is>
          <t>Mixed 45-59</t>
        </is>
      </c>
      <c r="AY255" s="96">
        <f>ROUND(INDEX('Scoring Method'!$B$132:$B$140,MATCH(AE255,'Scoring Method'!$A$132:$A$140,0))+INDEX('Scoring Method'!$B$144:$B$152,MATCH(AP255,'Scoring Method'!$A$144:$A$152,0))+INDEX('Scoring Method'!$B$156:$B$160,MATCH(AQ255,'Scoring Method'!$A$156:$A$160,0))+INDEX('Scoring Method'!$B$164:$B$169,MATCH(AO255,'Scoring Method'!$A$164:$A$169,0))+INDEX('Scoring Method'!$B$173:$B$178,MATCH(AX255,'Scoring Method'!$A$173:$A$178,0))+INDEX('Scoring Method'!$B$349:$B$353,MATCH(X255,'Scoring Method'!$A$349:$A$353,0))+INDEX('Scoring Method'!$B$188:$B$190,MATCH(P255,'Scoring Method'!$A$188:$A$190,0)),1)</f>
        <v/>
      </c>
      <c r="AZ255" s="96">
        <f>AY255*U255/100</f>
        <v/>
      </c>
      <c r="BA255" s="103" t="inlineStr">
        <is>
          <t>Brand-owned / net lease</t>
        </is>
      </c>
      <c r="BB255" s="94" t="n">
        <v>0.3</v>
      </c>
      <c r="BC255" s="103" t="inlineStr">
        <is>
          <t>Extra small 0.15-0.25 AC</t>
        </is>
      </c>
      <c r="BD255" s="94" t="n">
        <v>0.8</v>
      </c>
      <c r="BE255" s="96">
        <f>ROUND(INDEX('Scoring Method'!$B$268:$B$276,MATCH(AE255,'Scoring Method'!$A$268:$A$276,0))+INDEX('Scoring Method'!$B$280:$B$288,MATCH(AP255,'Scoring Method'!$A$280:$A$288,0))+INDEX('Scoring Method'!$B$292:$B$296,MATCH(AQ255,'Scoring Method'!$A$292:$A$296,0))+INDEX('Scoring Method'!$B$300:$B$305,MATCH(AO255,'Scoring Method'!$A$300:$A$305,0))+INDEX('Scoring Method'!$B$309:$B$314,MATCH(AX255,'Scoring Method'!$A$309:$A$314,0))+INDEX('Scoring Method'!$B$337:$B$341,MATCH(X255,'Scoring Method'!$A$337:$A$341,0))+INDEX('Scoring Method'!$B$324:$B$326,MATCH(P255,'Scoring Method'!$A$324:$A$326,0)),1)</f>
        <v/>
      </c>
      <c r="BF255" s="96">
        <f>ROUND(INDEX('Scoring Method'!$B$268:$B$276,MATCH(AE255,'Scoring Method'!$A$268:$A$276,0))*BB255*BD255+INDEX('Scoring Method'!$B$280:$B$288,MATCH(AP255,'Scoring Method'!$A$280:$A$288,0))*BM255*BB255*BD255+INDEX('Scoring Method'!$B$292:$B$296,MATCH(AQ255,'Scoring Method'!$A$292:$A$296,0))*BD255+INDEX('Scoring Method'!$B$300:$B$305,MATCH(AO255,'Scoring Method'!$A$300:$A$305,0))*BM255*BB255+INDEX('Scoring Method'!$B$309:$B$314,MATCH(AX255,'Scoring Method'!$A$309:$A$314,0))+INDEX('Scoring Method'!$B$337:$B$341,MATCH(X255,'Scoring Method'!$A$337:$A$341,0))+INDEX('Scoring Method'!$B$324:$B$326,MATCH(P255,'Scoring Method'!$A$324:$A$326,0)),1)</f>
        <v/>
      </c>
      <c r="BG255" s="92" t="inlineStr">
        <is>
          <t>Fits (~$3,533/mo)</t>
        </is>
      </c>
      <c r="BH255" s="61" t="inlineStr">
        <is>
          <t>DTC (HP)</t>
        </is>
      </c>
      <c r="BI255" s="61" t="inlineStr">
        <is>
          <t>Downtown Core</t>
        </is>
      </c>
      <c r="BJ255" s="61" t="inlineStr">
        <is>
          <t>HP</t>
        </is>
      </c>
      <c r="BK255" s="61" t="inlineStr"/>
      <c r="BL255" s="61" t="inlineStr">
        <is>
          <t>Bar permitted</t>
        </is>
      </c>
      <c r="BM255" s="61">
        <f>INDEX('Scoring Method'!$B$358:$B$363,MATCH(BL255,'Scoring Method'!$A$358:$A$363,0))</f>
        <v/>
      </c>
    </row>
    <row r="256" ht="15" customHeight="1" s="62">
      <c r="A256" s="92" t="n">
        <v>255</v>
      </c>
      <c r="B256" s="92" t="inlineStr">
        <is>
          <t>055-42-04-011.02</t>
        </is>
      </c>
      <c r="C256" s="92" t="inlineStr">
        <is>
          <t>112 E 30TH ST</t>
        </is>
      </c>
      <c r="D256" s="92" t="inlineStr">
        <is>
          <t>RESTAURANT EL CHAPIN LLC</t>
        </is>
      </c>
      <c r="E256" s="92" t="inlineStr">
        <is>
          <t>112 E 30TH ST</t>
        </is>
      </c>
      <c r="F256" s="92" t="inlineStr">
        <is>
          <t>COVINGTON</t>
        </is>
      </c>
      <c r="G256" s="92" t="inlineStr">
        <is>
          <t>KY</t>
        </is>
      </c>
      <c r="H256" s="92" t="inlineStr">
        <is>
          <t>RESTAURANT CAFE/BAR</t>
        </is>
      </c>
      <c r="I256" s="93" t="n">
        <v>12175</v>
      </c>
      <c r="J256" s="94">
        <f>I256/43560</f>
        <v/>
      </c>
      <c r="K256" s="93" t="n">
        <v>443.5</v>
      </c>
      <c r="L256" s="95">
        <f>I256/(K256^2)</f>
        <v/>
      </c>
      <c r="M256" s="92" t="inlineStr">
        <is>
          <t>Marginal 10-14k/45-60k</t>
        </is>
      </c>
      <c r="N256" s="92" t="inlineStr">
        <is>
          <t>C</t>
        </is>
      </c>
      <c r="O256" s="92" t="inlineStr">
        <is>
          <t>Compact &gt;=.055</t>
        </is>
      </c>
      <c r="P256" s="92" t="inlineStr">
        <is>
          <t>Low</t>
        </is>
      </c>
      <c r="Q256" s="92" t="inlineStr">
        <is>
          <t>Owner-occupied</t>
        </is>
      </c>
      <c r="R256" s="92" t="inlineStr">
        <is>
          <t>Operating entity</t>
        </is>
      </c>
      <c r="S256" s="92" t="n">
        <v>3</v>
      </c>
      <c r="T256" s="96">
        <f>INDEX('Scoring Method'!$B$6:$B$9,MATCH(M256,'Scoring Method'!$A$6:$A$9,0))+INDEX('Scoring Method'!$B$12:$B$16,MATCH(N256,'Scoring Method'!$A$12:$A$16,0))+INDEX('Scoring Method'!$B$19:$B$22,MATCH(O256,'Scoring Method'!$A$19:$A$22,0))+INDEX('Scoring Method'!$B$25:$B$27,MATCH(P256,'Scoring Method'!$A$25:$A$27,0))</f>
        <v/>
      </c>
      <c r="U256" s="96">
        <f>(INDEX('Scoring Method'!$B$30:$B$33,MATCH(Q256,'Scoring Method'!$A$30:$A$33,0))+INDEX('Scoring Method'!$B$36:$B$42,MATCH(R256,'Scoring Method'!$A$36:$A$42,0))+INDEX('Scoring Method'!$B$45:$B$47,MATCH(IF(S256=1,"1",IF(S256=2,"2","3+")),'Scoring Method'!$A$45:$A$47,0)))/90*100</f>
        <v/>
      </c>
      <c r="V256" s="96">
        <f>T256*U256/100</f>
        <v/>
      </c>
      <c r="W256" s="93" t="n">
        <v>3080</v>
      </c>
      <c r="X256" s="92" t="inlineStr">
        <is>
          <t>X shaded (0.2%)</t>
        </is>
      </c>
      <c r="Y256" s="93" t="n">
        <v>8425</v>
      </c>
      <c r="Z256" s="97" t="n"/>
      <c r="AA256" s="98">
        <f>MAX(0,(Y256-5000)/300)</f>
        <v/>
      </c>
      <c r="AB256" s="92" t="n"/>
      <c r="AC256" s="92" t="n"/>
      <c r="AD256" s="92" t="n"/>
      <c r="AE256" s="92" t="inlineStr">
        <is>
          <t>Above 2.5-4k</t>
        </is>
      </c>
      <c r="AF256" s="96">
        <f>INDEX('Scoring Method'!$B$63:$B$71,MATCH(AE256,'Scoring Method'!$A$63:$A$71,0))+INDEX('Scoring Method'!$B$75:$B$79,MATCH("Good 8-15k",'Scoring Method'!$A$75:$A$79,0))+INDEX('Scoring Method'!$B$343:$B$347,MATCH(X256,'Scoring Method'!$A$343:$A$347,0))+INDEX('Scoring Method'!$B$25:$B$27,MATCH(P256,'Scoring Method'!$A$25:$A$27,0))</f>
        <v/>
      </c>
      <c r="AG256" s="96">
        <f>AF256*U256/100</f>
        <v/>
      </c>
      <c r="AH256" s="92" t="inlineStr">
        <is>
          <t>LINK-GIS + LoopNet (2026-08-03)</t>
        </is>
      </c>
      <c r="AI256" s="99" t="n">
        <v>39.05465</v>
      </c>
      <c r="AJ256" s="99" t="n">
        <v>-84.50199000000001</v>
      </c>
      <c r="AK256" s="94" t="n">
        <v>2.22</v>
      </c>
      <c r="AL256" s="94" t="n">
        <v>2.52</v>
      </c>
      <c r="AM256" s="94" t="n">
        <v>3.28</v>
      </c>
      <c r="AN256" s="94" t="n">
        <v>2.08</v>
      </c>
      <c r="AO256" s="92" t="inlineStr">
        <is>
          <t>Distant 2-3mi</t>
        </is>
      </c>
      <c r="AP256" s="92" t="inlineStr">
        <is>
          <t>Built-out kitchen</t>
        </is>
      </c>
      <c r="AQ256" s="92" t="inlineStr">
        <is>
          <t>Good 8-15k</t>
        </is>
      </c>
      <c r="AR256" s="100" t="n"/>
      <c r="AS256" s="96">
        <f>ROUND(INDEX('Scoring Method'!$B$63:$B$70,MATCH(AE256,'Scoring Method'!$A$63:$A$70,0))*0.625+INDEX('Scoring Method'!$B$105:$B$113,MATCH(AP256,'Scoring Method'!$A$105:$A$113,0))+INDEX('Scoring Method'!$B$74:$B$78,MATCH(AQ256,'Scoring Method'!$A$74:$A$78,0))*0.6667+INDEX('Scoring Method'!$B$96:$B$101,MATCH(AO256,'Scoring Method'!$A$96:$A$101,0))+INDEX('Scoring Method'!$B$343:$B$347,MATCH(X256,'Scoring Method'!$A$343:$A$347,0))*0.3333+INDEX('Scoring Method'!$B$25:$B$27,MATCH(P256,'Scoring Method'!$A$25:$A$27,0))*0.3333,1)</f>
        <v/>
      </c>
      <c r="AT256" s="96">
        <f>AS256*U256/100</f>
        <v/>
      </c>
      <c r="AU256" s="92" t="inlineStr">
        <is>
          <t>Latonia</t>
        </is>
      </c>
      <c r="AV256" s="92" t="n">
        <v>78</v>
      </c>
      <c r="AW256" s="92" t="inlineStr">
        <is>
          <t>Sourced</t>
        </is>
      </c>
      <c r="AX256" s="92" t="inlineStr">
        <is>
          <t>Safe 70-79</t>
        </is>
      </c>
      <c r="AY256" s="96">
        <f>ROUND(INDEX('Scoring Method'!$B$132:$B$140,MATCH(AE256,'Scoring Method'!$A$132:$A$140,0))+INDEX('Scoring Method'!$B$144:$B$152,MATCH(AP256,'Scoring Method'!$A$144:$A$152,0))+INDEX('Scoring Method'!$B$156:$B$160,MATCH(AQ256,'Scoring Method'!$A$156:$A$160,0))+INDEX('Scoring Method'!$B$164:$B$169,MATCH(AO256,'Scoring Method'!$A$164:$A$169,0))+INDEX('Scoring Method'!$B$173:$B$178,MATCH(AX256,'Scoring Method'!$A$173:$A$178,0))+INDEX('Scoring Method'!$B$349:$B$353,MATCH(X256,'Scoring Method'!$A$349:$A$353,0))+INDEX('Scoring Method'!$B$188:$B$190,MATCH(P256,'Scoring Method'!$A$188:$A$190,0)),1)</f>
        <v/>
      </c>
      <c r="AZ256" s="96">
        <f>AY256*U256/100</f>
        <v/>
      </c>
      <c r="BA256" s="92" t="inlineStr">
        <is>
          <t>Owner-occupied operator</t>
        </is>
      </c>
      <c r="BB256" s="94" t="n">
        <v>0.8</v>
      </c>
      <c r="BC256" s="102" t="inlineStr">
        <is>
          <t>Small 0.25-0.35 AC</t>
        </is>
      </c>
      <c r="BD256" s="94" t="n">
        <v>0.9</v>
      </c>
      <c r="BE256" s="96">
        <f>ROUND(INDEX('Scoring Method'!$B$268:$B$276,MATCH(AE256,'Scoring Method'!$A$268:$A$276,0))+INDEX('Scoring Method'!$B$280:$B$288,MATCH(AP256,'Scoring Method'!$A$280:$A$288,0))+INDEX('Scoring Method'!$B$292:$B$296,MATCH(AQ256,'Scoring Method'!$A$292:$A$296,0))+INDEX('Scoring Method'!$B$300:$B$305,MATCH(AO256,'Scoring Method'!$A$300:$A$305,0))+INDEX('Scoring Method'!$B$309:$B$314,MATCH(AX256,'Scoring Method'!$A$309:$A$314,0))+INDEX('Scoring Method'!$B$337:$B$341,MATCH(X256,'Scoring Method'!$A$337:$A$341,0))+INDEX('Scoring Method'!$B$324:$B$326,MATCH(P256,'Scoring Method'!$A$324:$A$326,0)),1)</f>
        <v/>
      </c>
      <c r="BF256" s="96">
        <f>ROUND(INDEX('Scoring Method'!$B$268:$B$276,MATCH(AE256,'Scoring Method'!$A$268:$A$276,0))*BB256*BD256+INDEX('Scoring Method'!$B$280:$B$288,MATCH(AP256,'Scoring Method'!$A$280:$A$288,0))*BM256*BB256*BD256+INDEX('Scoring Method'!$B$292:$B$296,MATCH(AQ256,'Scoring Method'!$A$292:$A$296,0))*BD256+INDEX('Scoring Method'!$B$300:$B$305,MATCH(AO256,'Scoring Method'!$A$300:$A$305,0))*BM256*BB256+INDEX('Scoring Method'!$B$309:$B$314,MATCH(AX256,'Scoring Method'!$A$309:$A$314,0))+INDEX('Scoring Method'!$B$337:$B$341,MATCH(X256,'Scoring Method'!$A$337:$A$341,0))+INDEX('Scoring Method'!$B$324:$B$326,MATCH(P256,'Scoring Method'!$A$324:$A$326,0)),1)</f>
        <v/>
      </c>
      <c r="BG256" s="92" t="inlineStr">
        <is>
          <t>Fits (~$2,823/mo)</t>
        </is>
      </c>
      <c r="BH256" s="61" t="inlineStr">
        <is>
          <t>AUC</t>
        </is>
      </c>
      <c r="BI256" s="61" t="inlineStr">
        <is>
          <t>Auto-Urban Commercial</t>
        </is>
      </c>
      <c r="BJ256" s="61" t="inlineStr"/>
      <c r="BK256" s="61" t="inlineStr"/>
      <c r="BL256" s="61" t="inlineStr">
        <is>
          <t>Bar permitted</t>
        </is>
      </c>
      <c r="BM256" s="61">
        <f>INDEX('Scoring Method'!$B$358:$B$363,MATCH(BL256,'Scoring Method'!$A$358:$A$363,0))</f>
        <v/>
      </c>
    </row>
    <row r="257" ht="15" customHeight="1" s="62">
      <c r="A257" s="92" t="n">
        <v>256</v>
      </c>
      <c r="B257" s="92" t="inlineStr">
        <is>
          <t>054-21-21-002.00</t>
        </is>
      </c>
      <c r="C257" s="92" t="inlineStr">
        <is>
          <t>501-05 MADISON AVE</t>
        </is>
      </c>
      <c r="D257" s="92" t="inlineStr">
        <is>
          <t>G &amp; C PROPERTIES LLC</t>
        </is>
      </c>
      <c r="E257" s="92" t="inlineStr">
        <is>
          <t>5 W 5TH ST</t>
        </is>
      </c>
      <c r="F257" s="92" t="inlineStr">
        <is>
          <t>COVINGTON</t>
        </is>
      </c>
      <c r="G257" s="92" t="inlineStr">
        <is>
          <t>KY</t>
        </is>
      </c>
      <c r="H257" s="92" t="inlineStr">
        <is>
          <t>OFFICE TOWER - 3 STORY &amp; UP</t>
        </is>
      </c>
      <c r="I257" s="93" t="n">
        <v>13541</v>
      </c>
      <c r="J257" s="94">
        <f>I257/43560</f>
        <v/>
      </c>
      <c r="K257" s="93" t="n">
        <v>522</v>
      </c>
      <c r="L257" s="95">
        <f>I257/(K257^2)</f>
        <v/>
      </c>
      <c r="M257" s="92" t="inlineStr">
        <is>
          <t>Marginal 10-14k/45-60k</t>
        </is>
      </c>
      <c r="N257" s="92" t="inlineStr">
        <is>
          <t>E</t>
        </is>
      </c>
      <c r="O257" s="92" t="inlineStr">
        <is>
          <t>Regular .045-.055</t>
        </is>
      </c>
      <c r="P257" s="92" t="inlineStr">
        <is>
          <t>Low</t>
        </is>
      </c>
      <c r="Q257" s="92" t="inlineStr">
        <is>
          <t>Local absentee</t>
        </is>
      </c>
      <c r="R257" s="92" t="inlineStr">
        <is>
          <t>Passive vehicle</t>
        </is>
      </c>
      <c r="S257" s="92" t="n">
        <v>1</v>
      </c>
      <c r="T257" s="96">
        <f>INDEX('Scoring Method'!$B$6:$B$9,MATCH(M257,'Scoring Method'!$A$6:$A$9,0))+INDEX('Scoring Method'!$B$12:$B$16,MATCH(N257,'Scoring Method'!$A$12:$A$16,0))+INDEX('Scoring Method'!$B$19:$B$22,MATCH(O257,'Scoring Method'!$A$19:$A$22,0))+INDEX('Scoring Method'!$B$25:$B$27,MATCH(P257,'Scoring Method'!$A$25:$A$27,0))</f>
        <v/>
      </c>
      <c r="U257" s="96">
        <f>(INDEX('Scoring Method'!$B$30:$B$33,MATCH(Q257,'Scoring Method'!$A$30:$A$33,0))+INDEX('Scoring Method'!$B$36:$B$42,MATCH(R257,'Scoring Method'!$A$36:$A$42,0))+INDEX('Scoring Method'!$B$45:$B$47,MATCH(IF(S257=1,"1",IF(S257=2,"2","3+")),'Scoring Method'!$A$45:$A$47,0)))/90*100</f>
        <v/>
      </c>
      <c r="V257" s="96">
        <f>T257*U257/100</f>
        <v/>
      </c>
      <c r="W257" s="93" t="n">
        <v>6066</v>
      </c>
      <c r="X257" s="92" t="inlineStr">
        <is>
          <t>X (minimal hazard)</t>
        </is>
      </c>
      <c r="Y257" s="93" t="n">
        <v>6800</v>
      </c>
      <c r="Z257" s="97" t="n"/>
      <c r="AA257" s="98">
        <f>MAX(0,(Y257-5000)/300)</f>
        <v/>
      </c>
      <c r="AB257" s="92" t="n"/>
      <c r="AC257" s="92" t="n"/>
      <c r="AD257" s="92" t="n"/>
      <c r="AE257" s="92" t="inlineStr">
        <is>
          <t>Office tower 3+ storey</t>
        </is>
      </c>
      <c r="AF257" s="96">
        <f>INDEX('Scoring Method'!$B$63:$B$71,MATCH(AE257,'Scoring Method'!$A$63:$A$71,0))+INDEX('Scoring Method'!$B$75:$B$79,MATCH("Adequate 5-8k",'Scoring Method'!$A$75:$A$79,0))+INDEX('Scoring Method'!$B$343:$B$347,MATCH(X257,'Scoring Method'!$A$343:$A$347,0))+INDEX('Scoring Method'!$B$25:$B$27,MATCH(P257,'Scoring Method'!$A$25:$A$27,0))</f>
        <v/>
      </c>
      <c r="AG257" s="96">
        <f>AF257*U257/100</f>
        <v/>
      </c>
      <c r="AH257" s="92" t="inlineStr">
        <is>
          <t>LINK-GIS only</t>
        </is>
      </c>
      <c r="AI257" s="99" t="n">
        <v>39.08559</v>
      </c>
      <c r="AJ257" s="99" t="n">
        <v>-84.51107</v>
      </c>
      <c r="AK257" s="94" t="n">
        <v>0.37</v>
      </c>
      <c r="AL257" s="94" t="n">
        <v>0.39</v>
      </c>
      <c r="AM257" s="94" t="n">
        <v>1.1</v>
      </c>
      <c r="AN257" s="94" t="n">
        <v>0.11</v>
      </c>
      <c r="AO257" s="92" t="inlineStr">
        <is>
          <t>Core &lt;=0.35mi</t>
        </is>
      </c>
      <c r="AP257" s="92" t="inlineStr">
        <is>
          <t>Office tower 3+ storey</t>
        </is>
      </c>
      <c r="AQ257" s="92" t="inlineStr">
        <is>
          <t>Adequate 5-8k</t>
        </is>
      </c>
      <c r="AR257" s="100" t="n"/>
      <c r="AS257" s="96">
        <f>ROUND(INDEX('Scoring Method'!$B$63:$B$70,MATCH(AE257,'Scoring Method'!$A$63:$A$70,0))*0.625+INDEX('Scoring Method'!$B$105:$B$113,MATCH(AP257,'Scoring Method'!$A$105:$A$113,0))+INDEX('Scoring Method'!$B$74:$B$78,MATCH(AQ257,'Scoring Method'!$A$74:$A$78,0))*0.6667+INDEX('Scoring Method'!$B$96:$B$101,MATCH(AO257,'Scoring Method'!$A$96:$A$101,0))+INDEX('Scoring Method'!$B$343:$B$347,MATCH(X257,'Scoring Method'!$A$343:$A$347,0))*0.3333+INDEX('Scoring Method'!$B$25:$B$27,MATCH(P257,'Scoring Method'!$A$25:$A$27,0))*0.3333,1)</f>
        <v/>
      </c>
      <c r="AT257" s="96">
        <f>AS257*U257/100</f>
        <v/>
      </c>
      <c r="AU257" s="92" t="inlineStr">
        <is>
          <t>Central Business District</t>
        </is>
      </c>
      <c r="AV257" s="92" t="n">
        <v>48</v>
      </c>
      <c r="AW257" s="101" t="inlineStr">
        <is>
          <t>ESTIMATED</t>
        </is>
      </c>
      <c r="AX257" s="92" t="inlineStr">
        <is>
          <t>Mixed 45-59</t>
        </is>
      </c>
      <c r="AY257" s="96">
        <f>ROUND(INDEX('Scoring Method'!$B$132:$B$140,MATCH(AE257,'Scoring Method'!$A$132:$A$140,0))+INDEX('Scoring Method'!$B$144:$B$152,MATCH(AP257,'Scoring Method'!$A$144:$A$152,0))+INDEX('Scoring Method'!$B$156:$B$160,MATCH(AQ257,'Scoring Method'!$A$156:$A$160,0))+INDEX('Scoring Method'!$B$164:$B$169,MATCH(AO257,'Scoring Method'!$A$164:$A$169,0))+INDEX('Scoring Method'!$B$173:$B$178,MATCH(AX257,'Scoring Method'!$A$173:$A$178,0))+INDEX('Scoring Method'!$B$349:$B$353,MATCH(X257,'Scoring Method'!$A$349:$A$353,0))+INDEX('Scoring Method'!$B$188:$B$190,MATCH(P257,'Scoring Method'!$A$188:$A$190,0)),1)</f>
        <v/>
      </c>
      <c r="AZ257" s="96">
        <f>AY257*U257/100</f>
        <v/>
      </c>
      <c r="BA257" s="92" t="inlineStr">
        <is>
          <t>No chain signal</t>
        </is>
      </c>
      <c r="BB257" s="94" t="n">
        <v>1</v>
      </c>
      <c r="BC257" s="102" t="inlineStr">
        <is>
          <t>Small 0.25-0.35 AC</t>
        </is>
      </c>
      <c r="BD257" s="94" t="n">
        <v>0.9</v>
      </c>
      <c r="BE257" s="96">
        <f>ROUND(INDEX('Scoring Method'!$B$268:$B$276,MATCH(AE257,'Scoring Method'!$A$268:$A$276,0))+INDEX('Scoring Method'!$B$280:$B$288,MATCH(AP257,'Scoring Method'!$A$280:$A$288,0))+INDEX('Scoring Method'!$B$292:$B$296,MATCH(AQ257,'Scoring Method'!$A$292:$A$296,0))+INDEX('Scoring Method'!$B$300:$B$305,MATCH(AO257,'Scoring Method'!$A$300:$A$305,0))+INDEX('Scoring Method'!$B$309:$B$314,MATCH(AX257,'Scoring Method'!$A$309:$A$314,0))+INDEX('Scoring Method'!$B$337:$B$341,MATCH(X257,'Scoring Method'!$A$337:$A$341,0))+INDEX('Scoring Method'!$B$324:$B$326,MATCH(P257,'Scoring Method'!$A$324:$A$326,0)),1)</f>
        <v/>
      </c>
      <c r="BF257" s="96">
        <f>ROUND(INDEX('Scoring Method'!$B$268:$B$276,MATCH(AE257,'Scoring Method'!$A$268:$A$276,0))*BB257*BD257+INDEX('Scoring Method'!$B$280:$B$288,MATCH(AP257,'Scoring Method'!$A$280:$A$288,0))*BM257*BB257*BD257+INDEX('Scoring Method'!$B$292:$B$296,MATCH(AQ257,'Scoring Method'!$A$292:$A$296,0))*BD257+INDEX('Scoring Method'!$B$300:$B$305,MATCH(AO257,'Scoring Method'!$A$300:$A$305,0))*BM257*BB257+INDEX('Scoring Method'!$B$309:$B$314,MATCH(AX257,'Scoring Method'!$A$309:$A$314,0))+INDEX('Scoring Method'!$B$337:$B$341,MATCH(X257,'Scoring Method'!$A$337:$A$341,0))+INDEX('Scoring Method'!$B$324:$B$326,MATCH(P257,'Scoring Method'!$A$324:$A$326,0)),1)</f>
        <v/>
      </c>
      <c r="BG257" s="92" t="inlineStr">
        <is>
          <t>Fits (~$5,560/mo)</t>
        </is>
      </c>
      <c r="BH257" s="61" t="inlineStr">
        <is>
          <t>DTC (HP)</t>
        </is>
      </c>
      <c r="BI257" s="61" t="inlineStr">
        <is>
          <t>Downtown Core</t>
        </is>
      </c>
      <c r="BJ257" s="61" t="inlineStr">
        <is>
          <t>HP</t>
        </is>
      </c>
      <c r="BK257" s="61" t="inlineStr"/>
      <c r="BL257" s="61" t="inlineStr">
        <is>
          <t>Bar permitted</t>
        </is>
      </c>
      <c r="BM257" s="61">
        <f>INDEX('Scoring Method'!$B$358:$B$363,MATCH(BL257,'Scoring Method'!$A$358:$A$363,0))</f>
        <v/>
      </c>
    </row>
    <row r="258" ht="15" customHeight="1" s="62">
      <c r="A258" s="92" t="n">
        <v>257</v>
      </c>
      <c r="B258" s="92" t="inlineStr">
        <is>
          <t>054-12-01-001.00</t>
        </is>
      </c>
      <c r="C258" s="92" t="inlineStr">
        <is>
          <t>320 W 3RD ST</t>
        </is>
      </c>
      <c r="D258" s="92" t="inlineStr">
        <is>
          <t>COVINGTON THIRD STREET</t>
        </is>
      </c>
      <c r="E258" s="92" t="inlineStr">
        <is>
          <t>7920 KENTUCKY DR</t>
        </is>
      </c>
      <c r="F258" s="92" t="inlineStr">
        <is>
          <t>FLORENCE</t>
        </is>
      </c>
      <c r="G258" s="92" t="inlineStr">
        <is>
          <t>KY</t>
        </is>
      </c>
      <c r="H258" s="92" t="inlineStr">
        <is>
          <t>MFG/ASSEMBLY 20001-100000 SF</t>
        </is>
      </c>
      <c r="I258" s="93" t="n">
        <v>77121</v>
      </c>
      <c r="J258" s="94">
        <f>I258/43560</f>
        <v/>
      </c>
      <c r="K258" s="93" t="n">
        <v>1120.3</v>
      </c>
      <c r="L258" s="95">
        <f>I258/(K258^2)</f>
        <v/>
      </c>
      <c r="M258" s="92" t="inlineStr">
        <is>
          <t>Poor &lt;10k/&gt;60k</t>
        </is>
      </c>
      <c r="N258" s="92" t="inlineStr">
        <is>
          <t>E</t>
        </is>
      </c>
      <c r="O258" s="92" t="inlineStr">
        <is>
          <t>Compact &gt;=.055</t>
        </is>
      </c>
      <c r="P258" s="92" t="inlineStr">
        <is>
          <t>Moderate</t>
        </is>
      </c>
      <c r="Q258" s="92" t="inlineStr">
        <is>
          <t>Out-of-city KY</t>
        </is>
      </c>
      <c r="R258" s="92" t="inlineStr">
        <is>
          <t>Individual</t>
        </is>
      </c>
      <c r="S258" s="92" t="n">
        <v>1</v>
      </c>
      <c r="T258" s="96">
        <f>INDEX('Scoring Method'!$B$6:$B$9,MATCH(M258,'Scoring Method'!$A$6:$A$9,0))+INDEX('Scoring Method'!$B$12:$B$16,MATCH(N258,'Scoring Method'!$A$12:$A$16,0))+INDEX('Scoring Method'!$B$19:$B$22,MATCH(O258,'Scoring Method'!$A$19:$A$22,0))+INDEX('Scoring Method'!$B$25:$B$27,MATCH(P258,'Scoring Method'!$A$25:$A$27,0))</f>
        <v/>
      </c>
      <c r="U258" s="96">
        <f>(INDEX('Scoring Method'!$B$30:$B$33,MATCH(Q258,'Scoring Method'!$A$30:$A$33,0))+INDEX('Scoring Method'!$B$36:$B$42,MATCH(R258,'Scoring Method'!$A$36:$A$42,0))+INDEX('Scoring Method'!$B$45:$B$47,MATCH(IF(S258=1,"1",IF(S258=2,"2","3+")),'Scoring Method'!$A$45:$A$47,0)))/90*100</f>
        <v/>
      </c>
      <c r="V258" s="96">
        <f>T258*U258/100</f>
        <v/>
      </c>
      <c r="W258" s="93" t="n">
        <v>36358</v>
      </c>
      <c r="X258" s="92" t="inlineStr">
        <is>
          <t>X (levee-protected)</t>
        </is>
      </c>
      <c r="Y258" s="93" t="n">
        <v>24425</v>
      </c>
      <c r="Z258" s="97">
        <f>W258/I258</f>
        <v/>
      </c>
      <c r="AA258" s="98">
        <f>MAX(0,(Y258-5000)/300)</f>
        <v/>
      </c>
      <c r="AB258" s="92" t="n"/>
      <c r="AC258" s="92" t="n">
        <v>1.5</v>
      </c>
      <c r="AD258" s="92" t="inlineStr">
        <is>
          <t>ok</t>
        </is>
      </c>
      <c r="AE258" s="92" t="inlineStr">
        <is>
          <t>Far oversize &gt;12k</t>
        </is>
      </c>
      <c r="AF258" s="96">
        <f>INDEX('Scoring Method'!$B$63:$B$71,MATCH(AE258,'Scoring Method'!$A$63:$A$71,0))+INDEX('Scoring Method'!$B$75:$B$79,MATCH("Ample &gt;=15k",'Scoring Method'!$A$75:$A$79,0))+INDEX('Scoring Method'!$B$343:$B$347,MATCH(X258,'Scoring Method'!$A$343:$A$347,0))+INDEX('Scoring Method'!$B$25:$B$27,MATCH(P258,'Scoring Method'!$A$25:$A$27,0))</f>
        <v/>
      </c>
      <c r="AG258" s="96">
        <f>AF258*U258/100</f>
        <v/>
      </c>
      <c r="AH258" s="92" t="inlineStr">
        <is>
          <t>LINK-GIS + LoopNet</t>
        </is>
      </c>
      <c r="AI258" s="99" t="n">
        <v>39.08813</v>
      </c>
      <c r="AJ258" s="99" t="n">
        <v>-84.51682</v>
      </c>
      <c r="AK258" s="94" t="n">
        <v>0.26</v>
      </c>
      <c r="AL258" s="94" t="n">
        <v>0.49</v>
      </c>
      <c r="AM258" s="94" t="n">
        <v>0.95</v>
      </c>
      <c r="AN258" s="94" t="n">
        <v>0.15</v>
      </c>
      <c r="AO258" s="92" t="inlineStr">
        <is>
          <t>Core &lt;=0.35mi</t>
        </is>
      </c>
      <c r="AP258" s="92" t="inlineStr">
        <is>
          <t>Open span</t>
        </is>
      </c>
      <c r="AQ258" s="92" t="inlineStr">
        <is>
          <t>Ample &gt;=15k</t>
        </is>
      </c>
      <c r="AR258" s="100" t="n"/>
      <c r="AS258" s="96">
        <f>ROUND(INDEX('Scoring Method'!$B$63:$B$70,MATCH(AE258,'Scoring Method'!$A$63:$A$70,0))*0.625+INDEX('Scoring Method'!$B$105:$B$113,MATCH(AP258,'Scoring Method'!$A$105:$A$113,0))+INDEX('Scoring Method'!$B$74:$B$78,MATCH(AQ258,'Scoring Method'!$A$74:$A$78,0))*0.6667+INDEX('Scoring Method'!$B$96:$B$101,MATCH(AO258,'Scoring Method'!$A$96:$A$101,0))+INDEX('Scoring Method'!$B$343:$B$347,MATCH(X258,'Scoring Method'!$A$343:$A$347,0))*0.3333+INDEX('Scoring Method'!$B$25:$B$27,MATCH(P258,'Scoring Method'!$A$25:$A$27,0))*0.3333,1)</f>
        <v/>
      </c>
      <c r="AT258" s="96">
        <f>AS258*U258/100</f>
        <v/>
      </c>
      <c r="AU258" s="92" t="inlineStr">
        <is>
          <t>Botany Hills / Riverfront West</t>
        </is>
      </c>
      <c r="AV258" s="92" t="n">
        <v>45</v>
      </c>
      <c r="AW258" s="101" t="inlineStr">
        <is>
          <t>ESTIMATED</t>
        </is>
      </c>
      <c r="AX258" s="92" t="inlineStr">
        <is>
          <t>Mixed 45-59</t>
        </is>
      </c>
      <c r="AY258" s="96">
        <f>ROUND(INDEX('Scoring Method'!$B$132:$B$140,MATCH(AE258,'Scoring Method'!$A$132:$A$140,0))+INDEX('Scoring Method'!$B$144:$B$152,MATCH(AP258,'Scoring Method'!$A$144:$A$152,0))+INDEX('Scoring Method'!$B$156:$B$160,MATCH(AQ258,'Scoring Method'!$A$156:$A$160,0))+INDEX('Scoring Method'!$B$164:$B$169,MATCH(AO258,'Scoring Method'!$A$164:$A$169,0))+INDEX('Scoring Method'!$B$173:$B$178,MATCH(AX258,'Scoring Method'!$A$173:$A$178,0))+INDEX('Scoring Method'!$B$349:$B$353,MATCH(X258,'Scoring Method'!$A$349:$A$353,0))+INDEX('Scoring Method'!$B$188:$B$190,MATCH(P258,'Scoring Method'!$A$188:$A$190,0)),1)</f>
        <v/>
      </c>
      <c r="AZ258" s="96">
        <f>AY258*U258/100</f>
        <v/>
      </c>
      <c r="BA258" s="92" t="inlineStr">
        <is>
          <t>No chain signal</t>
        </is>
      </c>
      <c r="BB258" s="94" t="n">
        <v>1</v>
      </c>
      <c r="BC258" s="103" t="inlineStr">
        <is>
          <t>Oversized &gt;1.25 AC</t>
        </is>
      </c>
      <c r="BD258" s="94" t="n">
        <v>0.65</v>
      </c>
      <c r="BE258" s="96">
        <f>ROUND(INDEX('Scoring Method'!$B$268:$B$276,MATCH(AE258,'Scoring Method'!$A$268:$A$276,0))+INDEX('Scoring Method'!$B$280:$B$288,MATCH(AP258,'Scoring Method'!$A$280:$A$288,0))+INDEX('Scoring Method'!$B$292:$B$296,MATCH(AQ258,'Scoring Method'!$A$292:$A$296,0))+INDEX('Scoring Method'!$B$300:$B$305,MATCH(AO258,'Scoring Method'!$A$300:$A$305,0))+INDEX('Scoring Method'!$B$309:$B$314,MATCH(AX258,'Scoring Method'!$A$309:$A$314,0))+INDEX('Scoring Method'!$B$337:$B$341,MATCH(X258,'Scoring Method'!$A$337:$A$341,0))+INDEX('Scoring Method'!$B$324:$B$326,MATCH(P258,'Scoring Method'!$A$324:$A$326,0)),1)</f>
        <v/>
      </c>
      <c r="BF258" s="96">
        <f>ROUND(INDEX('Scoring Method'!$B$268:$B$276,MATCH(AE258,'Scoring Method'!$A$268:$A$276,0))*BB258*BD258+INDEX('Scoring Method'!$B$280:$B$288,MATCH(AP258,'Scoring Method'!$A$280:$A$288,0))*BM258*BB258*BD258+INDEX('Scoring Method'!$B$292:$B$296,MATCH(AQ258,'Scoring Method'!$A$292:$A$296,0))*BD258+INDEX('Scoring Method'!$B$300:$B$305,MATCH(AO258,'Scoring Method'!$A$300:$A$305,0))*BM258*BB258+INDEX('Scoring Method'!$B$309:$B$314,MATCH(AX258,'Scoring Method'!$A$309:$A$314,0))+INDEX('Scoring Method'!$B$337:$B$341,MATCH(X258,'Scoring Method'!$A$337:$A$341,0))+INDEX('Scoring Method'!$B$324:$B$326,MATCH(P258,'Scoring Method'!$A$324:$A$326,0)),1)</f>
        <v/>
      </c>
      <c r="BG258" s="102" t="inlineStr">
        <is>
          <t>Over (~$33,328/mo)</t>
        </is>
      </c>
      <c r="BH258" s="61" t="inlineStr">
        <is>
          <t>AUC</t>
        </is>
      </c>
      <c r="BI258" s="61" t="inlineStr">
        <is>
          <t>Auto-Urban Commercial</t>
        </is>
      </c>
      <c r="BJ258" s="61" t="inlineStr"/>
      <c r="BK258" s="61" t="inlineStr"/>
      <c r="BL258" s="61" t="inlineStr">
        <is>
          <t>Bar permitted</t>
        </is>
      </c>
      <c r="BM258" s="61">
        <f>INDEX('Scoring Method'!$B$358:$B$363,MATCH(BL258,'Scoring Method'!$A$358:$A$363,0))</f>
        <v/>
      </c>
    </row>
    <row r="259" ht="15" customHeight="1" s="62">
      <c r="A259" s="92" t="n">
        <v>258</v>
      </c>
      <c r="B259" s="92" t="inlineStr">
        <is>
          <t>059-20-00-073.01</t>
        </is>
      </c>
      <c r="C259" s="92" t="inlineStr">
        <is>
          <t>3488 SENOUR RD</t>
        </is>
      </c>
      <c r="D259" s="92" t="inlineStr">
        <is>
          <t>STEVES AUTO REPAIR LLC</t>
        </is>
      </c>
      <c r="E259" s="92" t="inlineStr">
        <is>
          <t>566 GARNER DR</t>
        </is>
      </c>
      <c r="F259" s="92" t="inlineStr">
        <is>
          <t>COVINGTON</t>
        </is>
      </c>
      <c r="G259" s="92" t="inlineStr">
        <is>
          <t>KY</t>
        </is>
      </c>
      <c r="H259" s="92" t="inlineStr">
        <is>
          <t>AUTO SERVICE/REPAIR</t>
        </is>
      </c>
      <c r="I259" s="93" t="n">
        <v>50473</v>
      </c>
      <c r="J259" s="94">
        <f>I259/43560</f>
        <v/>
      </c>
      <c r="K259" s="93" t="n">
        <v>960.3</v>
      </c>
      <c r="L259" s="95">
        <f>I259/(K259^2)</f>
        <v/>
      </c>
      <c r="M259" s="92" t="inlineStr">
        <is>
          <t>Marginal 10-14k/45-60k</t>
        </is>
      </c>
      <c r="N259" s="92" t="inlineStr">
        <is>
          <t>A</t>
        </is>
      </c>
      <c r="O259" s="92" t="inlineStr">
        <is>
          <t>Regular .045-.055</t>
        </is>
      </c>
      <c r="P259" s="92" t="inlineStr">
        <is>
          <t>Moderate</t>
        </is>
      </c>
      <c r="Q259" s="92" t="inlineStr">
        <is>
          <t>Local absentee</t>
        </is>
      </c>
      <c r="R259" s="92" t="inlineStr">
        <is>
          <t>Operating entity</t>
        </is>
      </c>
      <c r="S259" s="92" t="n">
        <v>1</v>
      </c>
      <c r="T259" s="96">
        <f>INDEX('Scoring Method'!$B$6:$B$9,MATCH(M259,'Scoring Method'!$A$6:$A$9,0))+INDEX('Scoring Method'!$B$12:$B$16,MATCH(N259,'Scoring Method'!$A$12:$A$16,0))+INDEX('Scoring Method'!$B$19:$B$22,MATCH(O259,'Scoring Method'!$A$19:$A$22,0))+INDEX('Scoring Method'!$B$25:$B$27,MATCH(P259,'Scoring Method'!$A$25:$A$27,0))</f>
        <v/>
      </c>
      <c r="U259" s="96">
        <f>(INDEX('Scoring Method'!$B$30:$B$33,MATCH(Q259,'Scoring Method'!$A$30:$A$33,0))+INDEX('Scoring Method'!$B$36:$B$42,MATCH(R259,'Scoring Method'!$A$36:$A$42,0))+INDEX('Scoring Method'!$B$45:$B$47,MATCH(IF(S259=1,"1",IF(S259=2,"2","3+")),'Scoring Method'!$A$45:$A$47,0)))/90*100</f>
        <v/>
      </c>
      <c r="V259" s="96">
        <f>T259*U259/100</f>
        <v/>
      </c>
      <c r="W259" s="93" t="n">
        <v>6000</v>
      </c>
      <c r="X259" s="92" t="inlineStr">
        <is>
          <t>X (minimal hazard)</t>
        </is>
      </c>
      <c r="Y259" s="93" t="n">
        <v>44600</v>
      </c>
      <c r="Z259" s="97" t="n"/>
      <c r="AA259" s="98">
        <f>MAX(0,(Y259-5000)/300)</f>
        <v/>
      </c>
      <c r="AB259" s="92" t="n"/>
      <c r="AC259" s="92" t="n"/>
      <c r="AD259" s="92" t="n"/>
      <c r="AE259" s="92" t="inlineStr">
        <is>
          <t>Large 4-6k</t>
        </is>
      </c>
      <c r="AF259" s="96">
        <f>INDEX('Scoring Method'!$B$63:$B$71,MATCH(AE259,'Scoring Method'!$A$63:$A$71,0))+INDEX('Scoring Method'!$B$75:$B$79,MATCH("Ample &gt;=15k",'Scoring Method'!$A$75:$A$79,0))+INDEX('Scoring Method'!$B$343:$B$347,MATCH(X259,'Scoring Method'!$A$343:$A$347,0))+INDEX('Scoring Method'!$B$25:$B$27,MATCH(P259,'Scoring Method'!$A$25:$A$27,0))</f>
        <v/>
      </c>
      <c r="AG259" s="96">
        <f>AF259*U259/100</f>
        <v/>
      </c>
      <c r="AH259" s="92" t="inlineStr">
        <is>
          <t>LINK-GIS + LoopNet (2026-08-02)</t>
        </is>
      </c>
      <c r="AI259" s="99" t="n">
        <v>38.97062</v>
      </c>
      <c r="AJ259" s="99" t="n">
        <v>-84.50372</v>
      </c>
      <c r="AK259" s="94" t="n">
        <v>7.9</v>
      </c>
      <c r="AL259" s="94" t="n">
        <v>8.31</v>
      </c>
      <c r="AM259" s="94" t="n">
        <v>9.06</v>
      </c>
      <c r="AN259" s="94" t="n">
        <v>7.84</v>
      </c>
      <c r="AO259" s="92" t="inlineStr">
        <is>
          <t>Remote &gt;3mi</t>
        </is>
      </c>
      <c r="AP259" s="92" t="inlineStr">
        <is>
          <t>Open span</t>
        </is>
      </c>
      <c r="AQ259" s="92" t="inlineStr">
        <is>
          <t>Ample &gt;=15k</t>
        </is>
      </c>
      <c r="AR259" s="100" t="n"/>
      <c r="AS259" s="96">
        <f>ROUND(INDEX('Scoring Method'!$B$63:$B$70,MATCH(AE259,'Scoring Method'!$A$63:$A$70,0))*0.625+INDEX('Scoring Method'!$B$105:$B$113,MATCH(AP259,'Scoring Method'!$A$105:$A$113,0))+INDEX('Scoring Method'!$B$74:$B$78,MATCH(AQ259,'Scoring Method'!$A$74:$A$78,0))*0.6667+INDEX('Scoring Method'!$B$96:$B$101,MATCH(AO259,'Scoring Method'!$A$96:$A$101,0))+INDEX('Scoring Method'!$B$343:$B$347,MATCH(X259,'Scoring Method'!$A$343:$A$347,0))*0.3333+INDEX('Scoring Method'!$B$25:$B$27,MATCH(P259,'Scoring Method'!$A$25:$A$27,0))*0.3333,1)</f>
        <v/>
      </c>
      <c r="AT259" s="96">
        <f>AS259*U259/100</f>
        <v/>
      </c>
      <c r="AU259" s="92" t="inlineStr">
        <is>
          <t>South Covington</t>
        </is>
      </c>
      <c r="AV259" s="92" t="n">
        <v>88</v>
      </c>
      <c r="AW259" s="92" t="inlineStr">
        <is>
          <t>Sourced</t>
        </is>
      </c>
      <c r="AX259" s="92" t="inlineStr">
        <is>
          <t>Very safe 80+</t>
        </is>
      </c>
      <c r="AY259" s="96">
        <f>ROUND(INDEX('Scoring Method'!$B$132:$B$140,MATCH(AE259,'Scoring Method'!$A$132:$A$140,0))+INDEX('Scoring Method'!$B$144:$B$152,MATCH(AP259,'Scoring Method'!$A$144:$A$152,0))+INDEX('Scoring Method'!$B$156:$B$160,MATCH(AQ259,'Scoring Method'!$A$156:$A$160,0))+INDEX('Scoring Method'!$B$164:$B$169,MATCH(AO259,'Scoring Method'!$A$164:$A$169,0))+INDEX('Scoring Method'!$B$173:$B$178,MATCH(AX259,'Scoring Method'!$A$173:$A$178,0))+INDEX('Scoring Method'!$B$349:$B$353,MATCH(X259,'Scoring Method'!$A$349:$A$353,0))+INDEX('Scoring Method'!$B$188:$B$190,MATCH(P259,'Scoring Method'!$A$188:$A$190,0)),1)</f>
        <v/>
      </c>
      <c r="AZ259" s="96">
        <f>AY259*U259/100</f>
        <v/>
      </c>
      <c r="BA259" s="92" t="inlineStr">
        <is>
          <t>No chain signal</t>
        </is>
      </c>
      <c r="BB259" s="94" t="n">
        <v>1</v>
      </c>
      <c r="BC259" s="102" t="inlineStr">
        <is>
          <t>Large 0.75-1.25 AC</t>
        </is>
      </c>
      <c r="BD259" s="94" t="n">
        <v>0.9</v>
      </c>
      <c r="BE259" s="96">
        <f>ROUND(INDEX('Scoring Method'!$B$268:$B$276,MATCH(AE259,'Scoring Method'!$A$268:$A$276,0))+INDEX('Scoring Method'!$B$280:$B$288,MATCH(AP259,'Scoring Method'!$A$280:$A$288,0))+INDEX('Scoring Method'!$B$292:$B$296,MATCH(AQ259,'Scoring Method'!$A$292:$A$296,0))+INDEX('Scoring Method'!$B$300:$B$305,MATCH(AO259,'Scoring Method'!$A$300:$A$305,0))+INDEX('Scoring Method'!$B$309:$B$314,MATCH(AX259,'Scoring Method'!$A$309:$A$314,0))+INDEX('Scoring Method'!$B$337:$B$341,MATCH(X259,'Scoring Method'!$A$337:$A$341,0))+INDEX('Scoring Method'!$B$324:$B$326,MATCH(P259,'Scoring Method'!$A$324:$A$326,0)),1)</f>
        <v/>
      </c>
      <c r="BF259" s="96">
        <f>ROUND(INDEX('Scoring Method'!$B$268:$B$276,MATCH(AE259,'Scoring Method'!$A$268:$A$276,0))*BB259*BD259+INDEX('Scoring Method'!$B$280:$B$288,MATCH(AP259,'Scoring Method'!$A$280:$A$288,0))*BM259*BB259*BD259+INDEX('Scoring Method'!$B$292:$B$296,MATCH(AQ259,'Scoring Method'!$A$292:$A$296,0))*BD259+INDEX('Scoring Method'!$B$300:$B$305,MATCH(AO259,'Scoring Method'!$A$300:$A$305,0))*BM259*BB259+INDEX('Scoring Method'!$B$309:$B$314,MATCH(AX259,'Scoring Method'!$A$309:$A$314,0))+INDEX('Scoring Method'!$B$337:$B$341,MATCH(X259,'Scoring Method'!$A$337:$A$341,0))+INDEX('Scoring Method'!$B$324:$B$326,MATCH(P259,'Scoring Method'!$A$324:$A$326,0)),1)</f>
        <v/>
      </c>
      <c r="BG259" s="92" t="inlineStr">
        <is>
          <t>Fits (~$5,500/mo)</t>
        </is>
      </c>
      <c r="BH259" s="61" t="inlineStr">
        <is>
          <t>CMU</t>
        </is>
      </c>
      <c r="BI259" s="61" t="inlineStr">
        <is>
          <t>Commercial Mixed Use</t>
        </is>
      </c>
      <c r="BJ259" s="61" t="inlineStr"/>
      <c r="BK259" s="61" t="inlineStr"/>
      <c r="BL259" s="61" t="inlineStr">
        <is>
          <t>Bar permitted</t>
        </is>
      </c>
      <c r="BM259" s="61">
        <f>INDEX('Scoring Method'!$B$358:$B$363,MATCH(BL259,'Scoring Method'!$A$358:$A$363,0))</f>
        <v/>
      </c>
    </row>
    <row r="260" ht="15" customHeight="1" s="62">
      <c r="A260" s="92" t="n">
        <v>259</v>
      </c>
      <c r="B260" s="92" t="inlineStr">
        <is>
          <t>054-22-13-011.00</t>
        </is>
      </c>
      <c r="C260" s="92" t="inlineStr">
        <is>
          <t>305 W PIKE ST</t>
        </is>
      </c>
      <c r="D260" s="92" t="inlineStr">
        <is>
          <t>DUPONT VENTURES LLC</t>
        </is>
      </c>
      <c r="E260" s="92" t="inlineStr">
        <is>
          <t>830 MADISON AVE</t>
        </is>
      </c>
      <c r="F260" s="92" t="inlineStr">
        <is>
          <t>COVINGTON</t>
        </is>
      </c>
      <c r="G260" s="92" t="inlineStr">
        <is>
          <t>KY</t>
        </is>
      </c>
      <c r="H260" s="92" t="inlineStr">
        <is>
          <t>RETAIL W/APARTMENTS</t>
        </is>
      </c>
      <c r="I260" s="93" t="n">
        <v>21633</v>
      </c>
      <c r="J260" s="94">
        <f>I260/43560</f>
        <v/>
      </c>
      <c r="K260" s="93" t="n">
        <v>636</v>
      </c>
      <c r="L260" s="95">
        <f>I260/(K260^2)</f>
        <v/>
      </c>
      <c r="M260" s="92" t="inlineStr">
        <is>
          <t>Ideal 18-32k</t>
        </is>
      </c>
      <c r="N260" s="92" t="inlineStr">
        <is>
          <t>E</t>
        </is>
      </c>
      <c r="O260" s="92" t="inlineStr">
        <is>
          <t>Regular .045-.055</t>
        </is>
      </c>
      <c r="P260" s="92" t="inlineStr">
        <is>
          <t>Low</t>
        </is>
      </c>
      <c r="Q260" s="92" t="inlineStr">
        <is>
          <t>Local absentee</t>
        </is>
      </c>
      <c r="R260" s="92" t="inlineStr">
        <is>
          <t>Operating entity</t>
        </is>
      </c>
      <c r="S260" s="92" t="n">
        <v>1</v>
      </c>
      <c r="T260" s="96">
        <f>INDEX('Scoring Method'!$B$6:$B$9,MATCH(M260,'Scoring Method'!$A$6:$A$9,0))+INDEX('Scoring Method'!$B$12:$B$16,MATCH(N260,'Scoring Method'!$A$12:$A$16,0))+INDEX('Scoring Method'!$B$19:$B$22,MATCH(O260,'Scoring Method'!$A$19:$A$22,0))+INDEX('Scoring Method'!$B$25:$B$27,MATCH(P260,'Scoring Method'!$A$25:$A$27,0))</f>
        <v/>
      </c>
      <c r="U260" s="96">
        <f>(INDEX('Scoring Method'!$B$30:$B$33,MATCH(Q260,'Scoring Method'!$A$30:$A$33,0))+INDEX('Scoring Method'!$B$36:$B$42,MATCH(R260,'Scoring Method'!$A$36:$A$42,0))+INDEX('Scoring Method'!$B$45:$B$47,MATCH(IF(S260=1,"1",IF(S260=2,"2","3+")),'Scoring Method'!$A$45:$A$47,0)))/90*100</f>
        <v/>
      </c>
      <c r="V260" s="96">
        <f>T260*U260/100</f>
        <v/>
      </c>
      <c r="W260" s="93" t="n">
        <v>4878</v>
      </c>
      <c r="X260" s="92" t="inlineStr">
        <is>
          <t>X (minimal hazard)</t>
        </is>
      </c>
      <c r="Y260" s="93" t="n">
        <v>7875</v>
      </c>
      <c r="Z260" s="97">
        <f>W260/I260</f>
        <v/>
      </c>
      <c r="AA260" s="98">
        <f>MAX(0,(Y260-5000)/300)</f>
        <v/>
      </c>
      <c r="AB260" s="92" t="n"/>
      <c r="AC260" s="92" t="n">
        <v>0.47</v>
      </c>
      <c r="AD260" s="92" t="inlineStr">
        <is>
          <t>ok</t>
        </is>
      </c>
      <c r="AE260" s="92" t="inlineStr">
        <is>
          <t>Large 4-6k</t>
        </is>
      </c>
      <c r="AF260" s="96">
        <f>INDEX('Scoring Method'!$B$63:$B$71,MATCH(AE260,'Scoring Method'!$A$63:$A$71,0))+INDEX('Scoring Method'!$B$75:$B$79,MATCH("Adequate 5-8k",'Scoring Method'!$A$75:$A$79,0))+INDEX('Scoring Method'!$B$343:$B$347,MATCH(X260,'Scoring Method'!$A$343:$A$347,0))+INDEX('Scoring Method'!$B$25:$B$27,MATCH(P260,'Scoring Method'!$A$25:$A$27,0))</f>
        <v/>
      </c>
      <c r="AG260" s="96">
        <f>AF260*U260/100</f>
        <v/>
      </c>
      <c r="AH260" s="92" t="inlineStr">
        <is>
          <t>LINK-GIS + LoopNet</t>
        </is>
      </c>
      <c r="AI260" s="99" t="n">
        <v>39.07981</v>
      </c>
      <c r="AJ260" s="99" t="n">
        <v>-84.51515999999999</v>
      </c>
      <c r="AK260" s="94" t="n">
        <v>0.35</v>
      </c>
      <c r="AL260" s="94" t="n">
        <v>0.85</v>
      </c>
      <c r="AM260" s="94" t="n">
        <v>1.51</v>
      </c>
      <c r="AN260" s="94" t="n">
        <v>0.35</v>
      </c>
      <c r="AO260" s="92" t="inlineStr">
        <is>
          <t>Core &lt;=0.35mi</t>
        </is>
      </c>
      <c r="AP260" s="92" t="inlineStr">
        <is>
          <t>Cellular</t>
        </is>
      </c>
      <c r="AQ260" s="92" t="inlineStr">
        <is>
          <t>Adequate 5-8k</t>
        </is>
      </c>
      <c r="AR260" s="100" t="n"/>
      <c r="AS260" s="96">
        <f>ROUND(INDEX('Scoring Method'!$B$63:$B$70,MATCH(AE260,'Scoring Method'!$A$63:$A$70,0))*0.625+INDEX('Scoring Method'!$B$105:$B$113,MATCH(AP260,'Scoring Method'!$A$105:$A$113,0))+INDEX('Scoring Method'!$B$74:$B$78,MATCH(AQ260,'Scoring Method'!$A$74:$A$78,0))*0.6667+INDEX('Scoring Method'!$B$96:$B$101,MATCH(AO260,'Scoring Method'!$A$96:$A$101,0))+INDEX('Scoring Method'!$B$343:$B$347,MATCH(X260,'Scoring Method'!$A$343:$A$347,0))*0.3333+INDEX('Scoring Method'!$B$25:$B$27,MATCH(P260,'Scoring Method'!$A$25:$A$27,0))*0.3333,1)</f>
        <v/>
      </c>
      <c r="AT260" s="96">
        <f>AS260*U260/100</f>
        <v/>
      </c>
      <c r="AU260" s="92" t="inlineStr">
        <is>
          <t>MainStrasse</t>
        </is>
      </c>
      <c r="AV260" s="92" t="n">
        <v>75</v>
      </c>
      <c r="AW260" s="92" t="inlineStr">
        <is>
          <t>Sourced</t>
        </is>
      </c>
      <c r="AX260" s="92" t="inlineStr">
        <is>
          <t>Safe 70-79</t>
        </is>
      </c>
      <c r="AY260" s="96">
        <f>ROUND(INDEX('Scoring Method'!$B$132:$B$140,MATCH(AE260,'Scoring Method'!$A$132:$A$140,0))+INDEX('Scoring Method'!$B$144:$B$152,MATCH(AP260,'Scoring Method'!$A$144:$A$152,0))+INDEX('Scoring Method'!$B$156:$B$160,MATCH(AQ260,'Scoring Method'!$A$156:$A$160,0))+INDEX('Scoring Method'!$B$164:$B$169,MATCH(AO260,'Scoring Method'!$A$164:$A$169,0))+INDEX('Scoring Method'!$B$173:$B$178,MATCH(AX260,'Scoring Method'!$A$173:$A$178,0))+INDEX('Scoring Method'!$B$349:$B$353,MATCH(X260,'Scoring Method'!$A$349:$A$353,0))+INDEX('Scoring Method'!$B$188:$B$190,MATCH(P260,'Scoring Method'!$A$188:$A$190,0)),1)</f>
        <v/>
      </c>
      <c r="AZ260" s="96">
        <f>AY260*U260/100</f>
        <v/>
      </c>
      <c r="BA260" s="92" t="inlineStr">
        <is>
          <t>No chain signal</t>
        </is>
      </c>
      <c r="BB260" s="94" t="n">
        <v>1</v>
      </c>
      <c r="BC260" s="92" t="inlineStr">
        <is>
          <t>Right-sized 0.35-0.75 AC</t>
        </is>
      </c>
      <c r="BD260" s="94" t="n">
        <v>1</v>
      </c>
      <c r="BE260" s="96">
        <f>ROUND(INDEX('Scoring Method'!$B$268:$B$276,MATCH(AE260,'Scoring Method'!$A$268:$A$276,0))+INDEX('Scoring Method'!$B$280:$B$288,MATCH(AP260,'Scoring Method'!$A$280:$A$288,0))+INDEX('Scoring Method'!$B$292:$B$296,MATCH(AQ260,'Scoring Method'!$A$292:$A$296,0))+INDEX('Scoring Method'!$B$300:$B$305,MATCH(AO260,'Scoring Method'!$A$300:$A$305,0))+INDEX('Scoring Method'!$B$309:$B$314,MATCH(AX260,'Scoring Method'!$A$309:$A$314,0))+INDEX('Scoring Method'!$B$337:$B$341,MATCH(X260,'Scoring Method'!$A$337:$A$341,0))+INDEX('Scoring Method'!$B$324:$B$326,MATCH(P260,'Scoring Method'!$A$324:$A$326,0)),1)</f>
        <v/>
      </c>
      <c r="BF260" s="96">
        <f>ROUND(INDEX('Scoring Method'!$B$268:$B$276,MATCH(AE260,'Scoring Method'!$A$268:$A$276,0))*BB260*BD260+INDEX('Scoring Method'!$B$280:$B$288,MATCH(AP260,'Scoring Method'!$A$280:$A$288,0))*BM260*BB260*BD260+INDEX('Scoring Method'!$B$292:$B$296,MATCH(AQ260,'Scoring Method'!$A$292:$A$296,0))*BD260+INDEX('Scoring Method'!$B$300:$B$305,MATCH(AO260,'Scoring Method'!$A$300:$A$305,0))*BM260*BB260+INDEX('Scoring Method'!$B$309:$B$314,MATCH(AX260,'Scoring Method'!$A$309:$A$314,0))+INDEX('Scoring Method'!$B$337:$B$341,MATCH(X260,'Scoring Method'!$A$337:$A$341,0))+INDEX('Scoring Method'!$B$324:$B$326,MATCH(P260,'Scoring Method'!$A$324:$A$326,0)),1)</f>
        <v/>
      </c>
      <c r="BG260" s="92" t="inlineStr">
        <is>
          <t>Fits (~$4,472/mo)</t>
        </is>
      </c>
      <c r="BH260" s="61" t="inlineStr">
        <is>
          <t>DTC (HP)</t>
        </is>
      </c>
      <c r="BI260" s="61" t="inlineStr">
        <is>
          <t>Downtown Core</t>
        </is>
      </c>
      <c r="BJ260" s="61" t="inlineStr">
        <is>
          <t>HP</t>
        </is>
      </c>
      <c r="BK260" s="61" t="inlineStr"/>
      <c r="BL260" s="61" t="inlineStr">
        <is>
          <t>Bar permitted</t>
        </is>
      </c>
      <c r="BM260" s="61">
        <f>INDEX('Scoring Method'!$B$358:$B$363,MATCH(BL260,'Scoring Method'!$A$358:$A$363,0))</f>
        <v/>
      </c>
    </row>
    <row r="261" ht="15" customHeight="1" s="62">
      <c r="A261" s="92" t="n">
        <v>260</v>
      </c>
      <c r="B261" s="92" t="inlineStr">
        <is>
          <t>056-14-10-006.00</t>
        </is>
      </c>
      <c r="C261" s="92" t="inlineStr">
        <is>
          <t>13 W SOUTHERN AVE</t>
        </is>
      </c>
      <c r="D261" s="92" t="inlineStr">
        <is>
          <t>RICHARDSON REALTY LLC</t>
        </is>
      </c>
      <c r="E261" s="92" t="inlineStr">
        <is>
          <t>14630 STEPHENSON RD</t>
        </is>
      </c>
      <c r="F261" s="92" t="inlineStr">
        <is>
          <t>MORNING VIEW</t>
        </is>
      </c>
      <c r="G261" s="92" t="inlineStr">
        <is>
          <t>KY</t>
        </is>
      </c>
      <c r="H261" s="92" t="inlineStr">
        <is>
          <t>RETAIL W/APARTMENTS</t>
        </is>
      </c>
      <c r="I261" s="93" t="n">
        <v>9516</v>
      </c>
      <c r="J261" s="94">
        <f>I261/43560</f>
        <v/>
      </c>
      <c r="K261" s="93" t="n">
        <v>446</v>
      </c>
      <c r="L261" s="95">
        <f>I261/(K261^2)</f>
        <v/>
      </c>
      <c r="M261" s="92" t="inlineStr">
        <is>
          <t>Poor &lt;10k/&gt;60k</t>
        </is>
      </c>
      <c r="N261" s="92" t="inlineStr">
        <is>
          <t>E</t>
        </is>
      </c>
      <c r="O261" s="92" t="inlineStr">
        <is>
          <t>Regular .045-.055</t>
        </is>
      </c>
      <c r="P261" s="92" t="inlineStr">
        <is>
          <t>Low</t>
        </is>
      </c>
      <c r="Q261" s="92" t="inlineStr">
        <is>
          <t>Out-of-city KY</t>
        </is>
      </c>
      <c r="R261" s="92" t="inlineStr">
        <is>
          <t>Passive vehicle</t>
        </is>
      </c>
      <c r="S261" s="92" t="n">
        <v>1</v>
      </c>
      <c r="T261" s="96">
        <f>INDEX('Scoring Method'!$B$6:$B$9,MATCH(M261,'Scoring Method'!$A$6:$A$9,0))+INDEX('Scoring Method'!$B$12:$B$16,MATCH(N261,'Scoring Method'!$A$12:$A$16,0))+INDEX('Scoring Method'!$B$19:$B$22,MATCH(O261,'Scoring Method'!$A$19:$A$22,0))+INDEX('Scoring Method'!$B$25:$B$27,MATCH(P261,'Scoring Method'!$A$25:$A$27,0))</f>
        <v/>
      </c>
      <c r="U261" s="96">
        <f>(INDEX('Scoring Method'!$B$30:$B$33,MATCH(Q261,'Scoring Method'!$A$30:$A$33,0))+INDEX('Scoring Method'!$B$36:$B$42,MATCH(R261,'Scoring Method'!$A$36:$A$42,0))+INDEX('Scoring Method'!$B$45:$B$47,MATCH(IF(S261=1,"1",IF(S261=2,"2","3+")),'Scoring Method'!$A$45:$A$47,0)))/90*100</f>
        <v/>
      </c>
      <c r="V261" s="96">
        <f>T261*U261/100</f>
        <v/>
      </c>
      <c r="W261" s="93" t="n">
        <v>15000</v>
      </c>
      <c r="X261" s="92" t="inlineStr">
        <is>
          <t>X (minimal hazard)</t>
        </is>
      </c>
      <c r="Y261" s="93" t="n">
        <v>0</v>
      </c>
      <c r="Z261" s="97" t="n"/>
      <c r="AA261" s="98">
        <f>MAX(0,(Y261-5000)/300)</f>
        <v/>
      </c>
      <c r="AB261" s="92" t="n"/>
      <c r="AC261" s="92" t="n"/>
      <c r="AD261" s="92" t="n"/>
      <c r="AE261" s="92" t="inlineStr">
        <is>
          <t>Far oversize &gt;12k</t>
        </is>
      </c>
      <c r="AF261" s="96">
        <f>INDEX('Scoring Method'!$B$63:$B$71,MATCH(AE261,'Scoring Method'!$A$63:$A$71,0))+INDEX('Scoring Method'!$B$75:$B$79,MATCH("Insufficient &lt;2k",'Scoring Method'!$A$75:$A$79,0))+INDEX('Scoring Method'!$B$343:$B$347,MATCH(X261,'Scoring Method'!$A$343:$A$347,0))+INDEX('Scoring Method'!$B$25:$B$27,MATCH(P261,'Scoring Method'!$A$25:$A$27,0))</f>
        <v/>
      </c>
      <c r="AG261" s="96">
        <f>AF261*U261/100</f>
        <v/>
      </c>
      <c r="AH261" s="92" t="inlineStr">
        <is>
          <t>LINK-GIS + LoopNet (2026-08-03)</t>
        </is>
      </c>
      <c r="AI261" s="99" t="n">
        <v>39.04714</v>
      </c>
      <c r="AJ261" s="99" t="n">
        <v>-84.50399</v>
      </c>
      <c r="AK261" s="94" t="n">
        <v>2.68</v>
      </c>
      <c r="AL261" s="94" t="n">
        <v>3.03</v>
      </c>
      <c r="AM261" s="94" t="n">
        <v>3.78</v>
      </c>
      <c r="AN261" s="94" t="n">
        <v>2.57</v>
      </c>
      <c r="AO261" s="92" t="inlineStr">
        <is>
          <t>Distant 2-3mi</t>
        </is>
      </c>
      <c r="AP261" s="92" t="inlineStr">
        <is>
          <t>Cellular</t>
        </is>
      </c>
      <c r="AQ261" s="92" t="inlineStr">
        <is>
          <t>Insufficient &lt;2k</t>
        </is>
      </c>
      <c r="AR261" s="100" t="n"/>
      <c r="AS261" s="96">
        <f>ROUND(INDEX('Scoring Method'!$B$63:$B$70,MATCH(AE261,'Scoring Method'!$A$63:$A$70,0))*0.625+INDEX('Scoring Method'!$B$105:$B$113,MATCH(AP261,'Scoring Method'!$A$105:$A$113,0))+INDEX('Scoring Method'!$B$74:$B$78,MATCH(AQ261,'Scoring Method'!$A$74:$A$78,0))*0.6667+INDEX('Scoring Method'!$B$96:$B$101,MATCH(AO261,'Scoring Method'!$A$96:$A$101,0))+INDEX('Scoring Method'!$B$343:$B$347,MATCH(X261,'Scoring Method'!$A$343:$A$347,0))*0.3333+INDEX('Scoring Method'!$B$25:$B$27,MATCH(P261,'Scoring Method'!$A$25:$A$27,0))*0.3333,1)</f>
        <v/>
      </c>
      <c r="AT261" s="96">
        <f>AS261*U261/100</f>
        <v/>
      </c>
      <c r="AU261" s="92" t="inlineStr">
        <is>
          <t>Latonia</t>
        </is>
      </c>
      <c r="AV261" s="92" t="n">
        <v>78</v>
      </c>
      <c r="AW261" s="92" t="inlineStr">
        <is>
          <t>Sourced</t>
        </is>
      </c>
      <c r="AX261" s="92" t="inlineStr">
        <is>
          <t>Safe 70-79</t>
        </is>
      </c>
      <c r="AY261" s="96">
        <f>ROUND(INDEX('Scoring Method'!$B$132:$B$140,MATCH(AE261,'Scoring Method'!$A$132:$A$140,0))+INDEX('Scoring Method'!$B$144:$B$152,MATCH(AP261,'Scoring Method'!$A$144:$A$152,0))+INDEX('Scoring Method'!$B$156:$B$160,MATCH(AQ261,'Scoring Method'!$A$156:$A$160,0))+INDEX('Scoring Method'!$B$164:$B$169,MATCH(AO261,'Scoring Method'!$A$164:$A$169,0))+INDEX('Scoring Method'!$B$173:$B$178,MATCH(AX261,'Scoring Method'!$A$173:$A$178,0))+INDEX('Scoring Method'!$B$349:$B$353,MATCH(X261,'Scoring Method'!$A$349:$A$353,0))+INDEX('Scoring Method'!$B$188:$B$190,MATCH(P261,'Scoring Method'!$A$188:$A$190,0)),1)</f>
        <v/>
      </c>
      <c r="AZ261" s="96">
        <f>AY261*U261/100</f>
        <v/>
      </c>
      <c r="BA261" s="92" t="inlineStr">
        <is>
          <t>No chain signal</t>
        </is>
      </c>
      <c r="BB261" s="94" t="n">
        <v>1</v>
      </c>
      <c r="BC261" s="103" t="inlineStr">
        <is>
          <t>Extra small 0.15-0.25 AC</t>
        </is>
      </c>
      <c r="BD261" s="94" t="n">
        <v>0.8</v>
      </c>
      <c r="BE261" s="96">
        <f>ROUND(INDEX('Scoring Method'!$B$268:$B$276,MATCH(AE261,'Scoring Method'!$A$268:$A$276,0))+INDEX('Scoring Method'!$B$280:$B$288,MATCH(AP261,'Scoring Method'!$A$280:$A$288,0))+INDEX('Scoring Method'!$B$292:$B$296,MATCH(AQ261,'Scoring Method'!$A$292:$A$296,0))+INDEX('Scoring Method'!$B$300:$B$305,MATCH(AO261,'Scoring Method'!$A$300:$A$305,0))+INDEX('Scoring Method'!$B$309:$B$314,MATCH(AX261,'Scoring Method'!$A$309:$A$314,0))+INDEX('Scoring Method'!$B$337:$B$341,MATCH(X261,'Scoring Method'!$A$337:$A$341,0))+INDEX('Scoring Method'!$B$324:$B$326,MATCH(P261,'Scoring Method'!$A$324:$A$326,0)),1)</f>
        <v/>
      </c>
      <c r="BF261" s="96">
        <f>ROUND(INDEX('Scoring Method'!$B$268:$B$276,MATCH(AE261,'Scoring Method'!$A$268:$A$276,0))*BB261*BD261+INDEX('Scoring Method'!$B$280:$B$288,MATCH(AP261,'Scoring Method'!$A$280:$A$288,0))*BM261*BB261*BD261+INDEX('Scoring Method'!$B$292:$B$296,MATCH(AQ261,'Scoring Method'!$A$292:$A$296,0))*BD261+INDEX('Scoring Method'!$B$300:$B$305,MATCH(AO261,'Scoring Method'!$A$300:$A$305,0))*BM261*BB261+INDEX('Scoring Method'!$B$309:$B$314,MATCH(AX261,'Scoring Method'!$A$309:$A$314,0))+INDEX('Scoring Method'!$B$337:$B$341,MATCH(X261,'Scoring Method'!$A$337:$A$341,0))+INDEX('Scoring Method'!$B$324:$B$326,MATCH(P261,'Scoring Method'!$A$324:$A$326,0)),1)</f>
        <v/>
      </c>
      <c r="BG261" s="92" t="inlineStr">
        <is>
          <t>Over (~$13,750/mo)</t>
        </is>
      </c>
      <c r="BH261" s="61" t="inlineStr">
        <is>
          <t>TUMU</t>
        </is>
      </c>
      <c r="BI261" s="61" t="inlineStr">
        <is>
          <t>Traditional Urban Mixed Use</t>
        </is>
      </c>
      <c r="BJ261" s="61" t="inlineStr"/>
      <c r="BK261" s="61" t="inlineStr"/>
      <c r="BL261" s="61" t="inlineStr">
        <is>
          <t>Bar permitted</t>
        </is>
      </c>
      <c r="BM261" s="61">
        <f>INDEX('Scoring Method'!$B$358:$B$363,MATCH(BL261,'Scoring Method'!$A$358:$A$363,0))</f>
        <v/>
      </c>
    </row>
    <row r="262" ht="15" customHeight="1" s="62">
      <c r="A262" s="92" t="n">
        <v>261</v>
      </c>
      <c r="B262" s="92" t="inlineStr">
        <is>
          <t>055-13-10-004.00</t>
        </is>
      </c>
      <c r="C262" s="92" t="inlineStr">
        <is>
          <t>1601 SCOTT ST</t>
        </is>
      </c>
      <c r="D262" s="92" t="inlineStr">
        <is>
          <t>URBAN OUTREACH</t>
        </is>
      </c>
      <c r="E262" s="92" t="inlineStr">
        <is>
          <t>4320 MICHIGAN AVE</t>
        </is>
      </c>
      <c r="F262" s="92" t="inlineStr">
        <is>
          <t>COVINGTON</t>
        </is>
      </c>
      <c r="G262" s="92" t="inlineStr">
        <is>
          <t>KY</t>
        </is>
      </c>
      <c r="H262" s="92" t="inlineStr">
        <is>
          <t>OTHER RETAIL</t>
        </is>
      </c>
      <c r="I262" s="93" t="n">
        <v>15267</v>
      </c>
      <c r="J262" s="94">
        <f>I262/43560</f>
        <v/>
      </c>
      <c r="K262" s="93" t="n">
        <v>555.2</v>
      </c>
      <c r="L262" s="95">
        <f>I262/(K262^2)</f>
        <v/>
      </c>
      <c r="M262" s="92" t="inlineStr">
        <is>
          <t>Near 14-18k/32-45k</t>
        </is>
      </c>
      <c r="N262" s="92" t="inlineStr">
        <is>
          <t>C</t>
        </is>
      </c>
      <c r="O262" s="92" t="inlineStr">
        <is>
          <t>Regular .045-.055</t>
        </is>
      </c>
      <c r="P262" s="92" t="inlineStr">
        <is>
          <t>Low</t>
        </is>
      </c>
      <c r="Q262" s="92" t="inlineStr">
        <is>
          <t>Local absentee</t>
        </is>
      </c>
      <c r="R262" s="92" t="inlineStr">
        <is>
          <t>Nonprofit/Inst</t>
        </is>
      </c>
      <c r="S262" s="92" t="n">
        <v>1</v>
      </c>
      <c r="T262" s="96">
        <f>INDEX('Scoring Method'!$B$6:$B$9,MATCH(M262,'Scoring Method'!$A$6:$A$9,0))+INDEX('Scoring Method'!$B$12:$B$16,MATCH(N262,'Scoring Method'!$A$12:$A$16,0))+INDEX('Scoring Method'!$B$19:$B$22,MATCH(O262,'Scoring Method'!$A$19:$A$22,0))+INDEX('Scoring Method'!$B$25:$B$27,MATCH(P262,'Scoring Method'!$A$25:$A$27,0))</f>
        <v/>
      </c>
      <c r="U262" s="96">
        <f>(INDEX('Scoring Method'!$B$30:$B$33,MATCH(Q262,'Scoring Method'!$A$30:$A$33,0))+INDEX('Scoring Method'!$B$36:$B$42,MATCH(R262,'Scoring Method'!$A$36:$A$42,0))+INDEX('Scoring Method'!$B$45:$B$47,MATCH(IF(S262=1,"1",IF(S262=2,"2","3+")),'Scoring Method'!$A$45:$A$47,0)))/90*100</f>
        <v/>
      </c>
      <c r="V262" s="96">
        <f>T262*U262/100</f>
        <v/>
      </c>
      <c r="W262" s="93" t="n">
        <v>9598</v>
      </c>
      <c r="X262" s="92" t="inlineStr">
        <is>
          <t>X (minimal hazard)</t>
        </is>
      </c>
      <c r="Y262" s="93" t="n">
        <v>5725</v>
      </c>
      <c r="Z262" s="97" t="n"/>
      <c r="AA262" s="98">
        <f>MAX(0,(Y262-5000)/300)</f>
        <v/>
      </c>
      <c r="AB262" s="92" t="n"/>
      <c r="AC262" s="92" t="n"/>
      <c r="AD262" s="92" t="n"/>
      <c r="AE262" s="92" t="inlineStr">
        <is>
          <t>Oversize 6-12k</t>
        </is>
      </c>
      <c r="AF262" s="96">
        <f>INDEX('Scoring Method'!$B$63:$B$71,MATCH(AE262,'Scoring Method'!$A$63:$A$71,0))+INDEX('Scoring Method'!$B$75:$B$79,MATCH("Adequate 5-8k",'Scoring Method'!$A$75:$A$79,0))+INDEX('Scoring Method'!$B$343:$B$347,MATCH(X262,'Scoring Method'!$A$343:$A$347,0))+INDEX('Scoring Method'!$B$25:$B$27,MATCH(P262,'Scoring Method'!$A$25:$A$27,0))</f>
        <v/>
      </c>
      <c r="AG262" s="96">
        <f>AF262*U262/100</f>
        <v/>
      </c>
      <c r="AH262" s="92" t="inlineStr">
        <is>
          <t>LINK-GIS + LoopNet (2026-08-02)</t>
        </is>
      </c>
      <c r="AI262" s="99" t="n">
        <v>39.07174</v>
      </c>
      <c r="AJ262" s="99" t="n">
        <v>-84.50581</v>
      </c>
      <c r="AK262" s="94" t="n">
        <v>1.09</v>
      </c>
      <c r="AL262" s="94" t="n">
        <v>1.33</v>
      </c>
      <c r="AM262" s="94" t="n">
        <v>2.09</v>
      </c>
      <c r="AN262" s="94" t="n">
        <v>0.89</v>
      </c>
      <c r="AO262" s="92" t="inlineStr">
        <is>
          <t>Fringe 0.75-1.25mi</t>
        </is>
      </c>
      <c r="AP262" s="92" t="inlineStr">
        <is>
          <t>Retail shell</t>
        </is>
      </c>
      <c r="AQ262" s="92" t="inlineStr">
        <is>
          <t>Adequate 5-8k</t>
        </is>
      </c>
      <c r="AR262" s="100" t="n"/>
      <c r="AS262" s="96">
        <f>ROUND(INDEX('Scoring Method'!$B$63:$B$70,MATCH(AE262,'Scoring Method'!$A$63:$A$70,0))*0.625+INDEX('Scoring Method'!$B$105:$B$113,MATCH(AP262,'Scoring Method'!$A$105:$A$113,0))+INDEX('Scoring Method'!$B$74:$B$78,MATCH(AQ262,'Scoring Method'!$A$74:$A$78,0))*0.6667+INDEX('Scoring Method'!$B$96:$B$101,MATCH(AO262,'Scoring Method'!$A$96:$A$101,0))+INDEX('Scoring Method'!$B$343:$B$347,MATCH(X262,'Scoring Method'!$A$343:$A$347,0))*0.3333+INDEX('Scoring Method'!$B$25:$B$27,MATCH(P262,'Scoring Method'!$A$25:$A$27,0))*0.3333,1)</f>
        <v/>
      </c>
      <c r="AT262" s="96">
        <f>AS262*U262/100</f>
        <v/>
      </c>
      <c r="AU262" s="92" t="inlineStr">
        <is>
          <t>Eastside</t>
        </is>
      </c>
      <c r="AV262" s="92" t="n">
        <v>28</v>
      </c>
      <c r="AW262" s="101" t="inlineStr">
        <is>
          <t>ESTIMATED</t>
        </is>
      </c>
      <c r="AX262" s="92" t="inlineStr">
        <is>
          <t>High &lt;35</t>
        </is>
      </c>
      <c r="AY262" s="96">
        <f>ROUND(INDEX('Scoring Method'!$B$132:$B$140,MATCH(AE262,'Scoring Method'!$A$132:$A$140,0))+INDEX('Scoring Method'!$B$144:$B$152,MATCH(AP262,'Scoring Method'!$A$144:$A$152,0))+INDEX('Scoring Method'!$B$156:$B$160,MATCH(AQ262,'Scoring Method'!$A$156:$A$160,0))+INDEX('Scoring Method'!$B$164:$B$169,MATCH(AO262,'Scoring Method'!$A$164:$A$169,0))+INDEX('Scoring Method'!$B$173:$B$178,MATCH(AX262,'Scoring Method'!$A$173:$A$178,0))+INDEX('Scoring Method'!$B$349:$B$353,MATCH(X262,'Scoring Method'!$A$349:$A$353,0))+INDEX('Scoring Method'!$B$188:$B$190,MATCH(P262,'Scoring Method'!$A$188:$A$190,0)),1)</f>
        <v/>
      </c>
      <c r="AZ262" s="96">
        <f>AY262*U262/100</f>
        <v/>
      </c>
      <c r="BA262" s="92" t="inlineStr">
        <is>
          <t>No chain signal</t>
        </is>
      </c>
      <c r="BB262" s="94" t="n">
        <v>1</v>
      </c>
      <c r="BC262" s="92" t="inlineStr">
        <is>
          <t>Right-sized 0.35-0.75 AC</t>
        </is>
      </c>
      <c r="BD262" s="94" t="n">
        <v>1</v>
      </c>
      <c r="BE262" s="96">
        <f>ROUND(INDEX('Scoring Method'!$B$268:$B$276,MATCH(AE262,'Scoring Method'!$A$268:$A$276,0))+INDEX('Scoring Method'!$B$280:$B$288,MATCH(AP262,'Scoring Method'!$A$280:$A$288,0))+INDEX('Scoring Method'!$B$292:$B$296,MATCH(AQ262,'Scoring Method'!$A$292:$A$296,0))+INDEX('Scoring Method'!$B$300:$B$305,MATCH(AO262,'Scoring Method'!$A$300:$A$305,0))+INDEX('Scoring Method'!$B$309:$B$314,MATCH(AX262,'Scoring Method'!$A$309:$A$314,0))+INDEX('Scoring Method'!$B$337:$B$341,MATCH(X262,'Scoring Method'!$A$337:$A$341,0))+INDEX('Scoring Method'!$B$324:$B$326,MATCH(P262,'Scoring Method'!$A$324:$A$326,0)),1)</f>
        <v/>
      </c>
      <c r="BF262" s="96">
        <f>ROUND(INDEX('Scoring Method'!$B$268:$B$276,MATCH(AE262,'Scoring Method'!$A$268:$A$276,0))*BB262*BD262+INDEX('Scoring Method'!$B$280:$B$288,MATCH(AP262,'Scoring Method'!$A$280:$A$288,0))*BM262*BB262*BD262+INDEX('Scoring Method'!$B$292:$B$296,MATCH(AQ262,'Scoring Method'!$A$292:$A$296,0))*BD262+INDEX('Scoring Method'!$B$300:$B$305,MATCH(AO262,'Scoring Method'!$A$300:$A$305,0))*BM262*BB262+INDEX('Scoring Method'!$B$309:$B$314,MATCH(AX262,'Scoring Method'!$A$309:$A$314,0))+INDEX('Scoring Method'!$B$337:$B$341,MATCH(X262,'Scoring Method'!$A$337:$A$341,0))+INDEX('Scoring Method'!$B$324:$B$326,MATCH(P262,'Scoring Method'!$A$324:$A$326,0)),1)</f>
        <v/>
      </c>
      <c r="BG262" s="92" t="inlineStr">
        <is>
          <t>Fits (~$8,798/mo)</t>
        </is>
      </c>
      <c r="BH262" s="61" t="inlineStr">
        <is>
          <t>AUC</t>
        </is>
      </c>
      <c r="BI262" s="61" t="inlineStr">
        <is>
          <t>Auto-Urban Commercial</t>
        </is>
      </c>
      <c r="BJ262" s="61" t="inlineStr"/>
      <c r="BK262" s="61" t="inlineStr"/>
      <c r="BL262" s="61" t="inlineStr">
        <is>
          <t>Bar permitted</t>
        </is>
      </c>
      <c r="BM262" s="61">
        <f>INDEX('Scoring Method'!$B$358:$B$363,MATCH(BL262,'Scoring Method'!$A$358:$A$363,0))</f>
        <v/>
      </c>
    </row>
    <row r="263" ht="15" customHeight="1" s="62">
      <c r="A263" s="92" t="n">
        <v>262</v>
      </c>
      <c r="B263" s="92" t="inlineStr">
        <is>
          <t>042-30-00-071.00</t>
        </is>
      </c>
      <c r="C263" s="92" t="inlineStr">
        <is>
          <t>3200 MADISON PIKE</t>
        </is>
      </c>
      <c r="D263" s="92" t="inlineStr">
        <is>
          <t>H TIWANA INCORPORATED</t>
        </is>
      </c>
      <c r="E263" s="92" t="inlineStr">
        <is>
          <t>3711 AUTUMN RD</t>
        </is>
      </c>
      <c r="F263" s="92" t="inlineStr">
        <is>
          <t>ELSMERE</t>
        </is>
      </c>
      <c r="G263" s="92" t="inlineStr">
        <is>
          <t>KY</t>
        </is>
      </c>
      <c r="H263" s="92" t="inlineStr">
        <is>
          <t>GAS STATION/CONVENIENCE STORE</t>
        </is>
      </c>
      <c r="I263" s="93" t="n">
        <v>19305</v>
      </c>
      <c r="J263" s="94">
        <f>I263/43560</f>
        <v/>
      </c>
      <c r="K263" s="93" t="n">
        <v>606.4</v>
      </c>
      <c r="L263" s="95">
        <f>I263/(K263^2)</f>
        <v/>
      </c>
      <c r="M263" s="92" t="inlineStr">
        <is>
          <t>Ideal 18-32k</t>
        </is>
      </c>
      <c r="N263" s="92" t="inlineStr">
        <is>
          <t>E</t>
        </is>
      </c>
      <c r="O263" s="92" t="inlineStr">
        <is>
          <t>Regular .045-.055</t>
        </is>
      </c>
      <c r="P263" s="92" t="inlineStr">
        <is>
          <t>High</t>
        </is>
      </c>
      <c r="Q263" s="92" t="inlineStr">
        <is>
          <t>Out-of-city KY</t>
        </is>
      </c>
      <c r="R263" s="92" t="inlineStr">
        <is>
          <t>Operating entity</t>
        </is>
      </c>
      <c r="S263" s="92" t="n">
        <v>1</v>
      </c>
      <c r="T263" s="96">
        <f>INDEX('Scoring Method'!$B$6:$B$9,MATCH(M263,'Scoring Method'!$A$6:$A$9,0))+INDEX('Scoring Method'!$B$12:$B$16,MATCH(N263,'Scoring Method'!$A$12:$A$16,0))+INDEX('Scoring Method'!$B$19:$B$22,MATCH(O263,'Scoring Method'!$A$19:$A$22,0))+INDEX('Scoring Method'!$B$25:$B$27,MATCH(P263,'Scoring Method'!$A$25:$A$27,0))</f>
        <v/>
      </c>
      <c r="U263" s="96">
        <f>(INDEX('Scoring Method'!$B$30:$B$33,MATCH(Q263,'Scoring Method'!$A$30:$A$33,0))+INDEX('Scoring Method'!$B$36:$B$42,MATCH(R263,'Scoring Method'!$A$36:$A$42,0))+INDEX('Scoring Method'!$B$45:$B$47,MATCH(IF(S263=1,"1",IF(S263=2,"2","3+")),'Scoring Method'!$A$45:$A$47,0)))/90*100</f>
        <v/>
      </c>
      <c r="V263" s="96">
        <f>T263*U263/100</f>
        <v/>
      </c>
      <c r="W263" s="93" t="n">
        <v>504</v>
      </c>
      <c r="X263" s="92" t="inlineStr">
        <is>
          <t>X (minimal hazard)</t>
        </is>
      </c>
      <c r="Y263" s="93" t="n">
        <v>14200</v>
      </c>
      <c r="Z263" s="97" t="n"/>
      <c r="AA263" s="98">
        <f>MAX(0,(Y263-5000)/300)</f>
        <v/>
      </c>
      <c r="AB263" s="92" t="n"/>
      <c r="AC263" s="92" t="n"/>
      <c r="AD263" s="92" t="n"/>
      <c r="AE263" s="92" t="inlineStr">
        <is>
          <t>Too small &lt;1.2k</t>
        </is>
      </c>
      <c r="AF263" s="96">
        <f>INDEX('Scoring Method'!$B$63:$B$71,MATCH(AE263,'Scoring Method'!$A$63:$A$71,0))+INDEX('Scoring Method'!$B$75:$B$79,MATCH("Good 8-15k",'Scoring Method'!$A$75:$A$79,0))+INDEX('Scoring Method'!$B$343:$B$347,MATCH(X263,'Scoring Method'!$A$343:$A$347,0))+INDEX('Scoring Method'!$B$25:$B$27,MATCH(P263,'Scoring Method'!$A$25:$A$27,0))</f>
        <v/>
      </c>
      <c r="AG263" s="96">
        <f>AF263*U263/100</f>
        <v/>
      </c>
      <c r="AH263" s="92" t="inlineStr">
        <is>
          <t>LINK-GIS + LoopNet (2026-08-03)</t>
        </is>
      </c>
      <c r="AI263" s="99" t="n">
        <v>39.049</v>
      </c>
      <c r="AJ263" s="99" t="n">
        <v>-84.51967</v>
      </c>
      <c r="AK263" s="94" t="n">
        <v>2.45</v>
      </c>
      <c r="AL263" s="94" t="n">
        <v>2.95</v>
      </c>
      <c r="AM263" s="94" t="n">
        <v>3.65</v>
      </c>
      <c r="AN263" s="94" t="n">
        <v>2.45</v>
      </c>
      <c r="AO263" s="92" t="inlineStr">
        <is>
          <t>Distant 2-3mi</t>
        </is>
      </c>
      <c r="AP263" s="92" t="inlineStr">
        <is>
          <t>Built-out kitchen</t>
        </is>
      </c>
      <c r="AQ263" s="92" t="inlineStr">
        <is>
          <t>Good 8-15k</t>
        </is>
      </c>
      <c r="AR263" s="100" t="n"/>
      <c r="AS263" s="96">
        <f>ROUND(INDEX('Scoring Method'!$B$63:$B$70,MATCH(AE263,'Scoring Method'!$A$63:$A$70,0))*0.625+INDEX('Scoring Method'!$B$105:$B$113,MATCH(AP263,'Scoring Method'!$A$105:$A$113,0))+INDEX('Scoring Method'!$B$74:$B$78,MATCH(AQ263,'Scoring Method'!$A$74:$A$78,0))*0.6667+INDEX('Scoring Method'!$B$96:$B$101,MATCH(AO263,'Scoring Method'!$A$96:$A$101,0))+INDEX('Scoring Method'!$B$343:$B$347,MATCH(X263,'Scoring Method'!$A$343:$A$347,0))*0.3333+INDEX('Scoring Method'!$B$25:$B$27,MATCH(P263,'Scoring Method'!$A$25:$A$27,0))*0.3333,1)</f>
        <v/>
      </c>
      <c r="AT263" s="96">
        <f>AS263*U263/100</f>
        <v/>
      </c>
      <c r="AU263" s="92" t="inlineStr">
        <is>
          <t>Latonia Rosedale</t>
        </is>
      </c>
      <c r="AV263" s="92" t="n">
        <v>68</v>
      </c>
      <c r="AW263" s="92" t="inlineStr">
        <is>
          <t>Sourced</t>
        </is>
      </c>
      <c r="AX263" s="92" t="inlineStr">
        <is>
          <t>Moderate 60-69</t>
        </is>
      </c>
      <c r="AY263" s="96">
        <f>ROUND(INDEX('Scoring Method'!$B$132:$B$140,MATCH(AE263,'Scoring Method'!$A$132:$A$140,0))+INDEX('Scoring Method'!$B$144:$B$152,MATCH(AP263,'Scoring Method'!$A$144:$A$152,0))+INDEX('Scoring Method'!$B$156:$B$160,MATCH(AQ263,'Scoring Method'!$A$156:$A$160,0))+INDEX('Scoring Method'!$B$164:$B$169,MATCH(AO263,'Scoring Method'!$A$164:$A$169,0))+INDEX('Scoring Method'!$B$173:$B$178,MATCH(AX263,'Scoring Method'!$A$173:$A$178,0))+INDEX('Scoring Method'!$B$349:$B$353,MATCH(X263,'Scoring Method'!$A$349:$A$353,0))+INDEX('Scoring Method'!$B$188:$B$190,MATCH(P263,'Scoring Method'!$A$188:$A$190,0)),1)</f>
        <v/>
      </c>
      <c r="AZ263" s="96">
        <f>AY263*U263/100</f>
        <v/>
      </c>
      <c r="BA263" s="102" t="inlineStr">
        <is>
          <t>Chain format + local owner</t>
        </is>
      </c>
      <c r="BB263" s="94" t="n">
        <v>0.7</v>
      </c>
      <c r="BC263" s="92" t="inlineStr">
        <is>
          <t>Right-sized 0.35-0.75 AC</t>
        </is>
      </c>
      <c r="BD263" s="94" t="n">
        <v>1</v>
      </c>
      <c r="BE263" s="96">
        <f>ROUND(INDEX('Scoring Method'!$B$268:$B$276,MATCH(AE263,'Scoring Method'!$A$268:$A$276,0))+INDEX('Scoring Method'!$B$280:$B$288,MATCH(AP263,'Scoring Method'!$A$280:$A$288,0))+INDEX('Scoring Method'!$B$292:$B$296,MATCH(AQ263,'Scoring Method'!$A$292:$A$296,0))+INDEX('Scoring Method'!$B$300:$B$305,MATCH(AO263,'Scoring Method'!$A$300:$A$305,0))+INDEX('Scoring Method'!$B$309:$B$314,MATCH(AX263,'Scoring Method'!$A$309:$A$314,0))+INDEX('Scoring Method'!$B$337:$B$341,MATCH(X263,'Scoring Method'!$A$337:$A$341,0))+INDEX('Scoring Method'!$B$324:$B$326,MATCH(P263,'Scoring Method'!$A$324:$A$326,0)),1)</f>
        <v/>
      </c>
      <c r="BF263" s="96">
        <f>ROUND(INDEX('Scoring Method'!$B$268:$B$276,MATCH(AE263,'Scoring Method'!$A$268:$A$276,0))*BB263*BD263+INDEX('Scoring Method'!$B$280:$B$288,MATCH(AP263,'Scoring Method'!$A$280:$A$288,0))*BM263*BB263*BD263+INDEX('Scoring Method'!$B$292:$B$296,MATCH(AQ263,'Scoring Method'!$A$292:$A$296,0))*BD263+INDEX('Scoring Method'!$B$300:$B$305,MATCH(AO263,'Scoring Method'!$A$300:$A$305,0))*BM263*BB263+INDEX('Scoring Method'!$B$309:$B$314,MATCH(AX263,'Scoring Method'!$A$309:$A$314,0))+INDEX('Scoring Method'!$B$337:$B$341,MATCH(X263,'Scoring Method'!$A$337:$A$341,0))+INDEX('Scoring Method'!$B$324:$B$326,MATCH(P263,'Scoring Method'!$A$324:$A$326,0)),1)</f>
        <v/>
      </c>
      <c r="BG263" s="92" t="inlineStr">
        <is>
          <t>Fits (~$462/mo)</t>
        </is>
      </c>
      <c r="BH263" s="61" t="inlineStr">
        <is>
          <t>AUC</t>
        </is>
      </c>
      <c r="BI263" s="61" t="inlineStr">
        <is>
          <t>Auto-Urban Commercial</t>
        </is>
      </c>
      <c r="BJ263" s="61" t="inlineStr"/>
      <c r="BK263" s="61" t="inlineStr"/>
      <c r="BL263" s="61" t="inlineStr">
        <is>
          <t>Bar permitted</t>
        </is>
      </c>
      <c r="BM263" s="61">
        <f>INDEX('Scoring Method'!$B$358:$B$363,MATCH(BL263,'Scoring Method'!$A$358:$A$363,0))</f>
        <v/>
      </c>
    </row>
    <row r="264" ht="15" customHeight="1" s="62">
      <c r="A264" s="92" t="n">
        <v>263</v>
      </c>
      <c r="B264" s="92" t="inlineStr">
        <is>
          <t>040-44-02-013.00</t>
        </is>
      </c>
      <c r="C264" s="92" t="inlineStr">
        <is>
          <t>953 WESTERN AVE</t>
        </is>
      </c>
      <c r="D264" s="92" t="inlineStr">
        <is>
          <t>WESTERN GARAGE LLC</t>
        </is>
      </c>
      <c r="E264" s="92" t="inlineStr">
        <is>
          <t>957 WESTERN AVE</t>
        </is>
      </c>
      <c r="F264" s="92" t="inlineStr">
        <is>
          <t>COVINGTON</t>
        </is>
      </c>
      <c r="G264" s="92" t="inlineStr">
        <is>
          <t>KY</t>
        </is>
      </c>
      <c r="H264" s="92" t="inlineStr">
        <is>
          <t>RETAIL W/APARTMENTS</t>
        </is>
      </c>
      <c r="I264" s="93" t="n">
        <v>11501</v>
      </c>
      <c r="J264" s="94">
        <f>I264/43560</f>
        <v/>
      </c>
      <c r="K264" s="93" t="n">
        <v>432</v>
      </c>
      <c r="L264" s="95">
        <f>I264/(K264^2)</f>
        <v/>
      </c>
      <c r="M264" s="92" t="inlineStr">
        <is>
          <t>Marginal 10-14k/45-60k</t>
        </is>
      </c>
      <c r="N264" s="92" t="inlineStr">
        <is>
          <t>E</t>
        </is>
      </c>
      <c r="O264" s="92" t="inlineStr">
        <is>
          <t>Compact &gt;=.055</t>
        </is>
      </c>
      <c r="P264" s="92" t="inlineStr">
        <is>
          <t>Low</t>
        </is>
      </c>
      <c r="Q264" s="92" t="inlineStr">
        <is>
          <t>Local absentee</t>
        </is>
      </c>
      <c r="R264" s="92" t="inlineStr">
        <is>
          <t>Operating entity</t>
        </is>
      </c>
      <c r="S264" s="92" t="n">
        <v>2</v>
      </c>
      <c r="T264" s="96">
        <f>INDEX('Scoring Method'!$B$6:$B$9,MATCH(M264,'Scoring Method'!$A$6:$A$9,0))+INDEX('Scoring Method'!$B$12:$B$16,MATCH(N264,'Scoring Method'!$A$12:$A$16,0))+INDEX('Scoring Method'!$B$19:$B$22,MATCH(O264,'Scoring Method'!$A$19:$A$22,0))+INDEX('Scoring Method'!$B$25:$B$27,MATCH(P264,'Scoring Method'!$A$25:$A$27,0))</f>
        <v/>
      </c>
      <c r="U264" s="96">
        <f>(INDEX('Scoring Method'!$B$30:$B$33,MATCH(Q264,'Scoring Method'!$A$30:$A$33,0))+INDEX('Scoring Method'!$B$36:$B$42,MATCH(R264,'Scoring Method'!$A$36:$A$42,0))+INDEX('Scoring Method'!$B$45:$B$47,MATCH(IF(S264=1,"1",IF(S264=2,"2","3+")),'Scoring Method'!$A$45:$A$47,0)))/90*100</f>
        <v/>
      </c>
      <c r="V264" s="96">
        <f>T264*U264/100</f>
        <v/>
      </c>
      <c r="W264" s="93" t="n">
        <v>3700</v>
      </c>
      <c r="X264" s="92" t="inlineStr">
        <is>
          <t>X (minimal hazard)</t>
        </is>
      </c>
      <c r="Y264" s="93" t="n">
        <v>6625</v>
      </c>
      <c r="Z264" s="97">
        <f>W264/I264</f>
        <v/>
      </c>
      <c r="AA264" s="98">
        <f>MAX(0,(Y264-5000)/300)</f>
        <v/>
      </c>
      <c r="AB264" s="92" t="n"/>
      <c r="AC264" s="92" t="n">
        <v>0.26</v>
      </c>
      <c r="AD264" s="92" t="inlineStr">
        <is>
          <t>ok</t>
        </is>
      </c>
      <c r="AE264" s="92" t="inlineStr">
        <is>
          <t>Above 2.5-4k</t>
        </is>
      </c>
      <c r="AF264" s="96">
        <f>INDEX('Scoring Method'!$B$63:$B$71,MATCH(AE264,'Scoring Method'!$A$63:$A$71,0))+INDEX('Scoring Method'!$B$75:$B$79,MATCH("Adequate 5-8k",'Scoring Method'!$A$75:$A$79,0))+INDEX('Scoring Method'!$B$343:$B$347,MATCH(X264,'Scoring Method'!$A$343:$A$347,0))+INDEX('Scoring Method'!$B$25:$B$27,MATCH(P264,'Scoring Method'!$A$25:$A$27,0))</f>
        <v/>
      </c>
      <c r="AG264" s="96">
        <f>AF264*U264/100</f>
        <v/>
      </c>
      <c r="AH264" s="92" t="inlineStr">
        <is>
          <t>LINK-GIS + LoopNet</t>
        </is>
      </c>
      <c r="AI264" s="99" t="n">
        <v>39.0764</v>
      </c>
      <c r="AJ264" s="99" t="n">
        <v>-84.52406999999999</v>
      </c>
      <c r="AK264" s="94" t="n">
        <v>0.65</v>
      </c>
      <c r="AL264" s="94" t="n">
        <v>1.31</v>
      </c>
      <c r="AM264" s="94" t="n">
        <v>1.84</v>
      </c>
      <c r="AN264" s="94" t="n">
        <v>0.65</v>
      </c>
      <c r="AO264" s="92" t="inlineStr">
        <is>
          <t>Near 0.35-0.75mi</t>
        </is>
      </c>
      <c r="AP264" s="92" t="inlineStr">
        <is>
          <t>Cellular</t>
        </is>
      </c>
      <c r="AQ264" s="92" t="inlineStr">
        <is>
          <t>Adequate 5-8k</t>
        </is>
      </c>
      <c r="AR264" s="100" t="n"/>
      <c r="AS264" s="96">
        <f>ROUND(INDEX('Scoring Method'!$B$63:$B$70,MATCH(AE264,'Scoring Method'!$A$63:$A$70,0))*0.625+INDEX('Scoring Method'!$B$105:$B$113,MATCH(AP264,'Scoring Method'!$A$105:$A$113,0))+INDEX('Scoring Method'!$B$74:$B$78,MATCH(AQ264,'Scoring Method'!$A$74:$A$78,0))*0.6667+INDEX('Scoring Method'!$B$96:$B$101,MATCH(AO264,'Scoring Method'!$A$96:$A$101,0))+INDEX('Scoring Method'!$B$343:$B$347,MATCH(X264,'Scoring Method'!$A$343:$A$347,0))*0.3333+INDEX('Scoring Method'!$B$25:$B$27,MATCH(P264,'Scoring Method'!$A$25:$A$27,0))*0.3333,1)</f>
        <v/>
      </c>
      <c r="AT264" s="96">
        <f>AS264*U264/100</f>
        <v/>
      </c>
      <c r="AU264" s="92" t="inlineStr">
        <is>
          <t>Lewisburg</t>
        </is>
      </c>
      <c r="AV264" s="92" t="n">
        <v>65</v>
      </c>
      <c r="AW264" s="92" t="inlineStr">
        <is>
          <t>Sourced</t>
        </is>
      </c>
      <c r="AX264" s="92" t="inlineStr">
        <is>
          <t>Moderate 60-69</t>
        </is>
      </c>
      <c r="AY264" s="96">
        <f>ROUND(INDEX('Scoring Method'!$B$132:$B$140,MATCH(AE264,'Scoring Method'!$A$132:$A$140,0))+INDEX('Scoring Method'!$B$144:$B$152,MATCH(AP264,'Scoring Method'!$A$144:$A$152,0))+INDEX('Scoring Method'!$B$156:$B$160,MATCH(AQ264,'Scoring Method'!$A$156:$A$160,0))+INDEX('Scoring Method'!$B$164:$B$169,MATCH(AO264,'Scoring Method'!$A$164:$A$169,0))+INDEX('Scoring Method'!$B$173:$B$178,MATCH(AX264,'Scoring Method'!$A$173:$A$178,0))+INDEX('Scoring Method'!$B$349:$B$353,MATCH(X264,'Scoring Method'!$A$349:$A$353,0))+INDEX('Scoring Method'!$B$188:$B$190,MATCH(P264,'Scoring Method'!$A$188:$A$190,0)),1)</f>
        <v/>
      </c>
      <c r="AZ264" s="96">
        <f>AY264*U264/100</f>
        <v/>
      </c>
      <c r="BA264" s="92" t="inlineStr">
        <is>
          <t>No chain signal</t>
        </is>
      </c>
      <c r="BB264" s="94" t="n">
        <v>1</v>
      </c>
      <c r="BC264" s="102" t="inlineStr">
        <is>
          <t>Small 0.25-0.35 AC</t>
        </is>
      </c>
      <c r="BD264" s="94" t="n">
        <v>0.9</v>
      </c>
      <c r="BE264" s="96">
        <f>ROUND(INDEX('Scoring Method'!$B$268:$B$276,MATCH(AE264,'Scoring Method'!$A$268:$A$276,0))+INDEX('Scoring Method'!$B$280:$B$288,MATCH(AP264,'Scoring Method'!$A$280:$A$288,0))+INDEX('Scoring Method'!$B$292:$B$296,MATCH(AQ264,'Scoring Method'!$A$292:$A$296,0))+INDEX('Scoring Method'!$B$300:$B$305,MATCH(AO264,'Scoring Method'!$A$300:$A$305,0))+INDEX('Scoring Method'!$B$309:$B$314,MATCH(AX264,'Scoring Method'!$A$309:$A$314,0))+INDEX('Scoring Method'!$B$337:$B$341,MATCH(X264,'Scoring Method'!$A$337:$A$341,0))+INDEX('Scoring Method'!$B$324:$B$326,MATCH(P264,'Scoring Method'!$A$324:$A$326,0)),1)</f>
        <v/>
      </c>
      <c r="BF264" s="96">
        <f>ROUND(INDEX('Scoring Method'!$B$268:$B$276,MATCH(AE264,'Scoring Method'!$A$268:$A$276,0))*BB264*BD264+INDEX('Scoring Method'!$B$280:$B$288,MATCH(AP264,'Scoring Method'!$A$280:$A$288,0))*BM264*BB264*BD264+INDEX('Scoring Method'!$B$292:$B$296,MATCH(AQ264,'Scoring Method'!$A$292:$A$296,0))*BD264+INDEX('Scoring Method'!$B$300:$B$305,MATCH(AO264,'Scoring Method'!$A$300:$A$305,0))*BM264*BB264+INDEX('Scoring Method'!$B$309:$B$314,MATCH(AX264,'Scoring Method'!$A$309:$A$314,0))+INDEX('Scoring Method'!$B$337:$B$341,MATCH(X264,'Scoring Method'!$A$337:$A$341,0))+INDEX('Scoring Method'!$B$324:$B$326,MATCH(P264,'Scoring Method'!$A$324:$A$326,0)),1)</f>
        <v/>
      </c>
      <c r="BG264" s="92" t="inlineStr">
        <is>
          <t>Fits (~$3,392/mo)</t>
        </is>
      </c>
      <c r="BH264" s="61" t="inlineStr">
        <is>
          <t>SU</t>
        </is>
      </c>
      <c r="BI264" s="61" t="inlineStr">
        <is>
          <t>Semi-Urban Residential</t>
        </is>
      </c>
      <c r="BJ264" s="61" t="inlineStr"/>
      <c r="BK264" s="61" t="inlineStr"/>
      <c r="BL264" s="61" t="inlineStr">
        <is>
          <t>SU corner unverified</t>
        </is>
      </c>
      <c r="BM264" s="61">
        <f>INDEX('Scoring Method'!$B$358:$B$363,MATCH(BL264,'Scoring Method'!$A$358:$A$363,0))</f>
        <v/>
      </c>
    </row>
    <row r="265" ht="15" customHeight="1" s="62">
      <c r="A265" s="92" t="n">
        <v>264</v>
      </c>
      <c r="B265" s="92" t="inlineStr">
        <is>
          <t>055-14-14-033.00</t>
        </is>
      </c>
      <c r="C265" s="92" t="inlineStr">
        <is>
          <t>2001 MADISON AVE</t>
        </is>
      </c>
      <c r="D265" s="92" t="inlineStr">
        <is>
          <t>BROEMAN FAMILY TWO LLC</t>
        </is>
      </c>
      <c r="E265" s="92" t="inlineStr">
        <is>
          <t>309 ARTILLERY PARK DR STE 102</t>
        </is>
      </c>
      <c r="F265" s="92" t="inlineStr">
        <is>
          <t>FT MITCHELL</t>
        </is>
      </c>
      <c r="G265" s="92" t="inlineStr">
        <is>
          <t>KY</t>
        </is>
      </c>
      <c r="H265" s="92" t="inlineStr">
        <is>
          <t>MEDICAL CLINIC/OFFICE</t>
        </is>
      </c>
      <c r="I265" s="93" t="n">
        <v>45319</v>
      </c>
      <c r="J265" s="94">
        <f>I265/43560</f>
        <v/>
      </c>
      <c r="K265" s="93" t="n">
        <v>853</v>
      </c>
      <c r="L265" s="95">
        <f>I265/(K265^2)</f>
        <v/>
      </c>
      <c r="M265" s="92" t="inlineStr">
        <is>
          <t>Marginal 10-14k/45-60k</t>
        </is>
      </c>
      <c r="N265" s="92" t="inlineStr">
        <is>
          <t>E</t>
        </is>
      </c>
      <c r="O265" s="92" t="inlineStr">
        <is>
          <t>Compact &gt;=.055</t>
        </is>
      </c>
      <c r="P265" s="92" t="inlineStr">
        <is>
          <t>Low</t>
        </is>
      </c>
      <c r="Q265" s="92" t="inlineStr">
        <is>
          <t>Out-of-city KY</t>
        </is>
      </c>
      <c r="R265" s="92" t="inlineStr">
        <is>
          <t>Operating entity</t>
        </is>
      </c>
      <c r="S265" s="92" t="n">
        <v>1</v>
      </c>
      <c r="T265" s="96">
        <f>INDEX('Scoring Method'!$B$6:$B$9,MATCH(M265,'Scoring Method'!$A$6:$A$9,0))+INDEX('Scoring Method'!$B$12:$B$16,MATCH(N265,'Scoring Method'!$A$12:$A$16,0))+INDEX('Scoring Method'!$B$19:$B$22,MATCH(O265,'Scoring Method'!$A$19:$A$22,0))+INDEX('Scoring Method'!$B$25:$B$27,MATCH(P265,'Scoring Method'!$A$25:$A$27,0))</f>
        <v/>
      </c>
      <c r="U265" s="96">
        <f>(INDEX('Scoring Method'!$B$30:$B$33,MATCH(Q265,'Scoring Method'!$A$30:$A$33,0))+INDEX('Scoring Method'!$B$36:$B$42,MATCH(R265,'Scoring Method'!$A$36:$A$42,0))+INDEX('Scoring Method'!$B$45:$B$47,MATCH(IF(S265=1,"1",IF(S265=2,"2","3+")),'Scoring Method'!$A$45:$A$47,0)))/90*100</f>
        <v/>
      </c>
      <c r="V265" s="96">
        <f>T265*U265/100</f>
        <v/>
      </c>
      <c r="W265" s="93" t="n">
        <v>10014</v>
      </c>
      <c r="X265" s="92" t="inlineStr">
        <is>
          <t>X (minimal hazard)</t>
        </is>
      </c>
      <c r="Y265" s="93" t="n">
        <v>30900</v>
      </c>
      <c r="Z265" s="97" t="n"/>
      <c r="AA265" s="98">
        <f>MAX(0,(Y265-5000)/300)</f>
        <v/>
      </c>
      <c r="AB265" s="92" t="n"/>
      <c r="AC265" s="92" t="n"/>
      <c r="AD265" s="92" t="n"/>
      <c r="AE265" s="92" t="inlineStr">
        <is>
          <t>Oversize 6-12k</t>
        </is>
      </c>
      <c r="AF265" s="96">
        <f>INDEX('Scoring Method'!$B$63:$B$71,MATCH(AE265,'Scoring Method'!$A$63:$A$71,0))+INDEX('Scoring Method'!$B$75:$B$79,MATCH("Ample &gt;=15k",'Scoring Method'!$A$75:$A$79,0))+INDEX('Scoring Method'!$B$343:$B$347,MATCH(X265,'Scoring Method'!$A$343:$A$347,0))+INDEX('Scoring Method'!$B$25:$B$27,MATCH(P265,'Scoring Method'!$A$25:$A$27,0))</f>
        <v/>
      </c>
      <c r="AG265" s="96">
        <f>AF265*U265/100</f>
        <v/>
      </c>
      <c r="AH265" s="92" t="inlineStr">
        <is>
          <t>LINK-GIS + LoopNet (2026-08-02)</t>
        </is>
      </c>
      <c r="AI265" s="99" t="n">
        <v>39.06649</v>
      </c>
      <c r="AJ265" s="99" t="n">
        <v>-84.50620000000001</v>
      </c>
      <c r="AK265" s="94" t="n">
        <v>1.39</v>
      </c>
      <c r="AL265" s="94" t="n">
        <v>1.69</v>
      </c>
      <c r="AM265" s="94" t="n">
        <v>2.44</v>
      </c>
      <c r="AN265" s="94" t="n">
        <v>1.24</v>
      </c>
      <c r="AO265" s="92" t="inlineStr">
        <is>
          <t>Fringe 0.75-1.25mi</t>
        </is>
      </c>
      <c r="AP265" s="92" t="inlineStr">
        <is>
          <t>Office/institutional</t>
        </is>
      </c>
      <c r="AQ265" s="92" t="inlineStr">
        <is>
          <t>Ample &gt;=15k</t>
        </is>
      </c>
      <c r="AR265" s="100" t="n"/>
      <c r="AS265" s="96">
        <f>ROUND(INDEX('Scoring Method'!$B$63:$B$70,MATCH(AE265,'Scoring Method'!$A$63:$A$70,0))*0.625+INDEX('Scoring Method'!$B$105:$B$113,MATCH(AP265,'Scoring Method'!$A$105:$A$113,0))+INDEX('Scoring Method'!$B$74:$B$78,MATCH(AQ265,'Scoring Method'!$A$74:$A$78,0))*0.6667+INDEX('Scoring Method'!$B$96:$B$101,MATCH(AO265,'Scoring Method'!$A$96:$A$101,0))+INDEX('Scoring Method'!$B$343:$B$347,MATCH(X265,'Scoring Method'!$A$343:$A$347,0))*0.3333+INDEX('Scoring Method'!$B$25:$B$27,MATCH(P265,'Scoring Method'!$A$25:$A$27,0))*0.3333,1)</f>
        <v/>
      </c>
      <c r="AT265" s="96">
        <f>AS265*U265/100</f>
        <v/>
      </c>
      <c r="AU265" s="92" t="inlineStr">
        <is>
          <t>Levassor Park</t>
        </is>
      </c>
      <c r="AV265" s="92" t="n">
        <v>42</v>
      </c>
      <c r="AW265" s="101" t="inlineStr">
        <is>
          <t>ESTIMATED</t>
        </is>
      </c>
      <c r="AX265" s="92" t="inlineStr">
        <is>
          <t>Elevated 35-44</t>
        </is>
      </c>
      <c r="AY265" s="96">
        <f>ROUND(INDEX('Scoring Method'!$B$132:$B$140,MATCH(AE265,'Scoring Method'!$A$132:$A$140,0))+INDEX('Scoring Method'!$B$144:$B$152,MATCH(AP265,'Scoring Method'!$A$144:$A$152,0))+INDEX('Scoring Method'!$B$156:$B$160,MATCH(AQ265,'Scoring Method'!$A$156:$A$160,0))+INDEX('Scoring Method'!$B$164:$B$169,MATCH(AO265,'Scoring Method'!$A$164:$A$169,0))+INDEX('Scoring Method'!$B$173:$B$178,MATCH(AX265,'Scoring Method'!$A$173:$A$178,0))+INDEX('Scoring Method'!$B$349:$B$353,MATCH(X265,'Scoring Method'!$A$349:$A$353,0))+INDEX('Scoring Method'!$B$188:$B$190,MATCH(P265,'Scoring Method'!$A$188:$A$190,0)),1)</f>
        <v/>
      </c>
      <c r="AZ265" s="96">
        <f>AY265*U265/100</f>
        <v/>
      </c>
      <c r="BA265" s="92" t="inlineStr">
        <is>
          <t>No chain signal</t>
        </is>
      </c>
      <c r="BB265" s="94" t="n">
        <v>1</v>
      </c>
      <c r="BC265" s="102" t="inlineStr">
        <is>
          <t>Large 0.75-1.25 AC</t>
        </is>
      </c>
      <c r="BD265" s="94" t="n">
        <v>0.9</v>
      </c>
      <c r="BE265" s="96">
        <f>ROUND(INDEX('Scoring Method'!$B$268:$B$276,MATCH(AE265,'Scoring Method'!$A$268:$A$276,0))+INDEX('Scoring Method'!$B$280:$B$288,MATCH(AP265,'Scoring Method'!$A$280:$A$288,0))+INDEX('Scoring Method'!$B$292:$B$296,MATCH(AQ265,'Scoring Method'!$A$292:$A$296,0))+INDEX('Scoring Method'!$B$300:$B$305,MATCH(AO265,'Scoring Method'!$A$300:$A$305,0))+INDEX('Scoring Method'!$B$309:$B$314,MATCH(AX265,'Scoring Method'!$A$309:$A$314,0))+INDEX('Scoring Method'!$B$337:$B$341,MATCH(X265,'Scoring Method'!$A$337:$A$341,0))+INDEX('Scoring Method'!$B$324:$B$326,MATCH(P265,'Scoring Method'!$A$324:$A$326,0)),1)</f>
        <v/>
      </c>
      <c r="BF265" s="96">
        <f>ROUND(INDEX('Scoring Method'!$B$268:$B$276,MATCH(AE265,'Scoring Method'!$A$268:$A$276,0))*BB265*BD265+INDEX('Scoring Method'!$B$280:$B$288,MATCH(AP265,'Scoring Method'!$A$280:$A$288,0))*BM265*BB265*BD265+INDEX('Scoring Method'!$B$292:$B$296,MATCH(AQ265,'Scoring Method'!$A$292:$A$296,0))*BD265+INDEX('Scoring Method'!$B$300:$B$305,MATCH(AO265,'Scoring Method'!$A$300:$A$305,0))*BM265*BB265+INDEX('Scoring Method'!$B$309:$B$314,MATCH(AX265,'Scoring Method'!$A$309:$A$314,0))+INDEX('Scoring Method'!$B$337:$B$341,MATCH(X265,'Scoring Method'!$A$337:$A$341,0))+INDEX('Scoring Method'!$B$324:$B$326,MATCH(P265,'Scoring Method'!$A$324:$A$326,0)),1)</f>
        <v/>
      </c>
      <c r="BG265" s="92" t="inlineStr">
        <is>
          <t>Fits (~$9,180/mo)</t>
        </is>
      </c>
      <c r="BH265" s="61" t="inlineStr">
        <is>
          <t>AUC</t>
        </is>
      </c>
      <c r="BI265" s="61" t="inlineStr">
        <is>
          <t>Auto-Urban Commercial</t>
        </is>
      </c>
      <c r="BJ265" s="61" t="inlineStr"/>
      <c r="BK265" s="61" t="inlineStr"/>
      <c r="BL265" s="61" t="inlineStr">
        <is>
          <t>Bar permitted</t>
        </is>
      </c>
      <c r="BM265" s="61">
        <f>INDEX('Scoring Method'!$B$358:$B$363,MATCH(BL265,'Scoring Method'!$A$358:$A$363,0))</f>
        <v/>
      </c>
    </row>
    <row r="266" ht="15" customHeight="1" s="62">
      <c r="A266" s="92" t="n">
        <v>265</v>
      </c>
      <c r="B266" s="92" t="inlineStr">
        <is>
          <t>056-20-00-065.01</t>
        </is>
      </c>
      <c r="C266" s="92" t="inlineStr">
        <is>
          <t>4343 BORON AVE</t>
        </is>
      </c>
      <c r="D266" s="92" t="inlineStr">
        <is>
          <t>LUDLOW FAMILY PROPERTIES LLC</t>
        </is>
      </c>
      <c r="E266" s="92" t="inlineStr">
        <is>
          <t>4343 BORON DR</t>
        </is>
      </c>
      <c r="F266" s="92" t="inlineStr">
        <is>
          <t>COVINGTON</t>
        </is>
      </c>
      <c r="G266" s="92" t="inlineStr">
        <is>
          <t>KY</t>
        </is>
      </c>
      <c r="H266" s="92" t="inlineStr">
        <is>
          <t>AUTO SERVICE/REPAIR</t>
        </is>
      </c>
      <c r="I266" s="93" t="n">
        <v>55339</v>
      </c>
      <c r="J266" s="94">
        <f>I266/43560</f>
        <v/>
      </c>
      <c r="K266" s="93" t="n">
        <v>1249.3</v>
      </c>
      <c r="L266" s="95">
        <f>I266/(K266^2)</f>
        <v/>
      </c>
      <c r="M266" s="92" t="inlineStr">
        <is>
          <t>Marginal 10-14k/45-60k</t>
        </is>
      </c>
      <c r="N266" s="92" t="inlineStr">
        <is>
          <t>A</t>
        </is>
      </c>
      <c r="O266" s="92" t="inlineStr">
        <is>
          <t>Elongated .035-.045</t>
        </is>
      </c>
      <c r="P266" s="92" t="inlineStr">
        <is>
          <t>Moderate</t>
        </is>
      </c>
      <c r="Q266" s="92" t="inlineStr">
        <is>
          <t>Owner-occupied</t>
        </is>
      </c>
      <c r="R266" s="92" t="inlineStr">
        <is>
          <t>Passive vehicle</t>
        </is>
      </c>
      <c r="S266" s="92" t="n">
        <v>1</v>
      </c>
      <c r="T266" s="96">
        <f>INDEX('Scoring Method'!$B$6:$B$9,MATCH(M266,'Scoring Method'!$A$6:$A$9,0))+INDEX('Scoring Method'!$B$12:$B$16,MATCH(N266,'Scoring Method'!$A$12:$A$16,0))+INDEX('Scoring Method'!$B$19:$B$22,MATCH(O266,'Scoring Method'!$A$19:$A$22,0))+INDEX('Scoring Method'!$B$25:$B$27,MATCH(P266,'Scoring Method'!$A$25:$A$27,0))</f>
        <v/>
      </c>
      <c r="U266" s="96">
        <f>(INDEX('Scoring Method'!$B$30:$B$33,MATCH(Q266,'Scoring Method'!$A$30:$A$33,0))+INDEX('Scoring Method'!$B$36:$B$42,MATCH(R266,'Scoring Method'!$A$36:$A$42,0))+INDEX('Scoring Method'!$B$45:$B$47,MATCH(IF(S266=1,"1",IF(S266=2,"2","3+")),'Scoring Method'!$A$45:$A$47,0)))/90*100</f>
        <v/>
      </c>
      <c r="V266" s="96">
        <f>T266*U266/100</f>
        <v/>
      </c>
      <c r="W266" s="93" t="n">
        <v>12000</v>
      </c>
      <c r="X266" s="92" t="inlineStr">
        <is>
          <t>X (minimal hazard)</t>
        </is>
      </c>
      <c r="Y266" s="93" t="n">
        <v>41925</v>
      </c>
      <c r="Z266" s="97" t="n"/>
      <c r="AA266" s="98">
        <f>MAX(0,(Y266-5000)/300)</f>
        <v/>
      </c>
      <c r="AB266" s="92" t="n"/>
      <c r="AC266" s="92" t="n"/>
      <c r="AD266" s="92" t="n"/>
      <c r="AE266" s="92" t="inlineStr">
        <is>
          <t>Oversize 6-12k</t>
        </is>
      </c>
      <c r="AF266" s="96">
        <f>INDEX('Scoring Method'!$B$63:$B$71,MATCH(AE266,'Scoring Method'!$A$63:$A$71,0))+INDEX('Scoring Method'!$B$75:$B$79,MATCH("Ample &gt;=15k",'Scoring Method'!$A$75:$A$79,0))+INDEX('Scoring Method'!$B$343:$B$347,MATCH(X266,'Scoring Method'!$A$343:$A$347,0))+INDEX('Scoring Method'!$B$25:$B$27,MATCH(P266,'Scoring Method'!$A$25:$A$27,0))</f>
        <v/>
      </c>
      <c r="AG266" s="96">
        <f>AF266*U266/100</f>
        <v/>
      </c>
      <c r="AH266" s="92" t="inlineStr">
        <is>
          <t>LINK-GIS + LoopNet (2026-08-02)</t>
        </is>
      </c>
      <c r="AI266" s="99" t="n">
        <v>39.04133</v>
      </c>
      <c r="AJ266" s="99" t="n">
        <v>-84.51379</v>
      </c>
      <c r="AK266" s="94" t="n">
        <v>2.98</v>
      </c>
      <c r="AL266" s="94" t="n">
        <v>3.43</v>
      </c>
      <c r="AM266" s="94" t="n">
        <v>4.16</v>
      </c>
      <c r="AN266" s="94" t="n">
        <v>2.95</v>
      </c>
      <c r="AO266" s="92" t="inlineStr">
        <is>
          <t>Distant 2-3mi</t>
        </is>
      </c>
      <c r="AP266" s="92" t="inlineStr">
        <is>
          <t>Open span</t>
        </is>
      </c>
      <c r="AQ266" s="92" t="inlineStr">
        <is>
          <t>Ample &gt;=15k</t>
        </is>
      </c>
      <c r="AR266" s="100" t="n"/>
      <c r="AS266" s="96">
        <f>ROUND(INDEX('Scoring Method'!$B$63:$B$70,MATCH(AE266,'Scoring Method'!$A$63:$A$70,0))*0.625+INDEX('Scoring Method'!$B$105:$B$113,MATCH(AP266,'Scoring Method'!$A$105:$A$113,0))+INDEX('Scoring Method'!$B$74:$B$78,MATCH(AQ266,'Scoring Method'!$A$74:$A$78,0))*0.6667+INDEX('Scoring Method'!$B$96:$B$101,MATCH(AO266,'Scoring Method'!$A$96:$A$101,0))+INDEX('Scoring Method'!$B$343:$B$347,MATCH(X266,'Scoring Method'!$A$343:$A$347,0))*0.3333+INDEX('Scoring Method'!$B$25:$B$27,MATCH(P266,'Scoring Method'!$A$25:$A$27,0))*0.3333,1)</f>
        <v/>
      </c>
      <c r="AT266" s="96">
        <f>AS266*U266/100</f>
        <v/>
      </c>
      <c r="AU266" s="92" t="inlineStr">
        <is>
          <t>Rittes East / Winston Park</t>
        </is>
      </c>
      <c r="AV266" s="92" t="n">
        <v>82</v>
      </c>
      <c r="AW266" s="92" t="inlineStr">
        <is>
          <t>Sourced</t>
        </is>
      </c>
      <c r="AX266" s="92" t="inlineStr">
        <is>
          <t>Very safe 80+</t>
        </is>
      </c>
      <c r="AY266" s="96">
        <f>ROUND(INDEX('Scoring Method'!$B$132:$B$140,MATCH(AE266,'Scoring Method'!$A$132:$A$140,0))+INDEX('Scoring Method'!$B$144:$B$152,MATCH(AP266,'Scoring Method'!$A$144:$A$152,0))+INDEX('Scoring Method'!$B$156:$B$160,MATCH(AQ266,'Scoring Method'!$A$156:$A$160,0))+INDEX('Scoring Method'!$B$164:$B$169,MATCH(AO266,'Scoring Method'!$A$164:$A$169,0))+INDEX('Scoring Method'!$B$173:$B$178,MATCH(AX266,'Scoring Method'!$A$173:$A$178,0))+INDEX('Scoring Method'!$B$349:$B$353,MATCH(X266,'Scoring Method'!$A$349:$A$353,0))+INDEX('Scoring Method'!$B$188:$B$190,MATCH(P266,'Scoring Method'!$A$188:$A$190,0)),1)</f>
        <v/>
      </c>
      <c r="AZ266" s="96">
        <f>AY266*U266/100</f>
        <v/>
      </c>
      <c r="BA266" s="92" t="inlineStr">
        <is>
          <t>Owner-occupied operator</t>
        </is>
      </c>
      <c r="BB266" s="94" t="n">
        <v>0.8</v>
      </c>
      <c r="BC266" s="103" t="inlineStr">
        <is>
          <t>Oversized &gt;1.25 AC</t>
        </is>
      </c>
      <c r="BD266" s="94" t="n">
        <v>0.65</v>
      </c>
      <c r="BE266" s="96">
        <f>ROUND(INDEX('Scoring Method'!$B$268:$B$276,MATCH(AE266,'Scoring Method'!$A$268:$A$276,0))+INDEX('Scoring Method'!$B$280:$B$288,MATCH(AP266,'Scoring Method'!$A$280:$A$288,0))+INDEX('Scoring Method'!$B$292:$B$296,MATCH(AQ266,'Scoring Method'!$A$292:$A$296,0))+INDEX('Scoring Method'!$B$300:$B$305,MATCH(AO266,'Scoring Method'!$A$300:$A$305,0))+INDEX('Scoring Method'!$B$309:$B$314,MATCH(AX266,'Scoring Method'!$A$309:$A$314,0))+INDEX('Scoring Method'!$B$337:$B$341,MATCH(X266,'Scoring Method'!$A$337:$A$341,0))+INDEX('Scoring Method'!$B$324:$B$326,MATCH(P266,'Scoring Method'!$A$324:$A$326,0)),1)</f>
        <v/>
      </c>
      <c r="BF266" s="96">
        <f>ROUND(INDEX('Scoring Method'!$B$268:$B$276,MATCH(AE266,'Scoring Method'!$A$268:$A$276,0))*BB266*BD266+INDEX('Scoring Method'!$B$280:$B$288,MATCH(AP266,'Scoring Method'!$A$280:$A$288,0))*BM266*BB266*BD266+INDEX('Scoring Method'!$B$292:$B$296,MATCH(AQ266,'Scoring Method'!$A$292:$A$296,0))*BD266+INDEX('Scoring Method'!$B$300:$B$305,MATCH(AO266,'Scoring Method'!$A$300:$A$305,0))*BM266*BB266+INDEX('Scoring Method'!$B$309:$B$314,MATCH(AX266,'Scoring Method'!$A$309:$A$314,0))+INDEX('Scoring Method'!$B$337:$B$341,MATCH(X266,'Scoring Method'!$A$337:$A$341,0))+INDEX('Scoring Method'!$B$324:$B$326,MATCH(P266,'Scoring Method'!$A$324:$A$326,0)),1)</f>
        <v/>
      </c>
      <c r="BG266" s="102" t="inlineStr">
        <is>
          <t>Fits (~$11,000/mo)</t>
        </is>
      </c>
      <c r="BH266" s="61" t="inlineStr">
        <is>
          <t>SI</t>
        </is>
      </c>
      <c r="BI266" s="61" t="inlineStr">
        <is>
          <t>Suburban Industrial</t>
        </is>
      </c>
      <c r="BJ266" s="61" t="inlineStr"/>
      <c r="BK266" s="61" t="inlineStr"/>
      <c r="BL266" s="61" t="inlineStr">
        <is>
          <t>Bar permitted</t>
        </is>
      </c>
      <c r="BM266" s="61">
        <f>INDEX('Scoring Method'!$B$358:$B$363,MATCH(BL266,'Scoring Method'!$A$358:$A$363,0))</f>
        <v/>
      </c>
    </row>
    <row r="267" ht="15" customHeight="1" s="62">
      <c r="A267" s="92" t="n">
        <v>266</v>
      </c>
      <c r="B267" s="92" t="inlineStr">
        <is>
          <t>054-23-08-001.00</t>
        </is>
      </c>
      <c r="C267" s="92" t="inlineStr">
        <is>
          <t>700 MADISON AVE</t>
        </is>
      </c>
      <c r="D267" s="92" t="inlineStr">
        <is>
          <t>BOPPER PROPERTIES LLC</t>
        </is>
      </c>
      <c r="E267" s="92" t="inlineStr">
        <is>
          <t>700 MADISON AVE</t>
        </is>
      </c>
      <c r="F267" s="92" t="inlineStr">
        <is>
          <t>COVINGTON</t>
        </is>
      </c>
      <c r="G267" s="92" t="inlineStr">
        <is>
          <t>KY</t>
        </is>
      </c>
      <c r="H267" s="92" t="inlineStr">
        <is>
          <t>OFFICE BLDG 1 OR 2 STORY</t>
        </is>
      </c>
      <c r="I267" s="93" t="n">
        <v>9278</v>
      </c>
      <c r="J267" s="94">
        <f>I267/43560</f>
        <v/>
      </c>
      <c r="K267" s="93" t="n">
        <v>390</v>
      </c>
      <c r="L267" s="95">
        <f>I267/(K267^2)</f>
        <v/>
      </c>
      <c r="M267" s="92" t="inlineStr">
        <is>
          <t>Poor &lt;10k/&gt;60k</t>
        </is>
      </c>
      <c r="N267" s="92" t="inlineStr">
        <is>
          <t>E</t>
        </is>
      </c>
      <c r="O267" s="92" t="inlineStr">
        <is>
          <t>Compact &gt;=.055</t>
        </is>
      </c>
      <c r="P267" s="92" t="inlineStr">
        <is>
          <t>Low</t>
        </is>
      </c>
      <c r="Q267" s="92" t="inlineStr">
        <is>
          <t>Owner-occupied</t>
        </is>
      </c>
      <c r="R267" s="92" t="inlineStr">
        <is>
          <t>Passive vehicle</t>
        </is>
      </c>
      <c r="S267" s="92" t="n">
        <v>3</v>
      </c>
      <c r="T267" s="96">
        <f>INDEX('Scoring Method'!$B$6:$B$9,MATCH(M267,'Scoring Method'!$A$6:$A$9,0))+INDEX('Scoring Method'!$B$12:$B$16,MATCH(N267,'Scoring Method'!$A$12:$A$16,0))+INDEX('Scoring Method'!$B$19:$B$22,MATCH(O267,'Scoring Method'!$A$19:$A$22,0))+INDEX('Scoring Method'!$B$25:$B$27,MATCH(P267,'Scoring Method'!$A$25:$A$27,0))</f>
        <v/>
      </c>
      <c r="U267" s="96">
        <f>(INDEX('Scoring Method'!$B$30:$B$33,MATCH(Q267,'Scoring Method'!$A$30:$A$33,0))+INDEX('Scoring Method'!$B$36:$B$42,MATCH(R267,'Scoring Method'!$A$36:$A$42,0))+INDEX('Scoring Method'!$B$45:$B$47,MATCH(IF(S267=1,"1",IF(S267=2,"2","3+")),'Scoring Method'!$A$45:$A$47,0)))/90*100</f>
        <v/>
      </c>
      <c r="V267" s="96">
        <f>T267*U267/100</f>
        <v/>
      </c>
      <c r="W267" s="93" t="n">
        <v>27798</v>
      </c>
      <c r="X267" s="92" t="inlineStr">
        <is>
          <t>X (minimal hazard)</t>
        </is>
      </c>
      <c r="Y267" s="93" t="n">
        <v>0</v>
      </c>
      <c r="Z267" s="97" t="n"/>
      <c r="AA267" s="98">
        <f>MAX(0,(Y267-5000)/300)</f>
        <v/>
      </c>
      <c r="AB267" s="92" t="n"/>
      <c r="AC267" s="92" t="n"/>
      <c r="AD267" s="92" t="n"/>
      <c r="AE267" s="92" t="inlineStr">
        <is>
          <t>Far oversize &gt;12k</t>
        </is>
      </c>
      <c r="AF267" s="96">
        <f>INDEX('Scoring Method'!$B$63:$B$71,MATCH(AE267,'Scoring Method'!$A$63:$A$71,0))+INDEX('Scoring Method'!$B$75:$B$79,MATCH("Insufficient &lt;2k",'Scoring Method'!$A$75:$A$79,0))+INDEX('Scoring Method'!$B$343:$B$347,MATCH(X267,'Scoring Method'!$A$343:$A$347,0))+INDEX('Scoring Method'!$B$25:$B$27,MATCH(P267,'Scoring Method'!$A$25:$A$27,0))</f>
        <v/>
      </c>
      <c r="AG267" s="96">
        <f>AF267*U267/100</f>
        <v/>
      </c>
      <c r="AH267" s="92" t="inlineStr">
        <is>
          <t>LINK-GIS + LoopNet (2026-08-03)</t>
        </is>
      </c>
      <c r="AI267" s="99" t="n">
        <v>39.08332</v>
      </c>
      <c r="AJ267" s="99" t="n">
        <v>-84.50979</v>
      </c>
      <c r="AK267" s="94" t="n">
        <v>0.44</v>
      </c>
      <c r="AL267" s="94" t="n">
        <v>0.53</v>
      </c>
      <c r="AM267" s="94" t="n">
        <v>1.26</v>
      </c>
      <c r="AN267" s="94" t="n">
        <v>0.08</v>
      </c>
      <c r="AO267" s="92" t="inlineStr">
        <is>
          <t>Core &lt;=0.35mi</t>
        </is>
      </c>
      <c r="AP267" s="92" t="inlineStr">
        <is>
          <t>Office/institutional</t>
        </is>
      </c>
      <c r="AQ267" s="92" t="inlineStr">
        <is>
          <t>Insufficient &lt;2k</t>
        </is>
      </c>
      <c r="AR267" s="100" t="n"/>
      <c r="AS267" s="96">
        <f>ROUND(INDEX('Scoring Method'!$B$63:$B$70,MATCH(AE267,'Scoring Method'!$A$63:$A$70,0))*0.625+INDEX('Scoring Method'!$B$105:$B$113,MATCH(AP267,'Scoring Method'!$A$105:$A$113,0))+INDEX('Scoring Method'!$B$74:$B$78,MATCH(AQ267,'Scoring Method'!$A$74:$A$78,0))*0.6667+INDEX('Scoring Method'!$B$96:$B$101,MATCH(AO267,'Scoring Method'!$A$96:$A$101,0))+INDEX('Scoring Method'!$B$343:$B$347,MATCH(X267,'Scoring Method'!$A$343:$A$347,0))*0.3333+INDEX('Scoring Method'!$B$25:$B$27,MATCH(P267,'Scoring Method'!$A$25:$A$27,0))*0.3333,1)</f>
        <v/>
      </c>
      <c r="AT267" s="96">
        <f>AS267*U267/100</f>
        <v/>
      </c>
      <c r="AU267" s="92" t="inlineStr">
        <is>
          <t>Central Business District</t>
        </is>
      </c>
      <c r="AV267" s="92" t="n">
        <v>48</v>
      </c>
      <c r="AW267" s="101" t="inlineStr">
        <is>
          <t>ESTIMATED</t>
        </is>
      </c>
      <c r="AX267" s="92" t="inlineStr">
        <is>
          <t>Mixed 45-59</t>
        </is>
      </c>
      <c r="AY267" s="96">
        <f>ROUND(INDEX('Scoring Method'!$B$132:$B$140,MATCH(AE267,'Scoring Method'!$A$132:$A$140,0))+INDEX('Scoring Method'!$B$144:$B$152,MATCH(AP267,'Scoring Method'!$A$144:$A$152,0))+INDEX('Scoring Method'!$B$156:$B$160,MATCH(AQ267,'Scoring Method'!$A$156:$A$160,0))+INDEX('Scoring Method'!$B$164:$B$169,MATCH(AO267,'Scoring Method'!$A$164:$A$169,0))+INDEX('Scoring Method'!$B$173:$B$178,MATCH(AX267,'Scoring Method'!$A$173:$A$178,0))+INDEX('Scoring Method'!$B$349:$B$353,MATCH(X267,'Scoring Method'!$A$349:$A$353,0))+INDEX('Scoring Method'!$B$188:$B$190,MATCH(P267,'Scoring Method'!$A$188:$A$190,0)),1)</f>
        <v/>
      </c>
      <c r="AZ267" s="96">
        <f>AY267*U267/100</f>
        <v/>
      </c>
      <c r="BA267" s="92" t="inlineStr">
        <is>
          <t>Owner-occupied operator</t>
        </is>
      </c>
      <c r="BB267" s="94" t="n">
        <v>0.8</v>
      </c>
      <c r="BC267" s="103" t="inlineStr">
        <is>
          <t>Extra small 0.15-0.25 AC</t>
        </is>
      </c>
      <c r="BD267" s="94" t="n">
        <v>0.8</v>
      </c>
      <c r="BE267" s="96">
        <f>ROUND(INDEX('Scoring Method'!$B$268:$B$276,MATCH(AE267,'Scoring Method'!$A$268:$A$276,0))+INDEX('Scoring Method'!$B$280:$B$288,MATCH(AP267,'Scoring Method'!$A$280:$A$288,0))+INDEX('Scoring Method'!$B$292:$B$296,MATCH(AQ267,'Scoring Method'!$A$292:$A$296,0))+INDEX('Scoring Method'!$B$300:$B$305,MATCH(AO267,'Scoring Method'!$A$300:$A$305,0))+INDEX('Scoring Method'!$B$309:$B$314,MATCH(AX267,'Scoring Method'!$A$309:$A$314,0))+INDEX('Scoring Method'!$B$337:$B$341,MATCH(X267,'Scoring Method'!$A$337:$A$341,0))+INDEX('Scoring Method'!$B$324:$B$326,MATCH(P267,'Scoring Method'!$A$324:$A$326,0)),1)</f>
        <v/>
      </c>
      <c r="BF267" s="96">
        <f>ROUND(INDEX('Scoring Method'!$B$268:$B$276,MATCH(AE267,'Scoring Method'!$A$268:$A$276,0))*BB267*BD267+INDEX('Scoring Method'!$B$280:$B$288,MATCH(AP267,'Scoring Method'!$A$280:$A$288,0))*BM267*BB267*BD267+INDEX('Scoring Method'!$B$292:$B$296,MATCH(AQ267,'Scoring Method'!$A$292:$A$296,0))*BD267+INDEX('Scoring Method'!$B$300:$B$305,MATCH(AO267,'Scoring Method'!$A$300:$A$305,0))*BM267*BB267+INDEX('Scoring Method'!$B$309:$B$314,MATCH(AX267,'Scoring Method'!$A$309:$A$314,0))+INDEX('Scoring Method'!$B$337:$B$341,MATCH(X267,'Scoring Method'!$A$337:$A$341,0))+INDEX('Scoring Method'!$B$324:$B$326,MATCH(P267,'Scoring Method'!$A$324:$A$326,0)),1)</f>
        <v/>
      </c>
      <c r="BG267" s="92" t="inlineStr">
        <is>
          <t>Over (~$25,482/mo)</t>
        </is>
      </c>
      <c r="BH267" s="61" t="inlineStr">
        <is>
          <t>DTC (HP)</t>
        </is>
      </c>
      <c r="BI267" s="61" t="inlineStr">
        <is>
          <t>Downtown Core</t>
        </is>
      </c>
      <c r="BJ267" s="61" t="inlineStr">
        <is>
          <t>HP</t>
        </is>
      </c>
      <c r="BK267" s="61" t="inlineStr"/>
      <c r="BL267" s="61" t="inlineStr">
        <is>
          <t>Bar permitted</t>
        </is>
      </c>
      <c r="BM267" s="61">
        <f>INDEX('Scoring Method'!$B$358:$B$363,MATCH(BL267,'Scoring Method'!$A$358:$A$363,0))</f>
        <v/>
      </c>
    </row>
    <row r="268" ht="15" customHeight="1" s="62">
      <c r="A268" s="92" t="n">
        <v>267</v>
      </c>
      <c r="B268" s="92" t="inlineStr">
        <is>
          <t>055-31-19-010.00</t>
        </is>
      </c>
      <c r="C268" s="92" t="inlineStr">
        <is>
          <t>1556 EASTERN AVE</t>
        </is>
      </c>
      <c r="D268" s="92" t="inlineStr">
        <is>
          <t>JASON BOWEN RENTAL LLC</t>
        </is>
      </c>
      <c r="E268" s="92" t="inlineStr">
        <is>
          <t>1556 EASTERN AVE</t>
        </is>
      </c>
      <c r="F268" s="92" t="inlineStr">
        <is>
          <t>COVINGTON</t>
        </is>
      </c>
      <c r="G268" s="92" t="inlineStr">
        <is>
          <t>KY</t>
        </is>
      </c>
      <c r="H268" s="92" t="inlineStr">
        <is>
          <t>WAREHOUSE 1-20000 SQ FT</t>
        </is>
      </c>
      <c r="I268" s="93" t="n">
        <v>9215</v>
      </c>
      <c r="J268" s="94">
        <f>I268/43560</f>
        <v/>
      </c>
      <c r="K268" s="93" t="n">
        <v>479.9</v>
      </c>
      <c r="L268" s="95">
        <f>I268/(K268^2)</f>
        <v/>
      </c>
      <c r="M268" s="92" t="inlineStr">
        <is>
          <t>Poor &lt;10k/&gt;60k</t>
        </is>
      </c>
      <c r="N268" s="92" t="inlineStr">
        <is>
          <t>A</t>
        </is>
      </c>
      <c r="O268" s="92" t="inlineStr">
        <is>
          <t>Elongated .035-.045</t>
        </is>
      </c>
      <c r="P268" s="92" t="inlineStr">
        <is>
          <t>Low</t>
        </is>
      </c>
      <c r="Q268" s="92" t="inlineStr">
        <is>
          <t>Owner-occupied</t>
        </is>
      </c>
      <c r="R268" s="92" t="inlineStr">
        <is>
          <t>Passive vehicle</t>
        </is>
      </c>
      <c r="S268" s="92" t="n">
        <v>1</v>
      </c>
      <c r="T268" s="96">
        <f>INDEX('Scoring Method'!$B$6:$B$9,MATCH(M268,'Scoring Method'!$A$6:$A$9,0))+INDEX('Scoring Method'!$B$12:$B$16,MATCH(N268,'Scoring Method'!$A$12:$A$16,0))+INDEX('Scoring Method'!$B$19:$B$22,MATCH(O268,'Scoring Method'!$A$19:$A$22,0))+INDEX('Scoring Method'!$B$25:$B$27,MATCH(P268,'Scoring Method'!$A$25:$A$27,0))</f>
        <v/>
      </c>
      <c r="U268" s="96">
        <f>(INDEX('Scoring Method'!$B$30:$B$33,MATCH(Q268,'Scoring Method'!$A$30:$A$33,0))+INDEX('Scoring Method'!$B$36:$B$42,MATCH(R268,'Scoring Method'!$A$36:$A$42,0))+INDEX('Scoring Method'!$B$45:$B$47,MATCH(IF(S268=1,"1",IF(S268=2,"2","3+")),'Scoring Method'!$A$45:$A$47,0)))/90*100</f>
        <v/>
      </c>
      <c r="V268" s="96">
        <f>T268*U268/100</f>
        <v/>
      </c>
      <c r="W268" s="93" t="n">
        <v>9118</v>
      </c>
      <c r="X268" s="92" t="inlineStr">
        <is>
          <t>X (minimal hazard)</t>
        </is>
      </c>
      <c r="Y268" s="93" t="n">
        <v>0</v>
      </c>
      <c r="Z268" s="97" t="n"/>
      <c r="AA268" s="98">
        <f>MAX(0,(Y268-5000)/300)</f>
        <v/>
      </c>
      <c r="AB268" s="92" t="n"/>
      <c r="AC268" s="92" t="n"/>
      <c r="AD268" s="92" t="n"/>
      <c r="AE268" s="92" t="inlineStr">
        <is>
          <t>Oversize 6-12k</t>
        </is>
      </c>
      <c r="AF268" s="96">
        <f>INDEX('Scoring Method'!$B$63:$B$71,MATCH(AE268,'Scoring Method'!$A$63:$A$71,0))+INDEX('Scoring Method'!$B$75:$B$79,MATCH("Insufficient &lt;2k",'Scoring Method'!$A$75:$A$79,0))+INDEX('Scoring Method'!$B$343:$B$347,MATCH(X268,'Scoring Method'!$A$343:$A$347,0))+INDEX('Scoring Method'!$B$25:$B$27,MATCH(P268,'Scoring Method'!$A$25:$A$27,0))</f>
        <v/>
      </c>
      <c r="AG268" s="96">
        <f>AF268*U268/100</f>
        <v/>
      </c>
      <c r="AH268" s="92" t="inlineStr">
        <is>
          <t>LINK-GIS + LoopNet (2026-08-02)</t>
        </is>
      </c>
      <c r="AI268" s="99" t="n">
        <v>39.07316</v>
      </c>
      <c r="AJ268" s="99" t="n">
        <v>-84.49825</v>
      </c>
      <c r="AK268" s="94" t="n">
        <v>1.31</v>
      </c>
      <c r="AL268" s="94" t="n">
        <v>1.34</v>
      </c>
      <c r="AM268" s="94" t="n">
        <v>2.1</v>
      </c>
      <c r="AN268" s="94" t="n">
        <v>1.02</v>
      </c>
      <c r="AO268" s="92" t="inlineStr">
        <is>
          <t>Fringe 0.75-1.25mi</t>
        </is>
      </c>
      <c r="AP268" s="92" t="inlineStr">
        <is>
          <t>Open span</t>
        </is>
      </c>
      <c r="AQ268" s="92" t="inlineStr">
        <is>
          <t>Insufficient &lt;2k</t>
        </is>
      </c>
      <c r="AR268" s="100" t="n"/>
      <c r="AS268" s="96">
        <f>ROUND(INDEX('Scoring Method'!$B$63:$B$70,MATCH(AE268,'Scoring Method'!$A$63:$A$70,0))*0.625+INDEX('Scoring Method'!$B$105:$B$113,MATCH(AP268,'Scoring Method'!$A$105:$A$113,0))+INDEX('Scoring Method'!$B$74:$B$78,MATCH(AQ268,'Scoring Method'!$A$74:$A$78,0))*0.6667+INDEX('Scoring Method'!$B$96:$B$101,MATCH(AO268,'Scoring Method'!$A$96:$A$101,0))+INDEX('Scoring Method'!$B$343:$B$347,MATCH(X268,'Scoring Method'!$A$343:$A$347,0))*0.3333+INDEX('Scoring Method'!$B$25:$B$27,MATCH(P268,'Scoring Method'!$A$25:$A$27,0))*0.3333,1)</f>
        <v/>
      </c>
      <c r="AT268" s="96">
        <f>AS268*U268/100</f>
        <v/>
      </c>
      <c r="AU268" s="92" t="inlineStr">
        <is>
          <t>Austinburg</t>
        </is>
      </c>
      <c r="AV268" s="92" t="n">
        <v>32</v>
      </c>
      <c r="AW268" s="101" t="inlineStr">
        <is>
          <t>ESTIMATED</t>
        </is>
      </c>
      <c r="AX268" s="92" t="inlineStr">
        <is>
          <t>High &lt;35</t>
        </is>
      </c>
      <c r="AY268" s="96">
        <f>ROUND(INDEX('Scoring Method'!$B$132:$B$140,MATCH(AE268,'Scoring Method'!$A$132:$A$140,0))+INDEX('Scoring Method'!$B$144:$B$152,MATCH(AP268,'Scoring Method'!$A$144:$A$152,0))+INDEX('Scoring Method'!$B$156:$B$160,MATCH(AQ268,'Scoring Method'!$A$156:$A$160,0))+INDEX('Scoring Method'!$B$164:$B$169,MATCH(AO268,'Scoring Method'!$A$164:$A$169,0))+INDEX('Scoring Method'!$B$173:$B$178,MATCH(AX268,'Scoring Method'!$A$173:$A$178,0))+INDEX('Scoring Method'!$B$349:$B$353,MATCH(X268,'Scoring Method'!$A$349:$A$353,0))+INDEX('Scoring Method'!$B$188:$B$190,MATCH(P268,'Scoring Method'!$A$188:$A$190,0)),1)</f>
        <v/>
      </c>
      <c r="AZ268" s="96">
        <f>AY268*U268/100</f>
        <v/>
      </c>
      <c r="BA268" s="92" t="inlineStr">
        <is>
          <t>Owner-occupied operator</t>
        </is>
      </c>
      <c r="BB268" s="94" t="n">
        <v>0.8</v>
      </c>
      <c r="BC268" s="103" t="inlineStr">
        <is>
          <t>Extra small 0.15-0.25 AC</t>
        </is>
      </c>
      <c r="BD268" s="94" t="n">
        <v>0.8</v>
      </c>
      <c r="BE268" s="96">
        <f>ROUND(INDEX('Scoring Method'!$B$268:$B$276,MATCH(AE268,'Scoring Method'!$A$268:$A$276,0))+INDEX('Scoring Method'!$B$280:$B$288,MATCH(AP268,'Scoring Method'!$A$280:$A$288,0))+INDEX('Scoring Method'!$B$292:$B$296,MATCH(AQ268,'Scoring Method'!$A$292:$A$296,0))+INDEX('Scoring Method'!$B$300:$B$305,MATCH(AO268,'Scoring Method'!$A$300:$A$305,0))+INDEX('Scoring Method'!$B$309:$B$314,MATCH(AX268,'Scoring Method'!$A$309:$A$314,0))+INDEX('Scoring Method'!$B$337:$B$341,MATCH(X268,'Scoring Method'!$A$337:$A$341,0))+INDEX('Scoring Method'!$B$324:$B$326,MATCH(P268,'Scoring Method'!$A$324:$A$326,0)),1)</f>
        <v/>
      </c>
      <c r="BF268" s="96">
        <f>ROUND(INDEX('Scoring Method'!$B$268:$B$276,MATCH(AE268,'Scoring Method'!$A$268:$A$276,0))*BB268*BD268+INDEX('Scoring Method'!$B$280:$B$288,MATCH(AP268,'Scoring Method'!$A$280:$A$288,0))*BM268*BB268*BD268+INDEX('Scoring Method'!$B$292:$B$296,MATCH(AQ268,'Scoring Method'!$A$292:$A$296,0))*BD268+INDEX('Scoring Method'!$B$300:$B$305,MATCH(AO268,'Scoring Method'!$A$300:$A$305,0))*BM268*BB268+INDEX('Scoring Method'!$B$309:$B$314,MATCH(AX268,'Scoring Method'!$A$309:$A$314,0))+INDEX('Scoring Method'!$B$337:$B$341,MATCH(X268,'Scoring Method'!$A$337:$A$341,0))+INDEX('Scoring Method'!$B$324:$B$326,MATCH(P268,'Scoring Method'!$A$324:$A$326,0)),1)</f>
        <v/>
      </c>
      <c r="BG268" s="92" t="inlineStr">
        <is>
          <t>Fits (~$8,358/mo)</t>
        </is>
      </c>
      <c r="BH268" s="61" t="inlineStr">
        <is>
          <t>CMU</t>
        </is>
      </c>
      <c r="BI268" s="61" t="inlineStr">
        <is>
          <t>Commercial Mixed Use</t>
        </is>
      </c>
      <c r="BJ268" s="61" t="inlineStr"/>
      <c r="BK268" s="61" t="inlineStr"/>
      <c r="BL268" s="61" t="inlineStr">
        <is>
          <t>Bar permitted</t>
        </is>
      </c>
      <c r="BM268" s="61">
        <f>INDEX('Scoring Method'!$B$358:$B$363,MATCH(BL268,'Scoring Method'!$A$358:$A$363,0))</f>
        <v/>
      </c>
    </row>
    <row r="269" ht="15" customHeight="1" s="62">
      <c r="A269" s="92" t="n">
        <v>268</v>
      </c>
      <c r="B269" s="92" t="inlineStr">
        <is>
          <t>055-32-26-001.00</t>
        </is>
      </c>
      <c r="C269" s="92" t="inlineStr">
        <is>
          <t>1726 OAKLAND AVE</t>
        </is>
      </c>
      <c r="D269" s="92" t="inlineStr">
        <is>
          <t>KENTUCKY LIVERY CORP</t>
        </is>
      </c>
      <c r="E269" s="92" t="inlineStr">
        <is>
          <t>1726 OAKLAND AVE</t>
        </is>
      </c>
      <c r="F269" s="92" t="inlineStr">
        <is>
          <t>COVINGTON</t>
        </is>
      </c>
      <c r="G269" s="92" t="inlineStr">
        <is>
          <t>KY</t>
        </is>
      </c>
      <c r="H269" s="92" t="inlineStr">
        <is>
          <t>SMALL SHOP</t>
        </is>
      </c>
      <c r="I269" s="93" t="n">
        <v>18344</v>
      </c>
      <c r="J269" s="94">
        <f>I269/43560</f>
        <v/>
      </c>
      <c r="K269" s="93" t="n">
        <v>566.9</v>
      </c>
      <c r="L269" s="95">
        <f>I269/(K269^2)</f>
        <v/>
      </c>
      <c r="M269" s="92" t="inlineStr">
        <is>
          <t>Ideal 18-32k</t>
        </is>
      </c>
      <c r="N269" s="92" t="inlineStr">
        <is>
          <t>A</t>
        </is>
      </c>
      <c r="O269" s="92" t="inlineStr">
        <is>
          <t>Compact &gt;=.055</t>
        </is>
      </c>
      <c r="P269" s="92" t="inlineStr">
        <is>
          <t>Low</t>
        </is>
      </c>
      <c r="Q269" s="92" t="inlineStr">
        <is>
          <t>Owner-occupied</t>
        </is>
      </c>
      <c r="R269" s="92" t="inlineStr">
        <is>
          <t>Operating entity</t>
        </is>
      </c>
      <c r="S269" s="92" t="n">
        <v>1</v>
      </c>
      <c r="T269" s="96">
        <f>INDEX('Scoring Method'!$B$6:$B$9,MATCH(M269,'Scoring Method'!$A$6:$A$9,0))+INDEX('Scoring Method'!$B$12:$B$16,MATCH(N269,'Scoring Method'!$A$12:$A$16,0))+INDEX('Scoring Method'!$B$19:$B$22,MATCH(O269,'Scoring Method'!$A$19:$A$22,0))+INDEX('Scoring Method'!$B$25:$B$27,MATCH(P269,'Scoring Method'!$A$25:$A$27,0))</f>
        <v/>
      </c>
      <c r="U269" s="96">
        <f>(INDEX('Scoring Method'!$B$30:$B$33,MATCH(Q269,'Scoring Method'!$A$30:$A$33,0))+INDEX('Scoring Method'!$B$36:$B$42,MATCH(R269,'Scoring Method'!$A$36:$A$42,0))+INDEX('Scoring Method'!$B$45:$B$47,MATCH(IF(S269=1,"1",IF(S269=2,"2","3+")),'Scoring Method'!$A$45:$A$47,0)))/90*100</f>
        <v/>
      </c>
      <c r="V269" s="96">
        <f>T269*U269/100</f>
        <v/>
      </c>
      <c r="W269" s="93" t="n">
        <v>8400</v>
      </c>
      <c r="X269" s="92" t="inlineStr">
        <is>
          <t>X (levee-protected)</t>
        </is>
      </c>
      <c r="Y269" s="93" t="n">
        <v>7975</v>
      </c>
      <c r="Z269" s="97" t="n"/>
      <c r="AA269" s="98">
        <f>MAX(0,(Y269-5000)/300)</f>
        <v/>
      </c>
      <c r="AB269" s="92" t="n"/>
      <c r="AC269" s="92" t="n"/>
      <c r="AD269" s="92" t="n"/>
      <c r="AE269" s="92" t="inlineStr">
        <is>
          <t>Oversize 6-12k</t>
        </is>
      </c>
      <c r="AF269" s="96">
        <f>INDEX('Scoring Method'!$B$63:$B$71,MATCH(AE269,'Scoring Method'!$A$63:$A$71,0))+INDEX('Scoring Method'!$B$75:$B$79,MATCH("Adequate 5-8k",'Scoring Method'!$A$75:$A$79,0))+INDEX('Scoring Method'!$B$343:$B$347,MATCH(X269,'Scoring Method'!$A$343:$A$347,0))+INDEX('Scoring Method'!$B$25:$B$27,MATCH(P269,'Scoring Method'!$A$25:$A$27,0))</f>
        <v/>
      </c>
      <c r="AG269" s="96">
        <f>AF269*U269/100</f>
        <v/>
      </c>
      <c r="AH269" s="92" t="inlineStr">
        <is>
          <t>LINK-GIS + LoopNet (2026-08-03)</t>
        </is>
      </c>
      <c r="AI269" s="99" t="n">
        <v>39.0706</v>
      </c>
      <c r="AJ269" s="99" t="n">
        <v>-84.49696</v>
      </c>
      <c r="AK269" s="94" t="n">
        <v>1.47</v>
      </c>
      <c r="AL269" s="94" t="n">
        <v>1.53</v>
      </c>
      <c r="AM269" s="94" t="n">
        <v>2.29</v>
      </c>
      <c r="AN269" s="94" t="n">
        <v>1.19</v>
      </c>
      <c r="AO269" s="92" t="inlineStr">
        <is>
          <t>Fringe 0.75-1.25mi</t>
        </is>
      </c>
      <c r="AP269" s="92" t="inlineStr">
        <is>
          <t>Open span</t>
        </is>
      </c>
      <c r="AQ269" s="92" t="inlineStr">
        <is>
          <t>Adequate 5-8k</t>
        </is>
      </c>
      <c r="AR269" s="100" t="n"/>
      <c r="AS269" s="96">
        <f>ROUND(INDEX('Scoring Method'!$B$63:$B$70,MATCH(AE269,'Scoring Method'!$A$63:$A$70,0))*0.625+INDEX('Scoring Method'!$B$105:$B$113,MATCH(AP269,'Scoring Method'!$A$105:$A$113,0))+INDEX('Scoring Method'!$B$74:$B$78,MATCH(AQ269,'Scoring Method'!$A$74:$A$78,0))*0.6667+INDEX('Scoring Method'!$B$96:$B$101,MATCH(AO269,'Scoring Method'!$A$96:$A$101,0))+INDEX('Scoring Method'!$B$343:$B$347,MATCH(X269,'Scoring Method'!$A$343:$A$347,0))*0.3333+INDEX('Scoring Method'!$B$25:$B$27,MATCH(P269,'Scoring Method'!$A$25:$A$27,0))*0.3333,1)</f>
        <v/>
      </c>
      <c r="AT269" s="96">
        <f>AS269*U269/100</f>
        <v/>
      </c>
      <c r="AU269" s="92" t="inlineStr">
        <is>
          <t>Austinburg</t>
        </is>
      </c>
      <c r="AV269" s="92" t="n">
        <v>32</v>
      </c>
      <c r="AW269" s="101" t="inlineStr">
        <is>
          <t>ESTIMATED</t>
        </is>
      </c>
      <c r="AX269" s="92" t="inlineStr">
        <is>
          <t>High &lt;35</t>
        </is>
      </c>
      <c r="AY269" s="96">
        <f>ROUND(INDEX('Scoring Method'!$B$132:$B$140,MATCH(AE269,'Scoring Method'!$A$132:$A$140,0))+INDEX('Scoring Method'!$B$144:$B$152,MATCH(AP269,'Scoring Method'!$A$144:$A$152,0))+INDEX('Scoring Method'!$B$156:$B$160,MATCH(AQ269,'Scoring Method'!$A$156:$A$160,0))+INDEX('Scoring Method'!$B$164:$B$169,MATCH(AO269,'Scoring Method'!$A$164:$A$169,0))+INDEX('Scoring Method'!$B$173:$B$178,MATCH(AX269,'Scoring Method'!$A$173:$A$178,0))+INDEX('Scoring Method'!$B$349:$B$353,MATCH(X269,'Scoring Method'!$A$349:$A$353,0))+INDEX('Scoring Method'!$B$188:$B$190,MATCH(P269,'Scoring Method'!$A$188:$A$190,0)),1)</f>
        <v/>
      </c>
      <c r="AZ269" s="96">
        <f>AY269*U269/100</f>
        <v/>
      </c>
      <c r="BA269" s="92" t="inlineStr">
        <is>
          <t>Owner-occupied operator</t>
        </is>
      </c>
      <c r="BB269" s="94" t="n">
        <v>0.8</v>
      </c>
      <c r="BC269" s="92" t="inlineStr">
        <is>
          <t>Right-sized 0.35-0.75 AC</t>
        </is>
      </c>
      <c r="BD269" s="94" t="n">
        <v>1</v>
      </c>
      <c r="BE269" s="96">
        <f>ROUND(INDEX('Scoring Method'!$B$268:$B$276,MATCH(AE269,'Scoring Method'!$A$268:$A$276,0))+INDEX('Scoring Method'!$B$280:$B$288,MATCH(AP269,'Scoring Method'!$A$280:$A$288,0))+INDEX('Scoring Method'!$B$292:$B$296,MATCH(AQ269,'Scoring Method'!$A$292:$A$296,0))+INDEX('Scoring Method'!$B$300:$B$305,MATCH(AO269,'Scoring Method'!$A$300:$A$305,0))+INDEX('Scoring Method'!$B$309:$B$314,MATCH(AX269,'Scoring Method'!$A$309:$A$314,0))+INDEX('Scoring Method'!$B$337:$B$341,MATCH(X269,'Scoring Method'!$A$337:$A$341,0))+INDEX('Scoring Method'!$B$324:$B$326,MATCH(P269,'Scoring Method'!$A$324:$A$326,0)),1)</f>
        <v/>
      </c>
      <c r="BF269" s="96">
        <f>ROUND(INDEX('Scoring Method'!$B$268:$B$276,MATCH(AE269,'Scoring Method'!$A$268:$A$276,0))*BB269*BD269+INDEX('Scoring Method'!$B$280:$B$288,MATCH(AP269,'Scoring Method'!$A$280:$A$288,0))*BM269*BB269*BD269+INDEX('Scoring Method'!$B$292:$B$296,MATCH(AQ269,'Scoring Method'!$A$292:$A$296,0))*BD269+INDEX('Scoring Method'!$B$300:$B$305,MATCH(AO269,'Scoring Method'!$A$300:$A$305,0))*BM269*BB269+INDEX('Scoring Method'!$B$309:$B$314,MATCH(AX269,'Scoring Method'!$A$309:$A$314,0))+INDEX('Scoring Method'!$B$337:$B$341,MATCH(X269,'Scoring Method'!$A$337:$A$341,0))+INDEX('Scoring Method'!$B$324:$B$326,MATCH(P269,'Scoring Method'!$A$324:$A$326,0)),1)</f>
        <v/>
      </c>
      <c r="BG269" s="92" t="inlineStr">
        <is>
          <t>Fits (~$7,700/mo)</t>
        </is>
      </c>
      <c r="BH269" s="61" t="inlineStr">
        <is>
          <t>SU</t>
        </is>
      </c>
      <c r="BI269" s="61" t="inlineStr">
        <is>
          <t>Semi-Urban Residential</t>
        </is>
      </c>
      <c r="BJ269" s="61" t="inlineStr"/>
      <c r="BK269" s="61" t="inlineStr"/>
      <c r="BL269" s="61" t="inlineStr">
        <is>
          <t>SU corner unverified</t>
        </is>
      </c>
      <c r="BM269" s="61">
        <f>INDEX('Scoring Method'!$B$358:$B$363,MATCH(BL269,'Scoring Method'!$A$358:$A$363,0))</f>
        <v/>
      </c>
    </row>
    <row r="270" ht="15" customHeight="1" s="62">
      <c r="A270" s="92" t="n">
        <v>269</v>
      </c>
      <c r="B270" s="92" t="inlineStr">
        <is>
          <t>054-21-17-001.02</t>
        </is>
      </c>
      <c r="C270" s="92" t="inlineStr">
        <is>
          <t>BRENT SPENCE SQ</t>
        </is>
      </c>
      <c r="D270" s="92" t="inlineStr">
        <is>
          <t>KENTUCKY SENIOR CITIZENS</t>
        </is>
      </c>
      <c r="E270" s="92" t="inlineStr">
        <is>
          <t>111 BRENT SPENCE SQUARE</t>
        </is>
      </c>
      <c r="F270" s="92" t="inlineStr">
        <is>
          <t>COVINGTON</t>
        </is>
      </c>
      <c r="G270" s="92" t="inlineStr">
        <is>
          <t>KY</t>
        </is>
      </c>
      <c r="H270" s="92" t="inlineStr">
        <is>
          <t>PAVED LOT</t>
        </is>
      </c>
      <c r="I270" s="93" t="n">
        <v>35093</v>
      </c>
      <c r="J270" s="94">
        <f>I270/43560</f>
        <v/>
      </c>
      <c r="K270" s="93" t="n">
        <v>749.4</v>
      </c>
      <c r="L270" s="95">
        <f>I270/(K270^2)</f>
        <v/>
      </c>
      <c r="M270" s="92" t="inlineStr">
        <is>
          <t>Near 14-18k/32-45k</t>
        </is>
      </c>
      <c r="N270" s="92" t="inlineStr">
        <is>
          <t>D</t>
        </is>
      </c>
      <c r="O270" s="92" t="inlineStr">
        <is>
          <t>Compact &gt;=.055</t>
        </is>
      </c>
      <c r="P270" s="92" t="inlineStr">
        <is>
          <t>Low</t>
        </is>
      </c>
      <c r="Q270" s="92" t="inlineStr">
        <is>
          <t>Local absentee</t>
        </is>
      </c>
      <c r="R270" s="92" t="inlineStr">
        <is>
          <t>Nonprofit/Inst</t>
        </is>
      </c>
      <c r="S270" s="92" t="n">
        <v>1</v>
      </c>
      <c r="T270" s="96">
        <f>INDEX('Scoring Method'!$B$6:$B$9,MATCH(M270,'Scoring Method'!$A$6:$A$9,0))+INDEX('Scoring Method'!$B$12:$B$16,MATCH(N270,'Scoring Method'!$A$12:$A$16,0))+INDEX('Scoring Method'!$B$19:$B$22,MATCH(O270,'Scoring Method'!$A$19:$A$22,0))+INDEX('Scoring Method'!$B$25:$B$27,MATCH(P270,'Scoring Method'!$A$25:$A$27,0))</f>
        <v/>
      </c>
      <c r="U270" s="96">
        <f>(INDEX('Scoring Method'!$B$30:$B$33,MATCH(Q270,'Scoring Method'!$A$30:$A$33,0))+INDEX('Scoring Method'!$B$36:$B$42,MATCH(R270,'Scoring Method'!$A$36:$A$42,0))+INDEX('Scoring Method'!$B$45:$B$47,MATCH(IF(S270=1,"1",IF(S270=2,"2","3+")),'Scoring Method'!$A$45:$A$47,0)))/90*100</f>
        <v/>
      </c>
      <c r="V270" s="96">
        <f>T270*U270/100</f>
        <v/>
      </c>
      <c r="W270" s="93" t="n"/>
      <c r="X270" s="92" t="inlineStr">
        <is>
          <t>X (minimal hazard)</t>
        </is>
      </c>
      <c r="Y270" s="93" t="n">
        <v>34850</v>
      </c>
      <c r="Z270" s="97" t="n"/>
      <c r="AA270" s="98" t="n"/>
      <c r="AB270" s="92" t="n"/>
      <c r="AC270" s="92" t="n">
        <v>0.8</v>
      </c>
      <c r="AD270" s="92" t="inlineStr">
        <is>
          <t>ok</t>
        </is>
      </c>
      <c r="AE270" s="92" t="inlineStr">
        <is>
          <t>No building</t>
        </is>
      </c>
      <c r="AF270" s="96">
        <f>INDEX('Scoring Method'!$B$63:$B$71,MATCH(AE270,'Scoring Method'!$A$63:$A$71,0))+INDEX('Scoring Method'!$B$75:$B$79,MATCH("Ample &gt;=15k",'Scoring Method'!$A$75:$A$79,0))+INDEX('Scoring Method'!$B$343:$B$347,MATCH(X270,'Scoring Method'!$A$343:$A$347,0))+INDEX('Scoring Method'!$B$25:$B$27,MATCH(P270,'Scoring Method'!$A$25:$A$27,0))</f>
        <v/>
      </c>
      <c r="AG270" s="96">
        <f>AF270*U270/100</f>
        <v/>
      </c>
      <c r="AH270" s="92" t="inlineStr">
        <is>
          <t>LINK-GIS + LoopNet</t>
        </is>
      </c>
      <c r="AI270" s="99" t="n">
        <v>39.08652</v>
      </c>
      <c r="AJ270" s="99" t="n">
        <v>-84.51263</v>
      </c>
      <c r="AK270" s="94" t="n">
        <v>0.32</v>
      </c>
      <c r="AL270" s="94" t="n">
        <v>0.38</v>
      </c>
      <c r="AM270" s="94" t="n">
        <v>1.04</v>
      </c>
      <c r="AN270" s="94" t="n">
        <v>0.19</v>
      </c>
      <c r="AO270" s="92" t="inlineStr">
        <is>
          <t>Core &lt;=0.35mi</t>
        </is>
      </c>
      <c r="AP270" s="92" t="inlineStr">
        <is>
          <t>Lot / minimal bldg</t>
        </is>
      </c>
      <c r="AQ270" s="92" t="inlineStr">
        <is>
          <t>Ample &gt;=15k</t>
        </is>
      </c>
      <c r="AR270" s="100" t="n"/>
      <c r="AS270" s="96">
        <f>ROUND(INDEX('Scoring Method'!$B$63:$B$70,MATCH(AE270,'Scoring Method'!$A$63:$A$70,0))*0.625+INDEX('Scoring Method'!$B$105:$B$113,MATCH(AP270,'Scoring Method'!$A$105:$A$113,0))+INDEX('Scoring Method'!$B$74:$B$78,MATCH(AQ270,'Scoring Method'!$A$74:$A$78,0))*0.6667+INDEX('Scoring Method'!$B$96:$B$101,MATCH(AO270,'Scoring Method'!$A$96:$A$101,0))+INDEX('Scoring Method'!$B$343:$B$347,MATCH(X270,'Scoring Method'!$A$343:$A$347,0))*0.3333+INDEX('Scoring Method'!$B$25:$B$27,MATCH(P270,'Scoring Method'!$A$25:$A$27,0))*0.3333,1)</f>
        <v/>
      </c>
      <c r="AT270" s="96">
        <f>AS270*U270/100</f>
        <v/>
      </c>
      <c r="AU270" s="92" t="inlineStr">
        <is>
          <t>Central Business District</t>
        </is>
      </c>
      <c r="AV270" s="92" t="n">
        <v>48</v>
      </c>
      <c r="AW270" s="101" t="inlineStr">
        <is>
          <t>ESTIMATED</t>
        </is>
      </c>
      <c r="AX270" s="92" t="inlineStr">
        <is>
          <t>Mixed 45-59</t>
        </is>
      </c>
      <c r="AY270" s="96">
        <f>ROUND(INDEX('Scoring Method'!$B$132:$B$140,MATCH(AE270,'Scoring Method'!$A$132:$A$140,0))+INDEX('Scoring Method'!$B$144:$B$152,MATCH(AP270,'Scoring Method'!$A$144:$A$152,0))+INDEX('Scoring Method'!$B$156:$B$160,MATCH(AQ270,'Scoring Method'!$A$156:$A$160,0))+INDEX('Scoring Method'!$B$164:$B$169,MATCH(AO270,'Scoring Method'!$A$164:$A$169,0))+INDEX('Scoring Method'!$B$173:$B$178,MATCH(AX270,'Scoring Method'!$A$173:$A$178,0))+INDEX('Scoring Method'!$B$349:$B$353,MATCH(X270,'Scoring Method'!$A$349:$A$353,0))+INDEX('Scoring Method'!$B$188:$B$190,MATCH(P270,'Scoring Method'!$A$188:$A$190,0)),1)</f>
        <v/>
      </c>
      <c r="AZ270" s="96">
        <f>AY270*U270/100</f>
        <v/>
      </c>
      <c r="BA270" s="92" t="inlineStr">
        <is>
          <t>No chain signal</t>
        </is>
      </c>
      <c r="BB270" s="94" t="n">
        <v>1</v>
      </c>
      <c r="BC270" s="102" t="inlineStr">
        <is>
          <t>Large 0.75-1.25 AC</t>
        </is>
      </c>
      <c r="BD270" s="94" t="n">
        <v>0.9</v>
      </c>
      <c r="BE270" s="96">
        <f>ROUND(INDEX('Scoring Method'!$B$268:$B$276,MATCH(AE270,'Scoring Method'!$A$268:$A$276,0))+INDEX('Scoring Method'!$B$280:$B$288,MATCH(AP270,'Scoring Method'!$A$280:$A$288,0))+INDEX('Scoring Method'!$B$292:$B$296,MATCH(AQ270,'Scoring Method'!$A$292:$A$296,0))+INDEX('Scoring Method'!$B$300:$B$305,MATCH(AO270,'Scoring Method'!$A$300:$A$305,0))+INDEX('Scoring Method'!$B$309:$B$314,MATCH(AX270,'Scoring Method'!$A$309:$A$314,0))+INDEX('Scoring Method'!$B$337:$B$341,MATCH(X270,'Scoring Method'!$A$337:$A$341,0))+INDEX('Scoring Method'!$B$324:$B$326,MATCH(P270,'Scoring Method'!$A$324:$A$326,0)),1)</f>
        <v/>
      </c>
      <c r="BF270" s="96">
        <f>ROUND(INDEX('Scoring Method'!$B$268:$B$276,MATCH(AE270,'Scoring Method'!$A$268:$A$276,0))*BB270*BD270+INDEX('Scoring Method'!$B$280:$B$288,MATCH(AP270,'Scoring Method'!$A$280:$A$288,0))*BM270*BB270*BD270+INDEX('Scoring Method'!$B$292:$B$296,MATCH(AQ270,'Scoring Method'!$A$292:$A$296,0))*BD270+INDEX('Scoring Method'!$B$300:$B$305,MATCH(AO270,'Scoring Method'!$A$300:$A$305,0))*BM270*BB270+INDEX('Scoring Method'!$B$309:$B$314,MATCH(AX270,'Scoring Method'!$A$309:$A$314,0))+INDEX('Scoring Method'!$B$337:$B$341,MATCH(X270,'Scoring Method'!$A$337:$A$341,0))+INDEX('Scoring Method'!$B$324:$B$326,MATCH(P270,'Scoring Method'!$A$324:$A$326,0)),1)</f>
        <v/>
      </c>
      <c r="BG270" s="92" t="n"/>
      <c r="BH270" s="61" t="inlineStr">
        <is>
          <t>DTC</t>
        </is>
      </c>
      <c r="BI270" s="61" t="inlineStr">
        <is>
          <t>Downtown Core</t>
        </is>
      </c>
      <c r="BJ270" s="61" t="inlineStr"/>
      <c r="BK270" s="61" t="inlineStr"/>
      <c r="BL270" s="61" t="inlineStr">
        <is>
          <t>Bar permitted</t>
        </is>
      </c>
      <c r="BM270" s="61">
        <f>INDEX('Scoring Method'!$B$358:$B$363,MATCH(BL270,'Scoring Method'!$A$358:$A$363,0))</f>
        <v/>
      </c>
    </row>
    <row r="271" ht="15" customHeight="1" s="62">
      <c r="A271" s="92" t="n">
        <v>270</v>
      </c>
      <c r="B271" s="92" t="inlineStr">
        <is>
          <t>054-24-04-010.00</t>
        </is>
      </c>
      <c r="C271" s="92" t="inlineStr">
        <is>
          <t>1123 MADISON AVE</t>
        </is>
      </c>
      <c r="D271" s="92" t="inlineStr">
        <is>
          <t>DIOCESE OF COVINGTON</t>
        </is>
      </c>
      <c r="E271" s="92" t="inlineStr">
        <is>
          <t>1125 MADISON AVE</t>
        </is>
      </c>
      <c r="F271" s="92" t="inlineStr">
        <is>
          <t>COVINGTON</t>
        </is>
      </c>
      <c r="G271" s="92" t="inlineStr">
        <is>
          <t>KY</t>
        </is>
      </c>
      <c r="H271" s="92" t="inlineStr">
        <is>
          <t>OFFICE BLDG 1 OR 2 STORY</t>
        </is>
      </c>
      <c r="I271" s="93" t="n">
        <v>58667</v>
      </c>
      <c r="J271" s="94">
        <f>I271/43560</f>
        <v/>
      </c>
      <c r="K271" s="93" t="n">
        <v>1171</v>
      </c>
      <c r="L271" s="95">
        <f>I271/(K271^2)</f>
        <v/>
      </c>
      <c r="M271" s="92" t="inlineStr">
        <is>
          <t>Marginal 10-14k/45-60k</t>
        </is>
      </c>
      <c r="N271" s="92" t="inlineStr">
        <is>
          <t>E</t>
        </is>
      </c>
      <c r="O271" s="92" t="inlineStr">
        <is>
          <t>Elongated .035-.045</t>
        </is>
      </c>
      <c r="P271" s="92" t="inlineStr">
        <is>
          <t>Low</t>
        </is>
      </c>
      <c r="Q271" s="92" t="inlineStr">
        <is>
          <t>Local absentee</t>
        </is>
      </c>
      <c r="R271" s="92" t="inlineStr">
        <is>
          <t>Religious</t>
        </is>
      </c>
      <c r="S271" s="92" t="n">
        <v>4</v>
      </c>
      <c r="T271" s="96">
        <f>INDEX('Scoring Method'!$B$6:$B$9,MATCH(M271,'Scoring Method'!$A$6:$A$9,0))+INDEX('Scoring Method'!$B$12:$B$16,MATCH(N271,'Scoring Method'!$A$12:$A$16,0))+INDEX('Scoring Method'!$B$19:$B$22,MATCH(O271,'Scoring Method'!$A$19:$A$22,0))+INDEX('Scoring Method'!$B$25:$B$27,MATCH(P271,'Scoring Method'!$A$25:$A$27,0))</f>
        <v/>
      </c>
      <c r="U271" s="96">
        <f>(INDEX('Scoring Method'!$B$30:$B$33,MATCH(Q271,'Scoring Method'!$A$30:$A$33,0))+INDEX('Scoring Method'!$B$36:$B$42,MATCH(R271,'Scoring Method'!$A$36:$A$42,0))+INDEX('Scoring Method'!$B$45:$B$47,MATCH(IF(S271=1,"1",IF(S271=2,"2","3+")),'Scoring Method'!$A$45:$A$47,0)))/90*100</f>
        <v/>
      </c>
      <c r="V271" s="96">
        <f>T271*U271/100</f>
        <v/>
      </c>
      <c r="W271" s="93" t="n">
        <v>16200</v>
      </c>
      <c r="X271" s="92" t="inlineStr">
        <is>
          <t>X (minimal hazard)</t>
        </is>
      </c>
      <c r="Y271" s="93" t="n">
        <v>25675</v>
      </c>
      <c r="Z271" s="97" t="n"/>
      <c r="AA271" s="98">
        <f>MAX(0,(Y271-5000)/300)</f>
        <v/>
      </c>
      <c r="AB271" s="92" t="n"/>
      <c r="AC271" s="92" t="n"/>
      <c r="AD271" s="92" t="n"/>
      <c r="AE271" s="92" t="inlineStr">
        <is>
          <t>Far oversize &gt;12k</t>
        </is>
      </c>
      <c r="AF271" s="96">
        <f>INDEX('Scoring Method'!$B$63:$B$71,MATCH(AE271,'Scoring Method'!$A$63:$A$71,0))+INDEX('Scoring Method'!$B$75:$B$79,MATCH("Ample &gt;=15k",'Scoring Method'!$A$75:$A$79,0))+INDEX('Scoring Method'!$B$343:$B$347,MATCH(X271,'Scoring Method'!$A$343:$A$347,0))+INDEX('Scoring Method'!$B$25:$B$27,MATCH(P271,'Scoring Method'!$A$25:$A$27,0))</f>
        <v/>
      </c>
      <c r="AG271" s="96">
        <f>AF271*U271/100</f>
        <v/>
      </c>
      <c r="AH271" s="92" t="inlineStr">
        <is>
          <t>LINK-GIS + LoopNet (2026-08-03)</t>
        </is>
      </c>
      <c r="AI271" s="99" t="n">
        <v>39.07823</v>
      </c>
      <c r="AJ271" s="99" t="n">
        <v>-84.50920000000001</v>
      </c>
      <c r="AK271" s="94" t="n">
        <v>0.63</v>
      </c>
      <c r="AL271" s="94" t="n">
        <v>0.87</v>
      </c>
      <c r="AM271" s="94" t="n">
        <v>1.62</v>
      </c>
      <c r="AN271" s="94" t="n">
        <v>0.41</v>
      </c>
      <c r="AO271" s="92" t="inlineStr">
        <is>
          <t>Near 0.35-0.75mi</t>
        </is>
      </c>
      <c r="AP271" s="92" t="inlineStr">
        <is>
          <t>Office/institutional</t>
        </is>
      </c>
      <c r="AQ271" s="92" t="inlineStr">
        <is>
          <t>Ample &gt;=15k</t>
        </is>
      </c>
      <c r="AR271" s="100" t="n"/>
      <c r="AS271" s="96">
        <f>ROUND(INDEX('Scoring Method'!$B$63:$B$70,MATCH(AE271,'Scoring Method'!$A$63:$A$70,0))*0.625+INDEX('Scoring Method'!$B$105:$B$113,MATCH(AP271,'Scoring Method'!$A$105:$A$113,0))+INDEX('Scoring Method'!$B$74:$B$78,MATCH(AQ271,'Scoring Method'!$A$74:$A$78,0))*0.6667+INDEX('Scoring Method'!$B$96:$B$101,MATCH(AO271,'Scoring Method'!$A$96:$A$101,0))+INDEX('Scoring Method'!$B$343:$B$347,MATCH(X271,'Scoring Method'!$A$343:$A$347,0))*0.3333+INDEX('Scoring Method'!$B$25:$B$27,MATCH(P271,'Scoring Method'!$A$25:$A$27,0))*0.3333,1)</f>
        <v/>
      </c>
      <c r="AT271" s="96">
        <f>AS271*U271/100</f>
        <v/>
      </c>
      <c r="AU271" s="92" t="inlineStr">
        <is>
          <t>Eastside</t>
        </is>
      </c>
      <c r="AV271" s="92" t="n">
        <v>28</v>
      </c>
      <c r="AW271" s="101" t="inlineStr">
        <is>
          <t>ESTIMATED</t>
        </is>
      </c>
      <c r="AX271" s="92" t="inlineStr">
        <is>
          <t>High &lt;35</t>
        </is>
      </c>
      <c r="AY271" s="96">
        <f>ROUND(INDEX('Scoring Method'!$B$132:$B$140,MATCH(AE271,'Scoring Method'!$A$132:$A$140,0))+INDEX('Scoring Method'!$B$144:$B$152,MATCH(AP271,'Scoring Method'!$A$144:$A$152,0))+INDEX('Scoring Method'!$B$156:$B$160,MATCH(AQ271,'Scoring Method'!$A$156:$A$160,0))+INDEX('Scoring Method'!$B$164:$B$169,MATCH(AO271,'Scoring Method'!$A$164:$A$169,0))+INDEX('Scoring Method'!$B$173:$B$178,MATCH(AX271,'Scoring Method'!$A$173:$A$178,0))+INDEX('Scoring Method'!$B$349:$B$353,MATCH(X271,'Scoring Method'!$A$349:$A$353,0))+INDEX('Scoring Method'!$B$188:$B$190,MATCH(P271,'Scoring Method'!$A$188:$A$190,0)),1)</f>
        <v/>
      </c>
      <c r="AZ271" s="96">
        <f>AY271*U271/100</f>
        <v/>
      </c>
      <c r="BA271" s="92" t="inlineStr">
        <is>
          <t>No chain signal</t>
        </is>
      </c>
      <c r="BB271" s="94" t="n">
        <v>1</v>
      </c>
      <c r="BC271" s="103" t="inlineStr">
        <is>
          <t>Oversized &gt;1.25 AC</t>
        </is>
      </c>
      <c r="BD271" s="94" t="n">
        <v>0.65</v>
      </c>
      <c r="BE271" s="96">
        <f>ROUND(INDEX('Scoring Method'!$B$268:$B$276,MATCH(AE271,'Scoring Method'!$A$268:$A$276,0))+INDEX('Scoring Method'!$B$280:$B$288,MATCH(AP271,'Scoring Method'!$A$280:$A$288,0))+INDEX('Scoring Method'!$B$292:$B$296,MATCH(AQ271,'Scoring Method'!$A$292:$A$296,0))+INDEX('Scoring Method'!$B$300:$B$305,MATCH(AO271,'Scoring Method'!$A$300:$A$305,0))+INDEX('Scoring Method'!$B$309:$B$314,MATCH(AX271,'Scoring Method'!$A$309:$A$314,0))+INDEX('Scoring Method'!$B$337:$B$341,MATCH(X271,'Scoring Method'!$A$337:$A$341,0))+INDEX('Scoring Method'!$B$324:$B$326,MATCH(P271,'Scoring Method'!$A$324:$A$326,0)),1)</f>
        <v/>
      </c>
      <c r="BF271" s="96">
        <f>ROUND(INDEX('Scoring Method'!$B$268:$B$276,MATCH(AE271,'Scoring Method'!$A$268:$A$276,0))*BB271*BD271+INDEX('Scoring Method'!$B$280:$B$288,MATCH(AP271,'Scoring Method'!$A$280:$A$288,0))*BM271*BB271*BD271+INDEX('Scoring Method'!$B$292:$B$296,MATCH(AQ271,'Scoring Method'!$A$292:$A$296,0))*BD271+INDEX('Scoring Method'!$B$300:$B$305,MATCH(AO271,'Scoring Method'!$A$300:$A$305,0))*BM271*BB271+INDEX('Scoring Method'!$B$309:$B$314,MATCH(AX271,'Scoring Method'!$A$309:$A$314,0))+INDEX('Scoring Method'!$B$337:$B$341,MATCH(X271,'Scoring Method'!$A$337:$A$341,0))+INDEX('Scoring Method'!$B$324:$B$326,MATCH(P271,'Scoring Method'!$A$324:$A$326,0)),1)</f>
        <v/>
      </c>
      <c r="BG271" s="102" t="inlineStr">
        <is>
          <t>Over (~$14,850/mo)</t>
        </is>
      </c>
      <c r="BH271" s="61" t="inlineStr">
        <is>
          <t>DTC (TS)</t>
        </is>
      </c>
      <c r="BI271" s="61" t="inlineStr">
        <is>
          <t>Downtown Core</t>
        </is>
      </c>
      <c r="BJ271" s="61" t="inlineStr"/>
      <c r="BK271" s="61" t="inlineStr">
        <is>
          <t>Yes</t>
        </is>
      </c>
      <c r="BL271" s="61" t="inlineStr">
        <is>
          <t>Bar permitted</t>
        </is>
      </c>
      <c r="BM271" s="61">
        <f>INDEX('Scoring Method'!$B$358:$B$363,MATCH(BL271,'Scoring Method'!$A$358:$A$363,0))</f>
        <v/>
      </c>
    </row>
    <row r="272" ht="15" customHeight="1" s="62">
      <c r="A272" s="92" t="n">
        <v>271</v>
      </c>
      <c r="B272" s="92" t="inlineStr">
        <is>
          <t>054-21-20-001.00</t>
        </is>
      </c>
      <c r="C272" s="92" t="inlineStr">
        <is>
          <t>141-43 PIKE ST</t>
        </is>
      </c>
      <c r="D272" s="92" t="inlineStr">
        <is>
          <t>730 WASHINGTON LLC</t>
        </is>
      </c>
      <c r="E272" s="92" t="inlineStr">
        <is>
          <t>8170 CORPORATE PARK DR STE 230</t>
        </is>
      </c>
      <c r="F272" s="92" t="inlineStr">
        <is>
          <t>CINCINNATI</t>
        </is>
      </c>
      <c r="G272" s="92" t="inlineStr">
        <is>
          <t>OH</t>
        </is>
      </c>
      <c r="H272" s="92" t="inlineStr">
        <is>
          <t>RETAIL W/APARTMENTS</t>
        </is>
      </c>
      <c r="I272" s="93" t="n">
        <v>65941</v>
      </c>
      <c r="J272" s="94">
        <f>I272/43560</f>
        <v/>
      </c>
      <c r="K272" s="93" t="n">
        <v>1089</v>
      </c>
      <c r="L272" s="95">
        <f>I272/(K272^2)</f>
        <v/>
      </c>
      <c r="M272" s="92" t="inlineStr">
        <is>
          <t>Poor &lt;10k/&gt;60k</t>
        </is>
      </c>
      <c r="N272" s="92" t="inlineStr">
        <is>
          <t>E</t>
        </is>
      </c>
      <c r="O272" s="92" t="inlineStr">
        <is>
          <t>Compact &gt;=.055</t>
        </is>
      </c>
      <c r="P272" s="92" t="inlineStr">
        <is>
          <t>Low</t>
        </is>
      </c>
      <c r="Q272" s="92" t="inlineStr">
        <is>
          <t>Out-of-state</t>
        </is>
      </c>
      <c r="R272" s="92" t="inlineStr">
        <is>
          <t>Operating entity</t>
        </is>
      </c>
      <c r="S272" s="92" t="n">
        <v>1</v>
      </c>
      <c r="T272" s="96">
        <f>INDEX('Scoring Method'!$B$6:$B$9,MATCH(M272,'Scoring Method'!$A$6:$A$9,0))+INDEX('Scoring Method'!$B$12:$B$16,MATCH(N272,'Scoring Method'!$A$12:$A$16,0))+INDEX('Scoring Method'!$B$19:$B$22,MATCH(O272,'Scoring Method'!$A$19:$A$22,0))+INDEX('Scoring Method'!$B$25:$B$27,MATCH(P272,'Scoring Method'!$A$25:$A$27,0))</f>
        <v/>
      </c>
      <c r="U272" s="96">
        <f>(INDEX('Scoring Method'!$B$30:$B$33,MATCH(Q272,'Scoring Method'!$A$30:$A$33,0))+INDEX('Scoring Method'!$B$36:$B$42,MATCH(R272,'Scoring Method'!$A$36:$A$42,0))+INDEX('Scoring Method'!$B$45:$B$47,MATCH(IF(S272=1,"1",IF(S272=2,"2","3+")),'Scoring Method'!$A$45:$A$47,0)))/90*100</f>
        <v/>
      </c>
      <c r="V272" s="96">
        <f>T272*U272/100</f>
        <v/>
      </c>
      <c r="W272" s="93" t="n">
        <v>7000</v>
      </c>
      <c r="X272" s="92" t="inlineStr">
        <is>
          <t>X (minimal hazard)</t>
        </is>
      </c>
      <c r="Y272" s="93" t="n">
        <v>61250</v>
      </c>
      <c r="Z272" s="97">
        <f>W272/I272</f>
        <v/>
      </c>
      <c r="AA272" s="98">
        <f>MAX(0,(Y272-5000)/300)</f>
        <v/>
      </c>
      <c r="AB272" s="92" t="n"/>
      <c r="AC272" s="92" t="n">
        <v>0.14</v>
      </c>
      <c r="AD272" s="102" t="inlineStr">
        <is>
          <t>CHECK</t>
        </is>
      </c>
      <c r="AE272" s="92" t="inlineStr">
        <is>
          <t>Oversize 6-12k</t>
        </is>
      </c>
      <c r="AF272" s="96">
        <f>INDEX('Scoring Method'!$B$63:$B$71,MATCH(AE272,'Scoring Method'!$A$63:$A$71,0))+INDEX('Scoring Method'!$B$75:$B$79,MATCH("Ample &gt;=15k",'Scoring Method'!$A$75:$A$79,0))+INDEX('Scoring Method'!$B$343:$B$347,MATCH(X272,'Scoring Method'!$A$343:$A$347,0))+INDEX('Scoring Method'!$B$25:$B$27,MATCH(P272,'Scoring Method'!$A$25:$A$27,0))</f>
        <v/>
      </c>
      <c r="AG272" s="96">
        <f>AF272*U272/100</f>
        <v/>
      </c>
      <c r="AH272" s="92" t="inlineStr">
        <is>
          <t>LINK-GIS + LoopNet</t>
        </is>
      </c>
      <c r="AI272" s="99" t="n">
        <v>39.0826</v>
      </c>
      <c r="AJ272" s="99" t="n">
        <v>-84.51239</v>
      </c>
      <c r="AK272" s="94" t="n">
        <v>0.32</v>
      </c>
      <c r="AL272" s="94" t="n">
        <v>0.61</v>
      </c>
      <c r="AM272" s="94" t="n">
        <v>1.31</v>
      </c>
      <c r="AN272" s="94" t="n">
        <v>0.12</v>
      </c>
      <c r="AO272" s="92" t="inlineStr">
        <is>
          <t>Core &lt;=0.35mi</t>
        </is>
      </c>
      <c r="AP272" s="92" t="inlineStr">
        <is>
          <t>Cellular</t>
        </is>
      </c>
      <c r="AQ272" s="92" t="inlineStr">
        <is>
          <t>Ample &gt;=15k</t>
        </is>
      </c>
      <c r="AR272" s="100" t="n"/>
      <c r="AS272" s="96">
        <f>ROUND(INDEX('Scoring Method'!$B$63:$B$70,MATCH(AE272,'Scoring Method'!$A$63:$A$70,0))*0.625+INDEX('Scoring Method'!$B$105:$B$113,MATCH(AP272,'Scoring Method'!$A$105:$A$113,0))+INDEX('Scoring Method'!$B$74:$B$78,MATCH(AQ272,'Scoring Method'!$A$74:$A$78,0))*0.6667+INDEX('Scoring Method'!$B$96:$B$101,MATCH(AO272,'Scoring Method'!$A$96:$A$101,0))+INDEX('Scoring Method'!$B$343:$B$347,MATCH(X272,'Scoring Method'!$A$343:$A$347,0))*0.3333+INDEX('Scoring Method'!$B$25:$B$27,MATCH(P272,'Scoring Method'!$A$25:$A$27,0))*0.3333,1)</f>
        <v/>
      </c>
      <c r="AT272" s="96">
        <f>AS272*U272/100</f>
        <v/>
      </c>
      <c r="AU272" s="92" t="inlineStr">
        <is>
          <t>Central Business District</t>
        </is>
      </c>
      <c r="AV272" s="92" t="n">
        <v>48</v>
      </c>
      <c r="AW272" s="101" t="inlineStr">
        <is>
          <t>ESTIMATED</t>
        </is>
      </c>
      <c r="AX272" s="92" t="inlineStr">
        <is>
          <t>Mixed 45-59</t>
        </is>
      </c>
      <c r="AY272" s="96">
        <f>ROUND(INDEX('Scoring Method'!$B$132:$B$140,MATCH(AE272,'Scoring Method'!$A$132:$A$140,0))+INDEX('Scoring Method'!$B$144:$B$152,MATCH(AP272,'Scoring Method'!$A$144:$A$152,0))+INDEX('Scoring Method'!$B$156:$B$160,MATCH(AQ272,'Scoring Method'!$A$156:$A$160,0))+INDEX('Scoring Method'!$B$164:$B$169,MATCH(AO272,'Scoring Method'!$A$164:$A$169,0))+INDEX('Scoring Method'!$B$173:$B$178,MATCH(AX272,'Scoring Method'!$A$173:$A$178,0))+INDEX('Scoring Method'!$B$349:$B$353,MATCH(X272,'Scoring Method'!$A$349:$A$353,0))+INDEX('Scoring Method'!$B$188:$B$190,MATCH(P272,'Scoring Method'!$A$188:$A$190,0)),1)</f>
        <v/>
      </c>
      <c r="AZ272" s="96">
        <f>AY272*U272/100</f>
        <v/>
      </c>
      <c r="BA272" s="92" t="inlineStr">
        <is>
          <t>No chain signal</t>
        </is>
      </c>
      <c r="BB272" s="94" t="n">
        <v>1</v>
      </c>
      <c r="BC272" s="103" t="inlineStr">
        <is>
          <t>Oversized &gt;1.25 AC</t>
        </is>
      </c>
      <c r="BD272" s="94" t="n">
        <v>0.65</v>
      </c>
      <c r="BE272" s="96">
        <f>ROUND(INDEX('Scoring Method'!$B$268:$B$276,MATCH(AE272,'Scoring Method'!$A$268:$A$276,0))+INDEX('Scoring Method'!$B$280:$B$288,MATCH(AP272,'Scoring Method'!$A$280:$A$288,0))+INDEX('Scoring Method'!$B$292:$B$296,MATCH(AQ272,'Scoring Method'!$A$292:$A$296,0))+INDEX('Scoring Method'!$B$300:$B$305,MATCH(AO272,'Scoring Method'!$A$300:$A$305,0))+INDEX('Scoring Method'!$B$309:$B$314,MATCH(AX272,'Scoring Method'!$A$309:$A$314,0))+INDEX('Scoring Method'!$B$337:$B$341,MATCH(X272,'Scoring Method'!$A$337:$A$341,0))+INDEX('Scoring Method'!$B$324:$B$326,MATCH(P272,'Scoring Method'!$A$324:$A$326,0)),1)</f>
        <v/>
      </c>
      <c r="BF272" s="96">
        <f>ROUND(INDEX('Scoring Method'!$B$268:$B$276,MATCH(AE272,'Scoring Method'!$A$268:$A$276,0))*BB272*BD272+INDEX('Scoring Method'!$B$280:$B$288,MATCH(AP272,'Scoring Method'!$A$280:$A$288,0))*BM272*BB272*BD272+INDEX('Scoring Method'!$B$292:$B$296,MATCH(AQ272,'Scoring Method'!$A$292:$A$296,0))*BD272+INDEX('Scoring Method'!$B$300:$B$305,MATCH(AO272,'Scoring Method'!$A$300:$A$305,0))*BM272*BB272+INDEX('Scoring Method'!$B$309:$B$314,MATCH(AX272,'Scoring Method'!$A$309:$A$314,0))+INDEX('Scoring Method'!$B$337:$B$341,MATCH(X272,'Scoring Method'!$A$337:$A$341,0))+INDEX('Scoring Method'!$B$324:$B$326,MATCH(P272,'Scoring Method'!$A$324:$A$326,0)),1)</f>
        <v/>
      </c>
      <c r="BG272" s="92" t="inlineStr">
        <is>
          <t>Fits (~$6,417/mo)</t>
        </is>
      </c>
      <c r="BH272" s="61" t="inlineStr">
        <is>
          <t>DTC (HP)</t>
        </is>
      </c>
      <c r="BI272" s="61" t="inlineStr">
        <is>
          <t>Downtown Core</t>
        </is>
      </c>
      <c r="BJ272" s="61" t="inlineStr">
        <is>
          <t>HP</t>
        </is>
      </c>
      <c r="BK272" s="61" t="inlineStr"/>
      <c r="BL272" s="61" t="inlineStr">
        <is>
          <t>Bar permitted</t>
        </is>
      </c>
      <c r="BM272" s="61">
        <f>INDEX('Scoring Method'!$B$358:$B$363,MATCH(BL272,'Scoring Method'!$A$358:$A$363,0))</f>
        <v/>
      </c>
    </row>
    <row r="273" ht="15" customHeight="1" s="62">
      <c r="A273" s="92" t="n">
        <v>272</v>
      </c>
      <c r="B273" s="92" t="inlineStr">
        <is>
          <t>040-34-04-001.00</t>
        </is>
      </c>
      <c r="C273" s="92" t="inlineStr">
        <is>
          <t>400 W 3RD ST</t>
        </is>
      </c>
      <c r="D273" s="92" t="inlineStr">
        <is>
          <t>400 WEST THIRD LLC</t>
        </is>
      </c>
      <c r="E273" s="92" t="inlineStr">
        <is>
          <t>PO BOX 17217</t>
        </is>
      </c>
      <c r="F273" s="92" t="inlineStr">
        <is>
          <t>COVINGTON</t>
        </is>
      </c>
      <c r="G273" s="92" t="inlineStr">
        <is>
          <t>KY</t>
        </is>
      </c>
      <c r="H273" s="92" t="inlineStr">
        <is>
          <t>OTHER RETAIL</t>
        </is>
      </c>
      <c r="I273" s="93" t="n">
        <v>42857</v>
      </c>
      <c r="J273" s="94">
        <f>I273/43560</f>
        <v/>
      </c>
      <c r="K273" s="93" t="n">
        <v>1003.1</v>
      </c>
      <c r="L273" s="95">
        <f>I273/(K273^2)</f>
        <v/>
      </c>
      <c r="M273" s="92" t="inlineStr">
        <is>
          <t>Near 14-18k/32-45k</t>
        </is>
      </c>
      <c r="N273" s="92" t="inlineStr">
        <is>
          <t>C</t>
        </is>
      </c>
      <c r="O273" s="92" t="inlineStr">
        <is>
          <t>Elongated .035-.045</t>
        </is>
      </c>
      <c r="P273" s="92" t="inlineStr">
        <is>
          <t>Low</t>
        </is>
      </c>
      <c r="Q273" s="92" t="inlineStr">
        <is>
          <t>Local absentee</t>
        </is>
      </c>
      <c r="R273" s="92" t="inlineStr">
        <is>
          <t>Operating entity</t>
        </is>
      </c>
      <c r="S273" s="92" t="n">
        <v>1</v>
      </c>
      <c r="T273" s="96">
        <f>INDEX('Scoring Method'!$B$6:$B$9,MATCH(M273,'Scoring Method'!$A$6:$A$9,0))+INDEX('Scoring Method'!$B$12:$B$16,MATCH(N273,'Scoring Method'!$A$12:$A$16,0))+INDEX('Scoring Method'!$B$19:$B$22,MATCH(O273,'Scoring Method'!$A$19:$A$22,0))+INDEX('Scoring Method'!$B$25:$B$27,MATCH(P273,'Scoring Method'!$A$25:$A$27,0))</f>
        <v/>
      </c>
      <c r="U273" s="96">
        <f>(INDEX('Scoring Method'!$B$30:$B$33,MATCH(Q273,'Scoring Method'!$A$30:$A$33,0))+INDEX('Scoring Method'!$B$36:$B$42,MATCH(R273,'Scoring Method'!$A$36:$A$42,0))+INDEX('Scoring Method'!$B$45:$B$47,MATCH(IF(S273=1,"1",IF(S273=2,"2","3+")),'Scoring Method'!$A$45:$A$47,0)))/90*100</f>
        <v/>
      </c>
      <c r="V273" s="96">
        <f>T273*U273/100</f>
        <v/>
      </c>
      <c r="W273" s="93" t="n">
        <v>17768</v>
      </c>
      <c r="X273" s="92" t="inlineStr">
        <is>
          <t>X (levee-protected)</t>
        </is>
      </c>
      <c r="Y273" s="93" t="n">
        <v>24800</v>
      </c>
      <c r="Z273" s="97">
        <f>W273/I273</f>
        <v/>
      </c>
      <c r="AA273" s="98">
        <f>MAX(0,(Y273-5000)/300)</f>
        <v/>
      </c>
      <c r="AB273" s="92" t="n"/>
      <c r="AC273" s="92" t="n">
        <v>0.98</v>
      </c>
      <c r="AD273" s="92" t="inlineStr">
        <is>
          <t>ok</t>
        </is>
      </c>
      <c r="AE273" s="92" t="inlineStr">
        <is>
          <t>Far oversize &gt;12k</t>
        </is>
      </c>
      <c r="AF273" s="96">
        <f>INDEX('Scoring Method'!$B$63:$B$71,MATCH(AE273,'Scoring Method'!$A$63:$A$71,0))+INDEX('Scoring Method'!$B$75:$B$79,MATCH("Ample &gt;=15k",'Scoring Method'!$A$75:$A$79,0))+INDEX('Scoring Method'!$B$343:$B$347,MATCH(X273,'Scoring Method'!$A$343:$A$347,0))+INDEX('Scoring Method'!$B$25:$B$27,MATCH(P273,'Scoring Method'!$A$25:$A$27,0))</f>
        <v/>
      </c>
      <c r="AG273" s="96">
        <f>AF273*U273/100</f>
        <v/>
      </c>
      <c r="AH273" s="92" t="inlineStr">
        <is>
          <t>LINK-GIS + LoopNet</t>
        </is>
      </c>
      <c r="AI273" s="99" t="n">
        <v>39.08834</v>
      </c>
      <c r="AJ273" s="99" t="n">
        <v>-84.51796</v>
      </c>
      <c r="AK273" s="94" t="n">
        <v>0.27</v>
      </c>
      <c r="AL273" s="94" t="n">
        <v>0.54</v>
      </c>
      <c r="AM273" s="94" t="n">
        <v>0.96</v>
      </c>
      <c r="AN273" s="94" t="n">
        <v>0.21</v>
      </c>
      <c r="AO273" s="92" t="inlineStr">
        <is>
          <t>Core &lt;=0.35mi</t>
        </is>
      </c>
      <c r="AP273" s="92" t="inlineStr">
        <is>
          <t>Retail shell</t>
        </is>
      </c>
      <c r="AQ273" s="92" t="inlineStr">
        <is>
          <t>Ample &gt;=15k</t>
        </is>
      </c>
      <c r="AR273" s="100" t="n"/>
      <c r="AS273" s="96">
        <f>ROUND(INDEX('Scoring Method'!$B$63:$B$70,MATCH(AE273,'Scoring Method'!$A$63:$A$70,0))*0.625+INDEX('Scoring Method'!$B$105:$B$113,MATCH(AP273,'Scoring Method'!$A$105:$A$113,0))+INDEX('Scoring Method'!$B$74:$B$78,MATCH(AQ273,'Scoring Method'!$A$74:$A$78,0))*0.6667+INDEX('Scoring Method'!$B$96:$B$101,MATCH(AO273,'Scoring Method'!$A$96:$A$101,0))+INDEX('Scoring Method'!$B$343:$B$347,MATCH(X273,'Scoring Method'!$A$343:$A$347,0))*0.3333+INDEX('Scoring Method'!$B$25:$B$27,MATCH(P273,'Scoring Method'!$A$25:$A$27,0))*0.3333,1)</f>
        <v/>
      </c>
      <c r="AT273" s="96">
        <f>AS273*U273/100</f>
        <v/>
      </c>
      <c r="AU273" s="92" t="inlineStr">
        <is>
          <t>Botany Hills / Riverfront West</t>
        </is>
      </c>
      <c r="AV273" s="92" t="n">
        <v>45</v>
      </c>
      <c r="AW273" s="101" t="inlineStr">
        <is>
          <t>ESTIMATED</t>
        </is>
      </c>
      <c r="AX273" s="92" t="inlineStr">
        <is>
          <t>Mixed 45-59</t>
        </is>
      </c>
      <c r="AY273" s="96">
        <f>ROUND(INDEX('Scoring Method'!$B$132:$B$140,MATCH(AE273,'Scoring Method'!$A$132:$A$140,0))+INDEX('Scoring Method'!$B$144:$B$152,MATCH(AP273,'Scoring Method'!$A$144:$A$152,0))+INDEX('Scoring Method'!$B$156:$B$160,MATCH(AQ273,'Scoring Method'!$A$156:$A$160,0))+INDEX('Scoring Method'!$B$164:$B$169,MATCH(AO273,'Scoring Method'!$A$164:$A$169,0))+INDEX('Scoring Method'!$B$173:$B$178,MATCH(AX273,'Scoring Method'!$A$173:$A$178,0))+INDEX('Scoring Method'!$B$349:$B$353,MATCH(X273,'Scoring Method'!$A$349:$A$353,0))+INDEX('Scoring Method'!$B$188:$B$190,MATCH(P273,'Scoring Method'!$A$188:$A$190,0)),1)</f>
        <v/>
      </c>
      <c r="AZ273" s="96">
        <f>AY273*U273/100</f>
        <v/>
      </c>
      <c r="BA273" s="92" t="inlineStr">
        <is>
          <t>No chain signal</t>
        </is>
      </c>
      <c r="BB273" s="94" t="n">
        <v>1</v>
      </c>
      <c r="BC273" s="102" t="inlineStr">
        <is>
          <t>Large 0.75-1.25 AC</t>
        </is>
      </c>
      <c r="BD273" s="94" t="n">
        <v>0.9</v>
      </c>
      <c r="BE273" s="96">
        <f>ROUND(INDEX('Scoring Method'!$B$268:$B$276,MATCH(AE273,'Scoring Method'!$A$268:$A$276,0))+INDEX('Scoring Method'!$B$280:$B$288,MATCH(AP273,'Scoring Method'!$A$280:$A$288,0))+INDEX('Scoring Method'!$B$292:$B$296,MATCH(AQ273,'Scoring Method'!$A$292:$A$296,0))+INDEX('Scoring Method'!$B$300:$B$305,MATCH(AO273,'Scoring Method'!$A$300:$A$305,0))+INDEX('Scoring Method'!$B$309:$B$314,MATCH(AX273,'Scoring Method'!$A$309:$A$314,0))+INDEX('Scoring Method'!$B$337:$B$341,MATCH(X273,'Scoring Method'!$A$337:$A$341,0))+INDEX('Scoring Method'!$B$324:$B$326,MATCH(P273,'Scoring Method'!$A$324:$A$326,0)),1)</f>
        <v/>
      </c>
      <c r="BF273" s="96">
        <f>ROUND(INDEX('Scoring Method'!$B$268:$B$276,MATCH(AE273,'Scoring Method'!$A$268:$A$276,0))*BB273*BD273+INDEX('Scoring Method'!$B$280:$B$288,MATCH(AP273,'Scoring Method'!$A$280:$A$288,0))*BM273*BB273*BD273+INDEX('Scoring Method'!$B$292:$B$296,MATCH(AQ273,'Scoring Method'!$A$292:$A$296,0))*BD273+INDEX('Scoring Method'!$B$300:$B$305,MATCH(AO273,'Scoring Method'!$A$300:$A$305,0))*BM273*BB273+INDEX('Scoring Method'!$B$309:$B$314,MATCH(AX273,'Scoring Method'!$A$309:$A$314,0))+INDEX('Scoring Method'!$B$337:$B$341,MATCH(X273,'Scoring Method'!$A$337:$A$341,0))+INDEX('Scoring Method'!$B$324:$B$326,MATCH(P273,'Scoring Method'!$A$324:$A$326,0)),1)</f>
        <v/>
      </c>
      <c r="BG273" s="102" t="inlineStr">
        <is>
          <t>Over (~$16,287/mo)</t>
        </is>
      </c>
      <c r="BH273" s="61" t="inlineStr">
        <is>
          <t>AUC</t>
        </is>
      </c>
      <c r="BI273" s="61" t="inlineStr">
        <is>
          <t>Auto-Urban Commercial</t>
        </is>
      </c>
      <c r="BJ273" s="61" t="inlineStr"/>
      <c r="BK273" s="61" t="inlineStr"/>
      <c r="BL273" s="61" t="inlineStr">
        <is>
          <t>Bar permitted</t>
        </is>
      </c>
      <c r="BM273" s="61">
        <f>INDEX('Scoring Method'!$B$358:$B$363,MATCH(BL273,'Scoring Method'!$A$358:$A$363,0))</f>
        <v/>
      </c>
    </row>
    <row r="274" ht="15" customHeight="1" s="62">
      <c r="A274" s="92" t="n">
        <v>273</v>
      </c>
      <c r="B274" s="92" t="inlineStr">
        <is>
          <t>054-14-09-001.00</t>
        </is>
      </c>
      <c r="C274" s="92" t="inlineStr">
        <is>
          <t>129 E 2ND ST</t>
        </is>
      </c>
      <c r="D274" s="92" t="inlineStr">
        <is>
          <t>2ND &amp; GREENUP LLC</t>
        </is>
      </c>
      <c r="E274" s="92" t="inlineStr">
        <is>
          <t>100 E RIVERCENTER BLVD</t>
        </is>
      </c>
      <c r="F274" s="92" t="inlineStr">
        <is>
          <t>COVINGTON</t>
        </is>
      </c>
      <c r="G274" s="92" t="inlineStr">
        <is>
          <t>KY</t>
        </is>
      </c>
      <c r="H274" s="92" t="inlineStr">
        <is>
          <t>RESTAURANT CAFE/BAR</t>
        </is>
      </c>
      <c r="I274" s="93" t="n">
        <v>11363</v>
      </c>
      <c r="J274" s="94">
        <f>I274/43560</f>
        <v/>
      </c>
      <c r="K274" s="93" t="n">
        <v>438.8</v>
      </c>
      <c r="L274" s="95">
        <f>I274/(K274^2)</f>
        <v/>
      </c>
      <c r="M274" s="92" t="inlineStr">
        <is>
          <t>Marginal 10-14k/45-60k</t>
        </is>
      </c>
      <c r="N274" s="92" t="inlineStr">
        <is>
          <t>C</t>
        </is>
      </c>
      <c r="O274" s="92" t="inlineStr">
        <is>
          <t>Compact &gt;=.055</t>
        </is>
      </c>
      <c r="P274" s="92" t="inlineStr">
        <is>
          <t>Low</t>
        </is>
      </c>
      <c r="Q274" s="92" t="inlineStr">
        <is>
          <t>Local absentee</t>
        </is>
      </c>
      <c r="R274" s="92" t="inlineStr">
        <is>
          <t>Operating entity</t>
        </is>
      </c>
      <c r="S274" s="92" t="n">
        <v>1</v>
      </c>
      <c r="T274" s="96">
        <f>INDEX('Scoring Method'!$B$6:$B$9,MATCH(M274,'Scoring Method'!$A$6:$A$9,0))+INDEX('Scoring Method'!$B$12:$B$16,MATCH(N274,'Scoring Method'!$A$12:$A$16,0))+INDEX('Scoring Method'!$B$19:$B$22,MATCH(O274,'Scoring Method'!$A$19:$A$22,0))+INDEX('Scoring Method'!$B$25:$B$27,MATCH(P274,'Scoring Method'!$A$25:$A$27,0))</f>
        <v/>
      </c>
      <c r="U274" s="96">
        <f>(INDEX('Scoring Method'!$B$30:$B$33,MATCH(Q274,'Scoring Method'!$A$30:$A$33,0))+INDEX('Scoring Method'!$B$36:$B$42,MATCH(R274,'Scoring Method'!$A$36:$A$42,0))+INDEX('Scoring Method'!$B$45:$B$47,MATCH(IF(S274=1,"1",IF(S274=2,"2","3+")),'Scoring Method'!$A$45:$A$47,0)))/90*100</f>
        <v/>
      </c>
      <c r="V274" s="96">
        <f>T274*U274/100</f>
        <v/>
      </c>
      <c r="W274" s="93" t="n">
        <v>4500</v>
      </c>
      <c r="X274" s="92" t="inlineStr">
        <is>
          <t>X (minimal hazard)</t>
        </is>
      </c>
      <c r="Y274" s="93" t="n">
        <v>5900</v>
      </c>
      <c r="Z274" s="97">
        <f>W274/I274</f>
        <v/>
      </c>
      <c r="AA274" s="98">
        <f>MAX(0,(Y274-5000)/300)</f>
        <v/>
      </c>
      <c r="AB274" s="92" t="n"/>
      <c r="AC274" s="92" t="n">
        <v>0.27</v>
      </c>
      <c r="AD274" s="92" t="inlineStr">
        <is>
          <t>ok</t>
        </is>
      </c>
      <c r="AE274" s="92" t="inlineStr">
        <is>
          <t>Large 4-6k</t>
        </is>
      </c>
      <c r="AF274" s="96">
        <f>INDEX('Scoring Method'!$B$63:$B$71,MATCH(AE274,'Scoring Method'!$A$63:$A$71,0))+INDEX('Scoring Method'!$B$75:$B$79,MATCH("Adequate 5-8k",'Scoring Method'!$A$75:$A$79,0))+INDEX('Scoring Method'!$B$343:$B$347,MATCH(X274,'Scoring Method'!$A$343:$A$347,0))+INDEX('Scoring Method'!$B$25:$B$27,MATCH(P274,'Scoring Method'!$A$25:$A$27,0))</f>
        <v/>
      </c>
      <c r="AG274" s="96">
        <f>AF274*U274/100</f>
        <v/>
      </c>
      <c r="AH274" s="92" t="inlineStr">
        <is>
          <t>LINK-GIS + LoopNet</t>
        </is>
      </c>
      <c r="AI274" s="99" t="n">
        <v>39.08966</v>
      </c>
      <c r="AJ274" s="99" t="n">
        <v>-84.50870999999999</v>
      </c>
      <c r="AK274" s="94" t="n">
        <v>0.61</v>
      </c>
      <c r="AL274" s="94" t="n">
        <v>0.08</v>
      </c>
      <c r="AM274" s="94" t="n">
        <v>0.84</v>
      </c>
      <c r="AN274" s="94" t="n">
        <v>0.08</v>
      </c>
      <c r="AO274" s="92" t="inlineStr">
        <is>
          <t>Core &lt;=0.35mi</t>
        </is>
      </c>
      <c r="AP274" s="92" t="inlineStr">
        <is>
          <t>Built-out kitchen</t>
        </is>
      </c>
      <c r="AQ274" s="92" t="inlineStr">
        <is>
          <t>Adequate 5-8k</t>
        </is>
      </c>
      <c r="AR274" s="100" t="n"/>
      <c r="AS274" s="96">
        <f>ROUND(INDEX('Scoring Method'!$B$63:$B$70,MATCH(AE274,'Scoring Method'!$A$63:$A$70,0))*0.625+INDEX('Scoring Method'!$B$105:$B$113,MATCH(AP274,'Scoring Method'!$A$105:$A$113,0))+INDEX('Scoring Method'!$B$74:$B$78,MATCH(AQ274,'Scoring Method'!$A$74:$A$78,0))*0.6667+INDEX('Scoring Method'!$B$96:$B$101,MATCH(AO274,'Scoring Method'!$A$96:$A$101,0))+INDEX('Scoring Method'!$B$343:$B$347,MATCH(X274,'Scoring Method'!$A$343:$A$347,0))*0.3333+INDEX('Scoring Method'!$B$25:$B$27,MATCH(P274,'Scoring Method'!$A$25:$A$27,0))*0.3333,1)</f>
        <v/>
      </c>
      <c r="AT274" s="96">
        <f>AS274*U274/100</f>
        <v/>
      </c>
      <c r="AU274" s="92" t="inlineStr">
        <is>
          <t>Central Business District</t>
        </is>
      </c>
      <c r="AV274" s="92" t="n">
        <v>48</v>
      </c>
      <c r="AW274" s="101" t="inlineStr">
        <is>
          <t>ESTIMATED</t>
        </is>
      </c>
      <c r="AX274" s="92" t="inlineStr">
        <is>
          <t>Mixed 45-59</t>
        </is>
      </c>
      <c r="AY274" s="96">
        <f>ROUND(INDEX('Scoring Method'!$B$132:$B$140,MATCH(AE274,'Scoring Method'!$A$132:$A$140,0))+INDEX('Scoring Method'!$B$144:$B$152,MATCH(AP274,'Scoring Method'!$A$144:$A$152,0))+INDEX('Scoring Method'!$B$156:$B$160,MATCH(AQ274,'Scoring Method'!$A$156:$A$160,0))+INDEX('Scoring Method'!$B$164:$B$169,MATCH(AO274,'Scoring Method'!$A$164:$A$169,0))+INDEX('Scoring Method'!$B$173:$B$178,MATCH(AX274,'Scoring Method'!$A$173:$A$178,0))+INDEX('Scoring Method'!$B$349:$B$353,MATCH(X274,'Scoring Method'!$A$349:$A$353,0))+INDEX('Scoring Method'!$B$188:$B$190,MATCH(P274,'Scoring Method'!$A$188:$A$190,0)),1)</f>
        <v/>
      </c>
      <c r="AZ274" s="96">
        <f>AY274*U274/100</f>
        <v/>
      </c>
      <c r="BA274" s="92" t="inlineStr">
        <is>
          <t>No chain signal</t>
        </is>
      </c>
      <c r="BB274" s="94" t="n">
        <v>1</v>
      </c>
      <c r="BC274" s="102" t="inlineStr">
        <is>
          <t>Small 0.25-0.35 AC</t>
        </is>
      </c>
      <c r="BD274" s="94" t="n">
        <v>0.9</v>
      </c>
      <c r="BE274" s="96">
        <f>ROUND(INDEX('Scoring Method'!$B$268:$B$276,MATCH(AE274,'Scoring Method'!$A$268:$A$276,0))+INDEX('Scoring Method'!$B$280:$B$288,MATCH(AP274,'Scoring Method'!$A$280:$A$288,0))+INDEX('Scoring Method'!$B$292:$B$296,MATCH(AQ274,'Scoring Method'!$A$292:$A$296,0))+INDEX('Scoring Method'!$B$300:$B$305,MATCH(AO274,'Scoring Method'!$A$300:$A$305,0))+INDEX('Scoring Method'!$B$309:$B$314,MATCH(AX274,'Scoring Method'!$A$309:$A$314,0))+INDEX('Scoring Method'!$B$337:$B$341,MATCH(X274,'Scoring Method'!$A$337:$A$341,0))+INDEX('Scoring Method'!$B$324:$B$326,MATCH(P274,'Scoring Method'!$A$324:$A$326,0)),1)</f>
        <v/>
      </c>
      <c r="BF274" s="96">
        <f>ROUND(INDEX('Scoring Method'!$B$268:$B$276,MATCH(AE274,'Scoring Method'!$A$268:$A$276,0))*BB274*BD274+INDEX('Scoring Method'!$B$280:$B$288,MATCH(AP274,'Scoring Method'!$A$280:$A$288,0))*BM274*BB274*BD274+INDEX('Scoring Method'!$B$292:$B$296,MATCH(AQ274,'Scoring Method'!$A$292:$A$296,0))*BD274+INDEX('Scoring Method'!$B$300:$B$305,MATCH(AO274,'Scoring Method'!$A$300:$A$305,0))*BM274*BB274+INDEX('Scoring Method'!$B$309:$B$314,MATCH(AX274,'Scoring Method'!$A$309:$A$314,0))+INDEX('Scoring Method'!$B$337:$B$341,MATCH(X274,'Scoring Method'!$A$337:$A$341,0))+INDEX('Scoring Method'!$B$324:$B$326,MATCH(P274,'Scoring Method'!$A$324:$A$326,0)),1)</f>
        <v/>
      </c>
      <c r="BG274" s="92" t="inlineStr">
        <is>
          <t>Fits (~$4,125/mo)</t>
        </is>
      </c>
      <c r="BH274" s="61" t="inlineStr">
        <is>
          <t>DTR</t>
        </is>
      </c>
      <c r="BI274" s="61" t="inlineStr">
        <is>
          <t>Downtown Riverfront</t>
        </is>
      </c>
      <c r="BJ274" s="61" t="inlineStr"/>
      <c r="BK274" s="61" t="inlineStr"/>
      <c r="BL274" s="61" t="inlineStr">
        <is>
          <t>Bar permitted</t>
        </is>
      </c>
      <c r="BM274" s="61">
        <f>INDEX('Scoring Method'!$B$358:$B$363,MATCH(BL274,'Scoring Method'!$A$358:$A$363,0))</f>
        <v/>
      </c>
    </row>
    <row r="275" ht="15" customHeight="1" s="62">
      <c r="A275" s="92" t="n">
        <v>274</v>
      </c>
      <c r="B275" s="92" t="inlineStr">
        <is>
          <t>054-21-24-002.00</t>
        </is>
      </c>
      <c r="C275" s="92" t="inlineStr">
        <is>
          <t>25 W 7TH ST</t>
        </is>
      </c>
      <c r="D275" s="92" t="inlineStr">
        <is>
          <t>BRAXTON BUILDINGS LLC</t>
        </is>
      </c>
      <c r="E275" s="92" t="inlineStr">
        <is>
          <t>27 W 7TH ST</t>
        </is>
      </c>
      <c r="F275" s="92" t="inlineStr">
        <is>
          <t>COVINGTON</t>
        </is>
      </c>
      <c r="G275" s="92" t="inlineStr">
        <is>
          <t>KY</t>
        </is>
      </c>
      <c r="H275" s="92" t="inlineStr">
        <is>
          <t>OFFICE/ENTERTAINMENT FACILITY</t>
        </is>
      </c>
      <c r="I275" s="93" t="n">
        <v>11200</v>
      </c>
      <c r="J275" s="94">
        <f>I275/43560</f>
        <v/>
      </c>
      <c r="K275" s="93" t="n">
        <v>440</v>
      </c>
      <c r="L275" s="95">
        <f>I275/(K275^2)</f>
        <v/>
      </c>
      <c r="M275" s="92" t="inlineStr">
        <is>
          <t>Marginal 10-14k/45-60k</t>
        </is>
      </c>
      <c r="N275" s="92" t="inlineStr">
        <is>
          <t>C</t>
        </is>
      </c>
      <c r="O275" s="92" t="inlineStr">
        <is>
          <t>Compact &gt;=.055</t>
        </is>
      </c>
      <c r="P275" s="92" t="inlineStr">
        <is>
          <t>Low</t>
        </is>
      </c>
      <c r="Q275" s="92" t="inlineStr">
        <is>
          <t>Local absentee</t>
        </is>
      </c>
      <c r="R275" s="92" t="inlineStr">
        <is>
          <t>Operating entity</t>
        </is>
      </c>
      <c r="S275" s="92" t="n">
        <v>1</v>
      </c>
      <c r="T275" s="96">
        <f>INDEX('Scoring Method'!$B$6:$B$9,MATCH(M275,'Scoring Method'!$A$6:$A$9,0))+INDEX('Scoring Method'!$B$12:$B$16,MATCH(N275,'Scoring Method'!$A$12:$A$16,0))+INDEX('Scoring Method'!$B$19:$B$22,MATCH(O275,'Scoring Method'!$A$19:$A$22,0))+INDEX('Scoring Method'!$B$25:$B$27,MATCH(P275,'Scoring Method'!$A$25:$A$27,0))</f>
        <v/>
      </c>
      <c r="U275" s="96">
        <f>(INDEX('Scoring Method'!$B$30:$B$33,MATCH(Q275,'Scoring Method'!$A$30:$A$33,0))+INDEX('Scoring Method'!$B$36:$B$42,MATCH(R275,'Scoring Method'!$A$36:$A$42,0))+INDEX('Scoring Method'!$B$45:$B$47,MATCH(IF(S275=1,"1",IF(S275=2,"2","3+")),'Scoring Method'!$A$45:$A$47,0)))/90*100</f>
        <v/>
      </c>
      <c r="V275" s="96">
        <f>T275*U275/100</f>
        <v/>
      </c>
      <c r="W275" s="93" t="n">
        <v>22080</v>
      </c>
      <c r="X275" s="92" t="inlineStr">
        <is>
          <t>X (minimal hazard)</t>
        </is>
      </c>
      <c r="Y275" s="93" t="n">
        <v>0</v>
      </c>
      <c r="Z275" s="97">
        <f>W275/I275</f>
        <v/>
      </c>
      <c r="AA275" s="98">
        <f>MAX(0,(Y275-5000)/300)</f>
        <v/>
      </c>
      <c r="AB275" s="92" t="n"/>
      <c r="AC275" s="92" t="n">
        <v>0.26</v>
      </c>
      <c r="AD275" s="92" t="inlineStr">
        <is>
          <t>ok</t>
        </is>
      </c>
      <c r="AE275" s="92" t="inlineStr">
        <is>
          <t>Far oversize &gt;12k</t>
        </is>
      </c>
      <c r="AF275" s="96">
        <f>INDEX('Scoring Method'!$B$63:$B$71,MATCH(AE275,'Scoring Method'!$A$63:$A$71,0))+INDEX('Scoring Method'!$B$75:$B$79,MATCH("Insufficient &lt;2k",'Scoring Method'!$A$75:$A$79,0))+INDEX('Scoring Method'!$B$343:$B$347,MATCH(X275,'Scoring Method'!$A$343:$A$347,0))+INDEX('Scoring Method'!$B$25:$B$27,MATCH(P275,'Scoring Method'!$A$25:$A$27,0))</f>
        <v/>
      </c>
      <c r="AG275" s="96">
        <f>AF275*U275/100</f>
        <v/>
      </c>
      <c r="AH275" s="92" t="inlineStr">
        <is>
          <t>LINK-GIS + LoopNet</t>
        </is>
      </c>
      <c r="AI275" s="99" t="n">
        <v>39.08293</v>
      </c>
      <c r="AJ275" s="99" t="n">
        <v>-84.51096</v>
      </c>
      <c r="AK275" s="94" t="n">
        <v>0.38</v>
      </c>
      <c r="AL275" s="94" t="n">
        <v>0.5600000000000001</v>
      </c>
      <c r="AM275" s="94" t="n">
        <v>1.29</v>
      </c>
      <c r="AN275" s="94" t="n">
        <v>0.07000000000000001</v>
      </c>
      <c r="AO275" s="92" t="inlineStr">
        <is>
          <t>Core &lt;=0.35mi</t>
        </is>
      </c>
      <c r="AP275" s="92" t="inlineStr">
        <is>
          <t>Purpose-built venue</t>
        </is>
      </c>
      <c r="AQ275" s="92" t="inlineStr">
        <is>
          <t>Insufficient &lt;2k</t>
        </is>
      </c>
      <c r="AR275" s="100" t="n"/>
      <c r="AS275" s="96">
        <f>ROUND(INDEX('Scoring Method'!$B$63:$B$70,MATCH(AE275,'Scoring Method'!$A$63:$A$70,0))*0.625+INDEX('Scoring Method'!$B$105:$B$113,MATCH(AP275,'Scoring Method'!$A$105:$A$113,0))+INDEX('Scoring Method'!$B$74:$B$78,MATCH(AQ275,'Scoring Method'!$A$74:$A$78,0))*0.6667+INDEX('Scoring Method'!$B$96:$B$101,MATCH(AO275,'Scoring Method'!$A$96:$A$101,0))+INDEX('Scoring Method'!$B$343:$B$347,MATCH(X275,'Scoring Method'!$A$343:$A$347,0))*0.3333+INDEX('Scoring Method'!$B$25:$B$27,MATCH(P275,'Scoring Method'!$A$25:$A$27,0))*0.3333,1)</f>
        <v/>
      </c>
      <c r="AT275" s="96">
        <f>AS275*U275/100</f>
        <v/>
      </c>
      <c r="AU275" s="92" t="inlineStr">
        <is>
          <t>Central Business District</t>
        </is>
      </c>
      <c r="AV275" s="92" t="n">
        <v>48</v>
      </c>
      <c r="AW275" s="101" t="inlineStr">
        <is>
          <t>ESTIMATED</t>
        </is>
      </c>
      <c r="AX275" s="92" t="inlineStr">
        <is>
          <t>Mixed 45-59</t>
        </is>
      </c>
      <c r="AY275" s="96">
        <f>ROUND(INDEX('Scoring Method'!$B$132:$B$140,MATCH(AE275,'Scoring Method'!$A$132:$A$140,0))+INDEX('Scoring Method'!$B$144:$B$152,MATCH(AP275,'Scoring Method'!$A$144:$A$152,0))+INDEX('Scoring Method'!$B$156:$B$160,MATCH(AQ275,'Scoring Method'!$A$156:$A$160,0))+INDEX('Scoring Method'!$B$164:$B$169,MATCH(AO275,'Scoring Method'!$A$164:$A$169,0))+INDEX('Scoring Method'!$B$173:$B$178,MATCH(AX275,'Scoring Method'!$A$173:$A$178,0))+INDEX('Scoring Method'!$B$349:$B$353,MATCH(X275,'Scoring Method'!$A$349:$A$353,0))+INDEX('Scoring Method'!$B$188:$B$190,MATCH(P275,'Scoring Method'!$A$188:$A$190,0)),1)</f>
        <v/>
      </c>
      <c r="AZ275" s="96">
        <f>AY275*U275/100</f>
        <v/>
      </c>
      <c r="BA275" s="92" t="inlineStr">
        <is>
          <t>No chain signal</t>
        </is>
      </c>
      <c r="BB275" s="94" t="n">
        <v>1</v>
      </c>
      <c r="BC275" s="102" t="inlineStr">
        <is>
          <t>Small 0.25-0.35 AC</t>
        </is>
      </c>
      <c r="BD275" s="94" t="n">
        <v>0.9</v>
      </c>
      <c r="BE275" s="96">
        <f>ROUND(INDEX('Scoring Method'!$B$268:$B$276,MATCH(AE275,'Scoring Method'!$A$268:$A$276,0))+INDEX('Scoring Method'!$B$280:$B$288,MATCH(AP275,'Scoring Method'!$A$280:$A$288,0))+INDEX('Scoring Method'!$B$292:$B$296,MATCH(AQ275,'Scoring Method'!$A$292:$A$296,0))+INDEX('Scoring Method'!$B$300:$B$305,MATCH(AO275,'Scoring Method'!$A$300:$A$305,0))+INDEX('Scoring Method'!$B$309:$B$314,MATCH(AX275,'Scoring Method'!$A$309:$A$314,0))+INDEX('Scoring Method'!$B$337:$B$341,MATCH(X275,'Scoring Method'!$A$337:$A$341,0))+INDEX('Scoring Method'!$B$324:$B$326,MATCH(P275,'Scoring Method'!$A$324:$A$326,0)),1)</f>
        <v/>
      </c>
      <c r="BF275" s="96">
        <f>ROUND(INDEX('Scoring Method'!$B$268:$B$276,MATCH(AE275,'Scoring Method'!$A$268:$A$276,0))*BB275*BD275+INDEX('Scoring Method'!$B$280:$B$288,MATCH(AP275,'Scoring Method'!$A$280:$A$288,0))*BM275*BB275*BD275+INDEX('Scoring Method'!$B$292:$B$296,MATCH(AQ275,'Scoring Method'!$A$292:$A$296,0))*BD275+INDEX('Scoring Method'!$B$300:$B$305,MATCH(AO275,'Scoring Method'!$A$300:$A$305,0))*BM275*BB275+INDEX('Scoring Method'!$B$309:$B$314,MATCH(AX275,'Scoring Method'!$A$309:$A$314,0))+INDEX('Scoring Method'!$B$337:$B$341,MATCH(X275,'Scoring Method'!$A$337:$A$341,0))+INDEX('Scoring Method'!$B$324:$B$326,MATCH(P275,'Scoring Method'!$A$324:$A$326,0)),1)</f>
        <v/>
      </c>
      <c r="BG275" s="102" t="inlineStr">
        <is>
          <t>Over (~$20,240/mo)</t>
        </is>
      </c>
      <c r="BH275" s="61" t="inlineStr">
        <is>
          <t>DTC (HP)</t>
        </is>
      </c>
      <c r="BI275" s="61" t="inlineStr">
        <is>
          <t>Downtown Core</t>
        </is>
      </c>
      <c r="BJ275" s="61" t="inlineStr">
        <is>
          <t>HP</t>
        </is>
      </c>
      <c r="BK275" s="61" t="inlineStr"/>
      <c r="BL275" s="61" t="inlineStr">
        <is>
          <t>Bar permitted</t>
        </is>
      </c>
      <c r="BM275" s="61">
        <f>INDEX('Scoring Method'!$B$358:$B$363,MATCH(BL275,'Scoring Method'!$A$358:$A$363,0))</f>
        <v/>
      </c>
    </row>
    <row r="276" ht="15" customHeight="1" s="62">
      <c r="A276" s="92" t="n">
        <v>275</v>
      </c>
      <c r="B276" s="92" t="inlineStr">
        <is>
          <t>055-32-04-050.00</t>
        </is>
      </c>
      <c r="C276" s="92" t="inlineStr">
        <is>
          <t>2031 GARRARD ST</t>
        </is>
      </c>
      <c r="D276" s="92" t="inlineStr">
        <is>
          <t>ABSOLUTE HOLDINGS LLC</t>
        </is>
      </c>
      <c r="E276" s="92" t="inlineStr">
        <is>
          <t>2031 GARRARD ST</t>
        </is>
      </c>
      <c r="F276" s="92" t="inlineStr">
        <is>
          <t>COVINGTON</t>
        </is>
      </c>
      <c r="G276" s="92" t="inlineStr">
        <is>
          <t>KY</t>
        </is>
      </c>
      <c r="H276" s="92" t="inlineStr">
        <is>
          <t>GARAGE</t>
        </is>
      </c>
      <c r="I276" s="93" t="n">
        <v>8650</v>
      </c>
      <c r="J276" s="94">
        <f>I276/43560</f>
        <v/>
      </c>
      <c r="K276" s="93" t="n">
        <v>430</v>
      </c>
      <c r="L276" s="95">
        <f>I276/(K276^2)</f>
        <v/>
      </c>
      <c r="M276" s="92" t="inlineStr">
        <is>
          <t>Poor &lt;10k/&gt;60k</t>
        </is>
      </c>
      <c r="N276" s="92" t="inlineStr">
        <is>
          <t>A</t>
        </is>
      </c>
      <c r="O276" s="92" t="inlineStr">
        <is>
          <t>Regular .045-.055</t>
        </is>
      </c>
      <c r="P276" s="92" t="inlineStr">
        <is>
          <t>Moderate</t>
        </is>
      </c>
      <c r="Q276" s="92" t="inlineStr">
        <is>
          <t>Owner-occupied</t>
        </is>
      </c>
      <c r="R276" s="92" t="inlineStr">
        <is>
          <t>Passive vehicle</t>
        </is>
      </c>
      <c r="S276" s="92" t="n">
        <v>1</v>
      </c>
      <c r="T276" s="96">
        <f>INDEX('Scoring Method'!$B$6:$B$9,MATCH(M276,'Scoring Method'!$A$6:$A$9,0))+INDEX('Scoring Method'!$B$12:$B$16,MATCH(N276,'Scoring Method'!$A$12:$A$16,0))+INDEX('Scoring Method'!$B$19:$B$22,MATCH(O276,'Scoring Method'!$A$19:$A$22,0))+INDEX('Scoring Method'!$B$25:$B$27,MATCH(P276,'Scoring Method'!$A$25:$A$27,0))</f>
        <v/>
      </c>
      <c r="U276" s="96">
        <f>(INDEX('Scoring Method'!$B$30:$B$33,MATCH(Q276,'Scoring Method'!$A$30:$A$33,0))+INDEX('Scoring Method'!$B$36:$B$42,MATCH(R276,'Scoring Method'!$A$36:$A$42,0))+INDEX('Scoring Method'!$B$45:$B$47,MATCH(IF(S276=1,"1",IF(S276=2,"2","3+")),'Scoring Method'!$A$45:$A$47,0)))/90*100</f>
        <v/>
      </c>
      <c r="V276" s="96">
        <f>T276*U276/100</f>
        <v/>
      </c>
      <c r="W276" s="93" t="n">
        <v>8550</v>
      </c>
      <c r="X276" s="92" t="inlineStr">
        <is>
          <t>X (minimal hazard)</t>
        </is>
      </c>
      <c r="Y276" s="93" t="n">
        <v>0</v>
      </c>
      <c r="Z276" s="97" t="n"/>
      <c r="AA276" s="98">
        <f>MAX(0,(Y276-5000)/300)</f>
        <v/>
      </c>
      <c r="AB276" s="92" t="n"/>
      <c r="AC276" s="92" t="n"/>
      <c r="AD276" s="92" t="n"/>
      <c r="AE276" s="92" t="inlineStr">
        <is>
          <t>Oversize 6-12k</t>
        </is>
      </c>
      <c r="AF276" s="96">
        <f>INDEX('Scoring Method'!$B$63:$B$71,MATCH(AE276,'Scoring Method'!$A$63:$A$71,0))+INDEX('Scoring Method'!$B$75:$B$79,MATCH("Insufficient &lt;2k",'Scoring Method'!$A$75:$A$79,0))+INDEX('Scoring Method'!$B$343:$B$347,MATCH(X276,'Scoring Method'!$A$343:$A$347,0))+INDEX('Scoring Method'!$B$25:$B$27,MATCH(P276,'Scoring Method'!$A$25:$A$27,0))</f>
        <v/>
      </c>
      <c r="AG276" s="96">
        <f>AF276*U276/100</f>
        <v/>
      </c>
      <c r="AH276" s="92" t="inlineStr">
        <is>
          <t>LINK-GIS only</t>
        </is>
      </c>
      <c r="AI276" s="99" t="n">
        <v>39.06649</v>
      </c>
      <c r="AJ276" s="99" t="n">
        <v>-84.50139</v>
      </c>
      <c r="AK276" s="94" t="n">
        <v>1.52</v>
      </c>
      <c r="AL276" s="94" t="n">
        <v>1.72</v>
      </c>
      <c r="AM276" s="94" t="n">
        <v>2.49</v>
      </c>
      <c r="AN276" s="94" t="n">
        <v>1.31</v>
      </c>
      <c r="AO276" s="92" t="inlineStr">
        <is>
          <t>Outer 1.25-2mi</t>
        </is>
      </c>
      <c r="AP276" s="92" t="inlineStr">
        <is>
          <t>Open span</t>
        </is>
      </c>
      <c r="AQ276" s="92" t="inlineStr">
        <is>
          <t>Insufficient &lt;2k</t>
        </is>
      </c>
      <c r="AR276" s="100" t="n"/>
      <c r="AS276" s="96">
        <f>ROUND(INDEX('Scoring Method'!$B$63:$B$70,MATCH(AE276,'Scoring Method'!$A$63:$A$70,0))*0.625+INDEX('Scoring Method'!$B$105:$B$113,MATCH(AP276,'Scoring Method'!$A$105:$A$113,0))+INDEX('Scoring Method'!$B$74:$B$78,MATCH(AQ276,'Scoring Method'!$A$74:$A$78,0))*0.6667+INDEX('Scoring Method'!$B$96:$B$101,MATCH(AO276,'Scoring Method'!$A$96:$A$101,0))+INDEX('Scoring Method'!$B$343:$B$347,MATCH(X276,'Scoring Method'!$A$343:$A$347,0))*0.3333+INDEX('Scoring Method'!$B$25:$B$27,MATCH(P276,'Scoring Method'!$A$25:$A$27,0))*0.3333,1)</f>
        <v/>
      </c>
      <c r="AT276" s="96">
        <f>AS276*U276/100</f>
        <v/>
      </c>
      <c r="AU276" s="92" t="inlineStr">
        <is>
          <t>Levassor Park</t>
        </is>
      </c>
      <c r="AV276" s="92" t="n">
        <v>42</v>
      </c>
      <c r="AW276" s="101" t="inlineStr">
        <is>
          <t>ESTIMATED</t>
        </is>
      </c>
      <c r="AX276" s="92" t="inlineStr">
        <is>
          <t>Elevated 35-44</t>
        </is>
      </c>
      <c r="AY276" s="96">
        <f>ROUND(INDEX('Scoring Method'!$B$132:$B$140,MATCH(AE276,'Scoring Method'!$A$132:$A$140,0))+INDEX('Scoring Method'!$B$144:$B$152,MATCH(AP276,'Scoring Method'!$A$144:$A$152,0))+INDEX('Scoring Method'!$B$156:$B$160,MATCH(AQ276,'Scoring Method'!$A$156:$A$160,0))+INDEX('Scoring Method'!$B$164:$B$169,MATCH(AO276,'Scoring Method'!$A$164:$A$169,0))+INDEX('Scoring Method'!$B$173:$B$178,MATCH(AX276,'Scoring Method'!$A$173:$A$178,0))+INDEX('Scoring Method'!$B$349:$B$353,MATCH(X276,'Scoring Method'!$A$349:$A$353,0))+INDEX('Scoring Method'!$B$188:$B$190,MATCH(P276,'Scoring Method'!$A$188:$A$190,0)),1)</f>
        <v/>
      </c>
      <c r="AZ276" s="96">
        <f>AY276*U276/100</f>
        <v/>
      </c>
      <c r="BA276" s="92" t="inlineStr">
        <is>
          <t>Owner-occupied operator</t>
        </is>
      </c>
      <c r="BB276" s="94" t="n">
        <v>0.8</v>
      </c>
      <c r="BC276" s="103" t="inlineStr">
        <is>
          <t>Extra small 0.15-0.25 AC</t>
        </is>
      </c>
      <c r="BD276" s="94" t="n">
        <v>0.8</v>
      </c>
      <c r="BE276" s="96">
        <f>ROUND(INDEX('Scoring Method'!$B$268:$B$276,MATCH(AE276,'Scoring Method'!$A$268:$A$276,0))+INDEX('Scoring Method'!$B$280:$B$288,MATCH(AP276,'Scoring Method'!$A$280:$A$288,0))+INDEX('Scoring Method'!$B$292:$B$296,MATCH(AQ276,'Scoring Method'!$A$292:$A$296,0))+INDEX('Scoring Method'!$B$300:$B$305,MATCH(AO276,'Scoring Method'!$A$300:$A$305,0))+INDEX('Scoring Method'!$B$309:$B$314,MATCH(AX276,'Scoring Method'!$A$309:$A$314,0))+INDEX('Scoring Method'!$B$337:$B$341,MATCH(X276,'Scoring Method'!$A$337:$A$341,0))+INDEX('Scoring Method'!$B$324:$B$326,MATCH(P276,'Scoring Method'!$A$324:$A$326,0)),1)</f>
        <v/>
      </c>
      <c r="BF276" s="96">
        <f>ROUND(INDEX('Scoring Method'!$B$268:$B$276,MATCH(AE276,'Scoring Method'!$A$268:$A$276,0))*BB276*BD276+INDEX('Scoring Method'!$B$280:$B$288,MATCH(AP276,'Scoring Method'!$A$280:$A$288,0))*BM276*BB276*BD276+INDEX('Scoring Method'!$B$292:$B$296,MATCH(AQ276,'Scoring Method'!$A$292:$A$296,0))*BD276+INDEX('Scoring Method'!$B$300:$B$305,MATCH(AO276,'Scoring Method'!$A$300:$A$305,0))*BM276*BB276+INDEX('Scoring Method'!$B$309:$B$314,MATCH(AX276,'Scoring Method'!$A$309:$A$314,0))+INDEX('Scoring Method'!$B$337:$B$341,MATCH(X276,'Scoring Method'!$A$337:$A$341,0))+INDEX('Scoring Method'!$B$324:$B$326,MATCH(P276,'Scoring Method'!$A$324:$A$326,0)),1)</f>
        <v/>
      </c>
      <c r="BG276" s="92" t="inlineStr">
        <is>
          <t>Fits (~$7,838/mo)</t>
        </is>
      </c>
      <c r="BH276" s="61" t="inlineStr">
        <is>
          <t>SU</t>
        </is>
      </c>
      <c r="BI276" s="61" t="inlineStr">
        <is>
          <t>Semi-Urban Residential</t>
        </is>
      </c>
      <c r="BJ276" s="61" t="inlineStr"/>
      <c r="BK276" s="61" t="inlineStr"/>
      <c r="BL276" s="61" t="inlineStr">
        <is>
          <t>SU corner unverified</t>
        </is>
      </c>
      <c r="BM276" s="61">
        <f>INDEX('Scoring Method'!$B$358:$B$363,MATCH(BL276,'Scoring Method'!$A$358:$A$363,0))</f>
        <v/>
      </c>
    </row>
    <row r="277" ht="15" customHeight="1" s="62">
      <c r="A277" s="92" t="n">
        <v>276</v>
      </c>
      <c r="B277" s="92" t="inlineStr">
        <is>
          <t>055-32-04-070.00</t>
        </is>
      </c>
      <c r="C277" s="92" t="inlineStr">
        <is>
          <t>313 E 21ST ST</t>
        </is>
      </c>
      <c r="D277" s="92" t="inlineStr">
        <is>
          <t>PAVILION AT KENTON</t>
        </is>
      </c>
      <c r="E277" s="92" t="inlineStr">
        <is>
          <t>401 E 20TH ST</t>
        </is>
      </c>
      <c r="F277" s="92" t="inlineStr">
        <is>
          <t>COVINGTON</t>
        </is>
      </c>
      <c r="G277" s="92" t="inlineStr">
        <is>
          <t>KY</t>
        </is>
      </c>
      <c r="H277" s="92" t="inlineStr">
        <is>
          <t>PAVED LOT</t>
        </is>
      </c>
      <c r="I277" s="93" t="n">
        <v>13643</v>
      </c>
      <c r="J277" s="94">
        <f>I277/43560</f>
        <v/>
      </c>
      <c r="K277" s="93" t="n">
        <v>523.9</v>
      </c>
      <c r="L277" s="95">
        <f>I277/(K277^2)</f>
        <v/>
      </c>
      <c r="M277" s="92" t="inlineStr">
        <is>
          <t>Marginal 10-14k/45-60k</t>
        </is>
      </c>
      <c r="N277" s="92" t="inlineStr">
        <is>
          <t>D</t>
        </is>
      </c>
      <c r="O277" s="92" t="inlineStr">
        <is>
          <t>Regular .045-.055</t>
        </is>
      </c>
      <c r="P277" s="92" t="inlineStr">
        <is>
          <t>Low</t>
        </is>
      </c>
      <c r="Q277" s="92" t="inlineStr">
        <is>
          <t>Local absentee</t>
        </is>
      </c>
      <c r="R277" s="92" t="inlineStr">
        <is>
          <t>Nonprofit/Inst</t>
        </is>
      </c>
      <c r="S277" s="92" t="n">
        <v>2</v>
      </c>
      <c r="T277" s="96">
        <f>INDEX('Scoring Method'!$B$6:$B$9,MATCH(M277,'Scoring Method'!$A$6:$A$9,0))+INDEX('Scoring Method'!$B$12:$B$16,MATCH(N277,'Scoring Method'!$A$12:$A$16,0))+INDEX('Scoring Method'!$B$19:$B$22,MATCH(O277,'Scoring Method'!$A$19:$A$22,0))+INDEX('Scoring Method'!$B$25:$B$27,MATCH(P277,'Scoring Method'!$A$25:$A$27,0))</f>
        <v/>
      </c>
      <c r="U277" s="96">
        <f>(INDEX('Scoring Method'!$B$30:$B$33,MATCH(Q277,'Scoring Method'!$A$30:$A$33,0))+INDEX('Scoring Method'!$B$36:$B$42,MATCH(R277,'Scoring Method'!$A$36:$A$42,0))+INDEX('Scoring Method'!$B$45:$B$47,MATCH(IF(S277=1,"1",IF(S277=2,"2","3+")),'Scoring Method'!$A$45:$A$47,0)))/90*100</f>
        <v/>
      </c>
      <c r="V277" s="96">
        <f>T277*U277/100</f>
        <v/>
      </c>
      <c r="W277" s="93" t="n"/>
      <c r="X277" s="92" t="inlineStr">
        <is>
          <t>Unknown</t>
        </is>
      </c>
      <c r="Y277" s="93" t="n"/>
      <c r="Z277" s="97" t="n"/>
      <c r="AA277" s="98" t="n"/>
      <c r="AB277" s="92" t="n"/>
      <c r="AC277" s="92" t="n"/>
      <c r="AD277" s="92" t="n"/>
      <c r="AE277" s="92" t="n"/>
      <c r="AF277" s="96" t="n"/>
      <c r="AG277" s="96" t="n"/>
      <c r="AH277" s="92" t="inlineStr">
        <is>
          <t>LINK-GIS only</t>
        </is>
      </c>
      <c r="AI277" s="99" t="n">
        <v>39.06666</v>
      </c>
      <c r="AJ277" s="99" t="n">
        <v>-84.50017</v>
      </c>
      <c r="AK277" s="94" t="n">
        <v>1.55</v>
      </c>
      <c r="AL277" s="94" t="n">
        <v>1.73</v>
      </c>
      <c r="AM277" s="94" t="n">
        <v>2.5</v>
      </c>
      <c r="AN277" s="94" t="n">
        <v>1.33</v>
      </c>
      <c r="AO277" s="92" t="inlineStr">
        <is>
          <t>Outer 1.25-2mi</t>
        </is>
      </c>
      <c r="AP277" s="92" t="inlineStr">
        <is>
          <t>Lot / minimal bldg</t>
        </is>
      </c>
      <c r="AQ277" s="92" t="n"/>
      <c r="AR277" s="100" t="n"/>
      <c r="AS277" s="96" t="n"/>
      <c r="AT277" s="96" t="n"/>
      <c r="AU277" s="92" t="inlineStr">
        <is>
          <t>Levassor Park</t>
        </is>
      </c>
      <c r="AV277" s="92" t="n">
        <v>42</v>
      </c>
      <c r="AW277" s="101" t="inlineStr">
        <is>
          <t>ESTIMATED</t>
        </is>
      </c>
      <c r="AX277" s="92" t="inlineStr">
        <is>
          <t>Elevated 35-44</t>
        </is>
      </c>
      <c r="AY277" s="96" t="n"/>
      <c r="AZ277" s="96" t="n"/>
      <c r="BA277" s="92" t="inlineStr">
        <is>
          <t>No chain signal</t>
        </is>
      </c>
      <c r="BB277" s="94" t="n">
        <v>1</v>
      </c>
      <c r="BC277" s="102" t="inlineStr">
        <is>
          <t>Small 0.25-0.35 AC</t>
        </is>
      </c>
      <c r="BD277" s="94" t="n">
        <v>0.9</v>
      </c>
      <c r="BE277" s="96" t="n"/>
      <c r="BF277" s="96" t="n"/>
      <c r="BG277" s="92" t="n"/>
      <c r="BH277" s="61" t="inlineStr">
        <is>
          <t>Not joined</t>
        </is>
      </c>
      <c r="BL277" s="61" t="inlineStr">
        <is>
          <t>Not joined</t>
        </is>
      </c>
      <c r="BM277" s="61" t="n">
        <v>1</v>
      </c>
    </row>
    <row r="278" ht="15" customHeight="1" s="62">
      <c r="A278" s="92" t="n">
        <v>277</v>
      </c>
      <c r="B278" s="92" t="inlineStr">
        <is>
          <t>042-30-00-046.00</t>
        </is>
      </c>
      <c r="C278" s="92" t="inlineStr">
        <is>
          <t>878 KYLES LN</t>
        </is>
      </c>
      <c r="D278" s="92" t="inlineStr">
        <is>
          <t>COUNTS MARVIN G &amp; JANET C</t>
        </is>
      </c>
      <c r="E278" s="92" t="inlineStr">
        <is>
          <t>890 KYLES LN</t>
        </is>
      </c>
      <c r="F278" s="92" t="inlineStr">
        <is>
          <t>COVINGTON</t>
        </is>
      </c>
      <c r="G278" s="92" t="inlineStr">
        <is>
          <t>KY</t>
        </is>
      </c>
      <c r="H278" s="92" t="inlineStr">
        <is>
          <t>MISCELLANEOUS IMPROVEMENT</t>
        </is>
      </c>
      <c r="I278" s="93" t="n">
        <v>56004</v>
      </c>
      <c r="J278" s="94">
        <f>I278/43560</f>
        <v/>
      </c>
      <c r="K278" s="93" t="n">
        <v>1368.4</v>
      </c>
      <c r="L278" s="95">
        <f>I278/(K278^2)</f>
        <v/>
      </c>
      <c r="M278" s="92" t="inlineStr">
        <is>
          <t>Marginal 10-14k/45-60k</t>
        </is>
      </c>
      <c r="N278" s="92" t="inlineStr">
        <is>
          <t>D</t>
        </is>
      </c>
      <c r="O278" s="92" t="inlineStr">
        <is>
          <t>Irregular &lt;.035</t>
        </is>
      </c>
      <c r="P278" s="92" t="inlineStr">
        <is>
          <t>Low</t>
        </is>
      </c>
      <c r="Q278" s="92" t="inlineStr">
        <is>
          <t>Local absentee</t>
        </is>
      </c>
      <c r="R278" s="92" t="inlineStr">
        <is>
          <t>Individual</t>
        </is>
      </c>
      <c r="S278" s="92" t="n">
        <v>1</v>
      </c>
      <c r="T278" s="96">
        <f>INDEX('Scoring Method'!$B$6:$B$9,MATCH(M278,'Scoring Method'!$A$6:$A$9,0))+INDEX('Scoring Method'!$B$12:$B$16,MATCH(N278,'Scoring Method'!$A$12:$A$16,0))+INDEX('Scoring Method'!$B$19:$B$22,MATCH(O278,'Scoring Method'!$A$19:$A$22,0))+INDEX('Scoring Method'!$B$25:$B$27,MATCH(P278,'Scoring Method'!$A$25:$A$27,0))</f>
        <v/>
      </c>
      <c r="U278" s="96">
        <f>(INDEX('Scoring Method'!$B$30:$B$33,MATCH(Q278,'Scoring Method'!$A$30:$A$33,0))+INDEX('Scoring Method'!$B$36:$B$42,MATCH(R278,'Scoring Method'!$A$36:$A$42,0))+INDEX('Scoring Method'!$B$45:$B$47,MATCH(IF(S278=1,"1",IF(S278=2,"2","3+")),'Scoring Method'!$A$45:$A$47,0)))/90*100</f>
        <v/>
      </c>
      <c r="V278" s="96">
        <f>T278*U278/100</f>
        <v/>
      </c>
      <c r="W278" s="93" t="n">
        <v>1029</v>
      </c>
      <c r="X278" s="92" t="inlineStr">
        <is>
          <t>X (minimal hazard)</t>
        </is>
      </c>
      <c r="Y278" s="93" t="n">
        <v>54950</v>
      </c>
      <c r="Z278" s="97" t="n"/>
      <c r="AA278" s="98">
        <f>MAX(0,(Y278-5000)/300)</f>
        <v/>
      </c>
      <c r="AB278" s="92" t="n"/>
      <c r="AC278" s="92" t="n"/>
      <c r="AD278" s="92" t="n"/>
      <c r="AE278" s="92" t="inlineStr">
        <is>
          <t>Too small &lt;1.2k</t>
        </is>
      </c>
      <c r="AF278" s="96">
        <f>INDEX('Scoring Method'!$B$63:$B$71,MATCH(AE278,'Scoring Method'!$A$63:$A$71,0))+INDEX('Scoring Method'!$B$75:$B$79,MATCH("Ample &gt;=15k",'Scoring Method'!$A$75:$A$79,0))+INDEX('Scoring Method'!$B$343:$B$347,MATCH(X278,'Scoring Method'!$A$343:$A$347,0))+INDEX('Scoring Method'!$B$25:$B$27,MATCH(P278,'Scoring Method'!$A$25:$A$27,0))</f>
        <v/>
      </c>
      <c r="AG278" s="96">
        <f>AF278*U278/100</f>
        <v/>
      </c>
      <c r="AH278" s="92" t="inlineStr">
        <is>
          <t>LINK-GIS only</t>
        </is>
      </c>
      <c r="AI278" s="99" t="n">
        <v>39.04473</v>
      </c>
      <c r="AJ278" s="99" t="n">
        <v>-84.52759</v>
      </c>
      <c r="AK278" s="94" t="n">
        <v>2.79</v>
      </c>
      <c r="AL278" s="94" t="n">
        <v>3.35</v>
      </c>
      <c r="AM278" s="94" t="n">
        <v>4.01</v>
      </c>
      <c r="AN278" s="94" t="n">
        <v>2.79</v>
      </c>
      <c r="AO278" s="92" t="inlineStr">
        <is>
          <t>Distant 2-3mi</t>
        </is>
      </c>
      <c r="AP278" s="92" t="inlineStr">
        <is>
          <t>Lot / minimal bldg</t>
        </is>
      </c>
      <c r="AQ278" s="92" t="inlineStr">
        <is>
          <t>Ample &gt;=15k</t>
        </is>
      </c>
      <c r="AR278" s="100" t="n"/>
      <c r="AS278" s="96">
        <f>ROUND(INDEX('Scoring Method'!$B$63:$B$70,MATCH(AE278,'Scoring Method'!$A$63:$A$70,0))*0.625+INDEX('Scoring Method'!$B$105:$B$113,MATCH(AP278,'Scoring Method'!$A$105:$A$113,0))+INDEX('Scoring Method'!$B$74:$B$78,MATCH(AQ278,'Scoring Method'!$A$74:$A$78,0))*0.6667+INDEX('Scoring Method'!$B$96:$B$101,MATCH(AO278,'Scoring Method'!$A$96:$A$101,0))+INDEX('Scoring Method'!$B$343:$B$347,MATCH(X278,'Scoring Method'!$A$343:$A$347,0))*0.3333+INDEX('Scoring Method'!$B$25:$B$27,MATCH(P278,'Scoring Method'!$A$25:$A$27,0))*0.3333,1)</f>
        <v/>
      </c>
      <c r="AT278" s="96">
        <f>AS278*U278/100</f>
        <v/>
      </c>
      <c r="AU278" s="92" t="inlineStr">
        <is>
          <t>Rittes East / Winston Park</t>
        </is>
      </c>
      <c r="AV278" s="92" t="n">
        <v>82</v>
      </c>
      <c r="AW278" s="92" t="inlineStr">
        <is>
          <t>Sourced</t>
        </is>
      </c>
      <c r="AX278" s="92" t="inlineStr">
        <is>
          <t>Very safe 80+</t>
        </is>
      </c>
      <c r="AY278" s="96">
        <f>ROUND(INDEX('Scoring Method'!$B$132:$B$140,MATCH(AE278,'Scoring Method'!$A$132:$A$140,0))+INDEX('Scoring Method'!$B$144:$B$152,MATCH(AP278,'Scoring Method'!$A$144:$A$152,0))+INDEX('Scoring Method'!$B$156:$B$160,MATCH(AQ278,'Scoring Method'!$A$156:$A$160,0))+INDEX('Scoring Method'!$B$164:$B$169,MATCH(AO278,'Scoring Method'!$A$164:$A$169,0))+INDEX('Scoring Method'!$B$173:$B$178,MATCH(AX278,'Scoring Method'!$A$173:$A$178,0))+INDEX('Scoring Method'!$B$349:$B$353,MATCH(X278,'Scoring Method'!$A$349:$A$353,0))+INDEX('Scoring Method'!$B$188:$B$190,MATCH(P278,'Scoring Method'!$A$188:$A$190,0)),1)</f>
        <v/>
      </c>
      <c r="AZ278" s="96">
        <f>AY278*U278/100</f>
        <v/>
      </c>
      <c r="BA278" s="92" t="inlineStr">
        <is>
          <t>No chain signal</t>
        </is>
      </c>
      <c r="BB278" s="94" t="n">
        <v>1</v>
      </c>
      <c r="BC278" s="103" t="inlineStr">
        <is>
          <t>Oversized &gt;1.25 AC</t>
        </is>
      </c>
      <c r="BD278" s="94" t="n">
        <v>0.65</v>
      </c>
      <c r="BE278" s="96">
        <f>ROUND(INDEX('Scoring Method'!$B$268:$B$276,MATCH(AE278,'Scoring Method'!$A$268:$A$276,0))+INDEX('Scoring Method'!$B$280:$B$288,MATCH(AP278,'Scoring Method'!$A$280:$A$288,0))+INDEX('Scoring Method'!$B$292:$B$296,MATCH(AQ278,'Scoring Method'!$A$292:$A$296,0))+INDEX('Scoring Method'!$B$300:$B$305,MATCH(AO278,'Scoring Method'!$A$300:$A$305,0))+INDEX('Scoring Method'!$B$309:$B$314,MATCH(AX278,'Scoring Method'!$A$309:$A$314,0))+INDEX('Scoring Method'!$B$337:$B$341,MATCH(X278,'Scoring Method'!$A$337:$A$341,0))+INDEX('Scoring Method'!$B$324:$B$326,MATCH(P278,'Scoring Method'!$A$324:$A$326,0)),1)</f>
        <v/>
      </c>
      <c r="BF278" s="96">
        <f>ROUND(INDEX('Scoring Method'!$B$268:$B$276,MATCH(AE278,'Scoring Method'!$A$268:$A$276,0))*BB278*BD278+INDEX('Scoring Method'!$B$280:$B$288,MATCH(AP278,'Scoring Method'!$A$280:$A$288,0))*BM278*BB278*BD278+INDEX('Scoring Method'!$B$292:$B$296,MATCH(AQ278,'Scoring Method'!$A$292:$A$296,0))*BD278+INDEX('Scoring Method'!$B$300:$B$305,MATCH(AO278,'Scoring Method'!$A$300:$A$305,0))*BM278*BB278+INDEX('Scoring Method'!$B$309:$B$314,MATCH(AX278,'Scoring Method'!$A$309:$A$314,0))+INDEX('Scoring Method'!$B$337:$B$341,MATCH(X278,'Scoring Method'!$A$337:$A$341,0))+INDEX('Scoring Method'!$B$324:$B$326,MATCH(P278,'Scoring Method'!$A$324:$A$326,0)),1)</f>
        <v/>
      </c>
      <c r="BG278" s="92" t="inlineStr">
        <is>
          <t>Fits (~$943/mo)</t>
        </is>
      </c>
      <c r="BH278" s="61" t="inlineStr">
        <is>
          <t>AUC</t>
        </is>
      </c>
      <c r="BI278" s="61" t="inlineStr">
        <is>
          <t>Auto-Urban Commercial</t>
        </is>
      </c>
      <c r="BJ278" s="61" t="inlineStr"/>
      <c r="BK278" s="61" t="inlineStr"/>
      <c r="BL278" s="61" t="inlineStr">
        <is>
          <t>Bar permitted</t>
        </is>
      </c>
      <c r="BM278" s="61">
        <f>INDEX('Scoring Method'!$B$358:$B$363,MATCH(BL278,'Scoring Method'!$A$358:$A$363,0))</f>
        <v/>
      </c>
    </row>
    <row r="279" ht="15" customHeight="1" s="62">
      <c r="A279" s="92" t="n">
        <v>278</v>
      </c>
      <c r="B279" s="92" t="inlineStr">
        <is>
          <t>042-30-00-072.00</t>
        </is>
      </c>
      <c r="C279" s="92" t="inlineStr">
        <is>
          <t>3178 MADISON PIKE</t>
        </is>
      </c>
      <c r="D279" s="92" t="inlineStr">
        <is>
          <t>WORKS REALTY LLC</t>
        </is>
      </c>
      <c r="E279" s="92" t="inlineStr">
        <is>
          <t>3124 MADISON PK</t>
        </is>
      </c>
      <c r="F279" s="92" t="inlineStr">
        <is>
          <t>COVINGTON</t>
        </is>
      </c>
      <c r="G279" s="92" t="inlineStr">
        <is>
          <t>KY</t>
        </is>
      </c>
      <c r="H279" s="92" t="inlineStr">
        <is>
          <t>PAVED LOT</t>
        </is>
      </c>
      <c r="I279" s="93" t="n">
        <v>68676</v>
      </c>
      <c r="J279" s="94">
        <f>I279/43560</f>
        <v/>
      </c>
      <c r="K279" s="93" t="n">
        <v>1136</v>
      </c>
      <c r="L279" s="95">
        <f>I279/(K279^2)</f>
        <v/>
      </c>
      <c r="M279" s="92" t="inlineStr">
        <is>
          <t>Poor &lt;10k/&gt;60k</t>
        </is>
      </c>
      <c r="N279" s="92" t="inlineStr">
        <is>
          <t>D</t>
        </is>
      </c>
      <c r="O279" s="92" t="inlineStr">
        <is>
          <t>Regular .045-.055</t>
        </is>
      </c>
      <c r="P279" s="92" t="inlineStr">
        <is>
          <t>Low</t>
        </is>
      </c>
      <c r="Q279" s="92" t="inlineStr">
        <is>
          <t>Local absentee</t>
        </is>
      </c>
      <c r="R279" s="92" t="inlineStr">
        <is>
          <t>Passive vehicle</t>
        </is>
      </c>
      <c r="S279" s="92" t="n">
        <v>1</v>
      </c>
      <c r="T279" s="96">
        <f>INDEX('Scoring Method'!$B$6:$B$9,MATCH(M279,'Scoring Method'!$A$6:$A$9,0))+INDEX('Scoring Method'!$B$12:$B$16,MATCH(N279,'Scoring Method'!$A$12:$A$16,0))+INDEX('Scoring Method'!$B$19:$B$22,MATCH(O279,'Scoring Method'!$A$19:$A$22,0))+INDEX('Scoring Method'!$B$25:$B$27,MATCH(P279,'Scoring Method'!$A$25:$A$27,0))</f>
        <v/>
      </c>
      <c r="U279" s="96">
        <f>(INDEX('Scoring Method'!$B$30:$B$33,MATCH(Q279,'Scoring Method'!$A$30:$A$33,0))+INDEX('Scoring Method'!$B$36:$B$42,MATCH(R279,'Scoring Method'!$A$36:$A$42,0))+INDEX('Scoring Method'!$B$45:$B$47,MATCH(IF(S279=1,"1",IF(S279=2,"2","3+")),'Scoring Method'!$A$45:$A$47,0)))/90*100</f>
        <v/>
      </c>
      <c r="V279" s="96">
        <f>T279*U279/100</f>
        <v/>
      </c>
      <c r="W279" s="93" t="n">
        <v>226</v>
      </c>
      <c r="X279" s="92" t="inlineStr">
        <is>
          <t>X (minimal hazard)</t>
        </is>
      </c>
      <c r="Y279" s="93" t="n">
        <v>68225</v>
      </c>
      <c r="Z279" s="97" t="n"/>
      <c r="AA279" s="98">
        <f>MAX(0,(Y279-5000)/300)</f>
        <v/>
      </c>
      <c r="AB279" s="92" t="n"/>
      <c r="AC279" s="92" t="n"/>
      <c r="AD279" s="92" t="n"/>
      <c r="AE279" s="92" t="inlineStr">
        <is>
          <t>Too small &lt;1.2k</t>
        </is>
      </c>
      <c r="AF279" s="96">
        <f>INDEX('Scoring Method'!$B$63:$B$71,MATCH(AE279,'Scoring Method'!$A$63:$A$71,0))+INDEX('Scoring Method'!$B$75:$B$79,MATCH("Ample &gt;=15k",'Scoring Method'!$A$75:$A$79,0))+INDEX('Scoring Method'!$B$343:$B$347,MATCH(X279,'Scoring Method'!$A$343:$A$347,0))+INDEX('Scoring Method'!$B$25:$B$27,MATCH(P279,'Scoring Method'!$A$25:$A$27,0))</f>
        <v/>
      </c>
      <c r="AG279" s="96">
        <f>AF279*U279/100</f>
        <v/>
      </c>
      <c r="AH279" s="92" t="inlineStr">
        <is>
          <t>LINK-GIS only</t>
        </is>
      </c>
      <c r="AI279" s="99" t="n">
        <v>39.04957</v>
      </c>
      <c r="AJ279" s="99" t="n">
        <v>-84.51972000000001</v>
      </c>
      <c r="AK279" s="94" t="n">
        <v>2.41</v>
      </c>
      <c r="AL279" s="94" t="n">
        <v>2.92</v>
      </c>
      <c r="AM279" s="94" t="n">
        <v>3.61</v>
      </c>
      <c r="AN279" s="94" t="n">
        <v>2.41</v>
      </c>
      <c r="AO279" s="92" t="inlineStr">
        <is>
          <t>Distant 2-3mi</t>
        </is>
      </c>
      <c r="AP279" s="92" t="inlineStr">
        <is>
          <t>Lot / minimal bldg</t>
        </is>
      </c>
      <c r="AQ279" s="92" t="inlineStr">
        <is>
          <t>Ample &gt;=15k</t>
        </is>
      </c>
      <c r="AR279" s="100" t="n"/>
      <c r="AS279" s="96">
        <f>ROUND(INDEX('Scoring Method'!$B$63:$B$70,MATCH(AE279,'Scoring Method'!$A$63:$A$70,0))*0.625+INDEX('Scoring Method'!$B$105:$B$113,MATCH(AP279,'Scoring Method'!$A$105:$A$113,0))+INDEX('Scoring Method'!$B$74:$B$78,MATCH(AQ279,'Scoring Method'!$A$74:$A$78,0))*0.6667+INDEX('Scoring Method'!$B$96:$B$101,MATCH(AO279,'Scoring Method'!$A$96:$A$101,0))+INDEX('Scoring Method'!$B$343:$B$347,MATCH(X279,'Scoring Method'!$A$343:$A$347,0))*0.3333+INDEX('Scoring Method'!$B$25:$B$27,MATCH(P279,'Scoring Method'!$A$25:$A$27,0))*0.3333,1)</f>
        <v/>
      </c>
      <c r="AT279" s="96">
        <f>AS279*U279/100</f>
        <v/>
      </c>
      <c r="AU279" s="92" t="inlineStr">
        <is>
          <t>Latonia Rosedale</t>
        </is>
      </c>
      <c r="AV279" s="92" t="n">
        <v>68</v>
      </c>
      <c r="AW279" s="92" t="inlineStr">
        <is>
          <t>Sourced</t>
        </is>
      </c>
      <c r="AX279" s="92" t="inlineStr">
        <is>
          <t>Moderate 60-69</t>
        </is>
      </c>
      <c r="AY279" s="96">
        <f>ROUND(INDEX('Scoring Method'!$B$132:$B$140,MATCH(AE279,'Scoring Method'!$A$132:$A$140,0))+INDEX('Scoring Method'!$B$144:$B$152,MATCH(AP279,'Scoring Method'!$A$144:$A$152,0))+INDEX('Scoring Method'!$B$156:$B$160,MATCH(AQ279,'Scoring Method'!$A$156:$A$160,0))+INDEX('Scoring Method'!$B$164:$B$169,MATCH(AO279,'Scoring Method'!$A$164:$A$169,0))+INDEX('Scoring Method'!$B$173:$B$178,MATCH(AX279,'Scoring Method'!$A$173:$A$178,0))+INDEX('Scoring Method'!$B$349:$B$353,MATCH(X279,'Scoring Method'!$A$349:$A$353,0))+INDEX('Scoring Method'!$B$188:$B$190,MATCH(P279,'Scoring Method'!$A$188:$A$190,0)),1)</f>
        <v/>
      </c>
      <c r="AZ279" s="96">
        <f>AY279*U279/100</f>
        <v/>
      </c>
      <c r="BA279" s="92" t="inlineStr">
        <is>
          <t>No chain signal</t>
        </is>
      </c>
      <c r="BB279" s="94" t="n">
        <v>1</v>
      </c>
      <c r="BC279" s="103" t="inlineStr">
        <is>
          <t>Oversized &gt;1.25 AC</t>
        </is>
      </c>
      <c r="BD279" s="94" t="n">
        <v>0.65</v>
      </c>
      <c r="BE279" s="96">
        <f>ROUND(INDEX('Scoring Method'!$B$268:$B$276,MATCH(AE279,'Scoring Method'!$A$268:$A$276,0))+INDEX('Scoring Method'!$B$280:$B$288,MATCH(AP279,'Scoring Method'!$A$280:$A$288,0))+INDEX('Scoring Method'!$B$292:$B$296,MATCH(AQ279,'Scoring Method'!$A$292:$A$296,0))+INDEX('Scoring Method'!$B$300:$B$305,MATCH(AO279,'Scoring Method'!$A$300:$A$305,0))+INDEX('Scoring Method'!$B$309:$B$314,MATCH(AX279,'Scoring Method'!$A$309:$A$314,0))+INDEX('Scoring Method'!$B$337:$B$341,MATCH(X279,'Scoring Method'!$A$337:$A$341,0))+INDEX('Scoring Method'!$B$324:$B$326,MATCH(P279,'Scoring Method'!$A$324:$A$326,0)),1)</f>
        <v/>
      </c>
      <c r="BF279" s="96">
        <f>ROUND(INDEX('Scoring Method'!$B$268:$B$276,MATCH(AE279,'Scoring Method'!$A$268:$A$276,0))*BB279*BD279+INDEX('Scoring Method'!$B$280:$B$288,MATCH(AP279,'Scoring Method'!$A$280:$A$288,0))*BM279*BB279*BD279+INDEX('Scoring Method'!$B$292:$B$296,MATCH(AQ279,'Scoring Method'!$A$292:$A$296,0))*BD279+INDEX('Scoring Method'!$B$300:$B$305,MATCH(AO279,'Scoring Method'!$A$300:$A$305,0))*BM279*BB279+INDEX('Scoring Method'!$B$309:$B$314,MATCH(AX279,'Scoring Method'!$A$309:$A$314,0))+INDEX('Scoring Method'!$B$337:$B$341,MATCH(X279,'Scoring Method'!$A$337:$A$341,0))+INDEX('Scoring Method'!$B$324:$B$326,MATCH(P279,'Scoring Method'!$A$324:$A$326,0)),1)</f>
        <v/>
      </c>
      <c r="BG279" s="92" t="inlineStr">
        <is>
          <t>Fits (~$207/mo)</t>
        </is>
      </c>
      <c r="BH279" s="61" t="inlineStr">
        <is>
          <t>AUC</t>
        </is>
      </c>
      <c r="BI279" s="61" t="inlineStr">
        <is>
          <t>Auto-Urban Commercial</t>
        </is>
      </c>
      <c r="BJ279" s="61" t="inlineStr"/>
      <c r="BK279" s="61" t="inlineStr"/>
      <c r="BL279" s="61" t="inlineStr">
        <is>
          <t>Bar permitted</t>
        </is>
      </c>
      <c r="BM279" s="61">
        <f>INDEX('Scoring Method'!$B$358:$B$363,MATCH(BL279,'Scoring Method'!$A$358:$A$363,0))</f>
        <v/>
      </c>
    </row>
    <row r="280" ht="15" customHeight="1" s="62">
      <c r="A280" s="92" t="n">
        <v>279</v>
      </c>
      <c r="B280" s="92" t="inlineStr">
        <is>
          <t>040-43-05-001.00</t>
        </is>
      </c>
      <c r="C280" s="92" t="inlineStr">
        <is>
          <t>605 PHILADELPHIA ST</t>
        </is>
      </c>
      <c r="D280" s="92" t="inlineStr">
        <is>
          <t>HSM PROPERTIES LLC</t>
        </is>
      </c>
      <c r="E280" s="92" t="inlineStr">
        <is>
          <t>605 PHILADELPHIA ST</t>
        </is>
      </c>
      <c r="F280" s="92" t="inlineStr">
        <is>
          <t>COVINGTON</t>
        </is>
      </c>
      <c r="G280" s="92" t="inlineStr">
        <is>
          <t>KY</t>
        </is>
      </c>
      <c r="H280" s="92" t="inlineStr">
        <is>
          <t>OFFICE BLDG 1 OR 2 STORY</t>
        </is>
      </c>
      <c r="I280" s="93" t="n">
        <v>40629</v>
      </c>
      <c r="J280" s="94">
        <f>I280/43560</f>
        <v/>
      </c>
      <c r="K280" s="93" t="n">
        <v>897</v>
      </c>
      <c r="L280" s="95">
        <f>I280/(K280^2)</f>
        <v/>
      </c>
      <c r="M280" s="92" t="inlineStr">
        <is>
          <t>Near 14-18k/32-45k</t>
        </is>
      </c>
      <c r="N280" s="92" t="inlineStr">
        <is>
          <t>E</t>
        </is>
      </c>
      <c r="O280" s="92" t="inlineStr">
        <is>
          <t>Regular .045-.055</t>
        </is>
      </c>
      <c r="P280" s="92" t="inlineStr">
        <is>
          <t>Low</t>
        </is>
      </c>
      <c r="Q280" s="92" t="inlineStr">
        <is>
          <t>Owner-occupied</t>
        </is>
      </c>
      <c r="R280" s="92" t="inlineStr">
        <is>
          <t>Passive vehicle</t>
        </is>
      </c>
      <c r="S280" s="92" t="n">
        <v>1</v>
      </c>
      <c r="T280" s="96">
        <f>INDEX('Scoring Method'!$B$6:$B$9,MATCH(M280,'Scoring Method'!$A$6:$A$9,0))+INDEX('Scoring Method'!$B$12:$B$16,MATCH(N280,'Scoring Method'!$A$12:$A$16,0))+INDEX('Scoring Method'!$B$19:$B$22,MATCH(O280,'Scoring Method'!$A$19:$A$22,0))+INDEX('Scoring Method'!$B$25:$B$27,MATCH(P280,'Scoring Method'!$A$25:$A$27,0))</f>
        <v/>
      </c>
      <c r="U280" s="96">
        <f>(INDEX('Scoring Method'!$B$30:$B$33,MATCH(Q280,'Scoring Method'!$A$30:$A$33,0))+INDEX('Scoring Method'!$B$36:$B$42,MATCH(R280,'Scoring Method'!$A$36:$A$42,0))+INDEX('Scoring Method'!$B$45:$B$47,MATCH(IF(S280=1,"1",IF(S280=2,"2","3+")),'Scoring Method'!$A$45:$A$47,0)))/90*100</f>
        <v/>
      </c>
      <c r="V280" s="96">
        <f>T280*U280/100</f>
        <v/>
      </c>
      <c r="W280" s="93" t="n">
        <v>12338</v>
      </c>
      <c r="X280" s="92" t="inlineStr">
        <is>
          <t>X (minimal hazard)</t>
        </is>
      </c>
      <c r="Y280" s="93" t="n">
        <v>24250</v>
      </c>
      <c r="Z280" s="97" t="n"/>
      <c r="AA280" s="98">
        <f>MAX(0,(Y280-5000)/300)</f>
        <v/>
      </c>
      <c r="AB280" s="92" t="n"/>
      <c r="AC280" s="92" t="n"/>
      <c r="AD280" s="92" t="n"/>
      <c r="AE280" s="92" t="inlineStr">
        <is>
          <t>Far oversize &gt;12k</t>
        </is>
      </c>
      <c r="AF280" s="96">
        <f>INDEX('Scoring Method'!$B$63:$B$71,MATCH(AE280,'Scoring Method'!$A$63:$A$71,0))+INDEX('Scoring Method'!$B$75:$B$79,MATCH("Ample &gt;=15k",'Scoring Method'!$A$75:$A$79,0))+INDEX('Scoring Method'!$B$343:$B$347,MATCH(X280,'Scoring Method'!$A$343:$A$347,0))+INDEX('Scoring Method'!$B$25:$B$27,MATCH(P280,'Scoring Method'!$A$25:$A$27,0))</f>
        <v/>
      </c>
      <c r="AG280" s="96">
        <f>AF280*U280/100</f>
        <v/>
      </c>
      <c r="AH280" s="92" t="inlineStr">
        <is>
          <t>LINK-GIS + LoopNet (2026-08-02)</t>
        </is>
      </c>
      <c r="AI280" s="99" t="n">
        <v>39.08352</v>
      </c>
      <c r="AJ280" s="99" t="n">
        <v>-84.5205</v>
      </c>
      <c r="AK280" s="94" t="n">
        <v>0.15</v>
      </c>
      <c r="AL280" s="94" t="n">
        <v>0.82</v>
      </c>
      <c r="AM280" s="94" t="n">
        <v>1.32</v>
      </c>
      <c r="AN280" s="94" t="n">
        <v>0.15</v>
      </c>
      <c r="AO280" s="92" t="inlineStr">
        <is>
          <t>Core &lt;=0.35mi</t>
        </is>
      </c>
      <c r="AP280" s="92" t="inlineStr">
        <is>
          <t>Office/institutional</t>
        </is>
      </c>
      <c r="AQ280" s="92" t="inlineStr">
        <is>
          <t>Ample &gt;=15k</t>
        </is>
      </c>
      <c r="AR280" s="100" t="n"/>
      <c r="AS280" s="96">
        <f>ROUND(INDEX('Scoring Method'!$B$63:$B$70,MATCH(AE280,'Scoring Method'!$A$63:$A$70,0))*0.625+INDEX('Scoring Method'!$B$105:$B$113,MATCH(AP280,'Scoring Method'!$A$105:$A$113,0))+INDEX('Scoring Method'!$B$74:$B$78,MATCH(AQ280,'Scoring Method'!$A$74:$A$78,0))*0.6667+INDEX('Scoring Method'!$B$96:$B$101,MATCH(AO280,'Scoring Method'!$A$96:$A$101,0))+INDEX('Scoring Method'!$B$343:$B$347,MATCH(X280,'Scoring Method'!$A$343:$A$347,0))*0.3333+INDEX('Scoring Method'!$B$25:$B$27,MATCH(P280,'Scoring Method'!$A$25:$A$27,0))*0.3333,1)</f>
        <v/>
      </c>
      <c r="AT280" s="96">
        <f>AS280*U280/100</f>
        <v/>
      </c>
      <c r="AU280" s="92" t="inlineStr">
        <is>
          <t>MainStrasse</t>
        </is>
      </c>
      <c r="AV280" s="92" t="n">
        <v>75</v>
      </c>
      <c r="AW280" s="92" t="inlineStr">
        <is>
          <t>Sourced</t>
        </is>
      </c>
      <c r="AX280" s="92" t="inlineStr">
        <is>
          <t>Safe 70-79</t>
        </is>
      </c>
      <c r="AY280" s="96">
        <f>ROUND(INDEX('Scoring Method'!$B$132:$B$140,MATCH(AE280,'Scoring Method'!$A$132:$A$140,0))+INDEX('Scoring Method'!$B$144:$B$152,MATCH(AP280,'Scoring Method'!$A$144:$A$152,0))+INDEX('Scoring Method'!$B$156:$B$160,MATCH(AQ280,'Scoring Method'!$A$156:$A$160,0))+INDEX('Scoring Method'!$B$164:$B$169,MATCH(AO280,'Scoring Method'!$A$164:$A$169,0))+INDEX('Scoring Method'!$B$173:$B$178,MATCH(AX280,'Scoring Method'!$A$173:$A$178,0))+INDEX('Scoring Method'!$B$349:$B$353,MATCH(X280,'Scoring Method'!$A$349:$A$353,0))+INDEX('Scoring Method'!$B$188:$B$190,MATCH(P280,'Scoring Method'!$A$188:$A$190,0)),1)</f>
        <v/>
      </c>
      <c r="AZ280" s="96">
        <f>AY280*U280/100</f>
        <v/>
      </c>
      <c r="BA280" s="92" t="inlineStr">
        <is>
          <t>Owner-occupied operator</t>
        </is>
      </c>
      <c r="BB280" s="94" t="n">
        <v>0.8</v>
      </c>
      <c r="BC280" s="102" t="inlineStr">
        <is>
          <t>Large 0.75-1.25 AC</t>
        </is>
      </c>
      <c r="BD280" s="94" t="n">
        <v>0.9</v>
      </c>
      <c r="BE280" s="96">
        <f>ROUND(INDEX('Scoring Method'!$B$268:$B$276,MATCH(AE280,'Scoring Method'!$A$268:$A$276,0))+INDEX('Scoring Method'!$B$280:$B$288,MATCH(AP280,'Scoring Method'!$A$280:$A$288,0))+INDEX('Scoring Method'!$B$292:$B$296,MATCH(AQ280,'Scoring Method'!$A$292:$A$296,0))+INDEX('Scoring Method'!$B$300:$B$305,MATCH(AO280,'Scoring Method'!$A$300:$A$305,0))+INDEX('Scoring Method'!$B$309:$B$314,MATCH(AX280,'Scoring Method'!$A$309:$A$314,0))+INDEX('Scoring Method'!$B$337:$B$341,MATCH(X280,'Scoring Method'!$A$337:$A$341,0))+INDEX('Scoring Method'!$B$324:$B$326,MATCH(P280,'Scoring Method'!$A$324:$A$326,0)),1)</f>
        <v/>
      </c>
      <c r="BF280" s="96">
        <f>ROUND(INDEX('Scoring Method'!$B$268:$B$276,MATCH(AE280,'Scoring Method'!$A$268:$A$276,0))*BB280*BD280+INDEX('Scoring Method'!$B$280:$B$288,MATCH(AP280,'Scoring Method'!$A$280:$A$288,0))*BM280*BB280*BD280+INDEX('Scoring Method'!$B$292:$B$296,MATCH(AQ280,'Scoring Method'!$A$292:$A$296,0))*BD280+INDEX('Scoring Method'!$B$300:$B$305,MATCH(AO280,'Scoring Method'!$A$300:$A$305,0))*BM280*BB280+INDEX('Scoring Method'!$B$309:$B$314,MATCH(AX280,'Scoring Method'!$A$309:$A$314,0))+INDEX('Scoring Method'!$B$337:$B$341,MATCH(X280,'Scoring Method'!$A$337:$A$341,0))+INDEX('Scoring Method'!$B$324:$B$326,MATCH(P280,'Scoring Method'!$A$324:$A$326,0)),1)</f>
        <v/>
      </c>
      <c r="BG280" s="102" t="inlineStr">
        <is>
          <t>Over (~$11,310/mo)</t>
        </is>
      </c>
      <c r="BH280" s="61" t="inlineStr">
        <is>
          <t>TUMU (HP)</t>
        </is>
      </c>
      <c r="BI280" s="61" t="inlineStr">
        <is>
          <t>Traditional Urban Mixed Use</t>
        </is>
      </c>
      <c r="BJ280" s="61" t="inlineStr">
        <is>
          <t>HP</t>
        </is>
      </c>
      <c r="BK280" s="61" t="inlineStr"/>
      <c r="BL280" s="61" t="inlineStr">
        <is>
          <t>Bar permitted</t>
        </is>
      </c>
      <c r="BM280" s="61">
        <f>INDEX('Scoring Method'!$B$358:$B$363,MATCH(BL280,'Scoring Method'!$A$358:$A$363,0))</f>
        <v/>
      </c>
    </row>
    <row r="281" ht="15" customHeight="1" s="62">
      <c r="A281" s="92" t="n">
        <v>280</v>
      </c>
      <c r="B281" s="92" t="inlineStr">
        <is>
          <t>040-44-11-001.00</t>
        </is>
      </c>
      <c r="C281" s="92" t="inlineStr">
        <is>
          <t>615 W 9TH ST</t>
        </is>
      </c>
      <c r="D281" s="92" t="inlineStr">
        <is>
          <t>OAKLAND PROPERTIES INC</t>
        </is>
      </c>
      <c r="E281" s="92" t="inlineStr">
        <is>
          <t>615 W 9TH ST</t>
        </is>
      </c>
      <c r="F281" s="92" t="inlineStr">
        <is>
          <t>COVINGTON</t>
        </is>
      </c>
      <c r="G281" s="92" t="inlineStr">
        <is>
          <t>KY</t>
        </is>
      </c>
      <c r="H281" s="92" t="inlineStr">
        <is>
          <t>OFFICE BLDG 1 OR 2 STORY</t>
        </is>
      </c>
      <c r="I281" s="93" t="n">
        <v>40271</v>
      </c>
      <c r="J281" s="94">
        <f>I281/43560</f>
        <v/>
      </c>
      <c r="K281" s="93" t="n">
        <v>911</v>
      </c>
      <c r="L281" s="95">
        <f>I281/(K281^2)</f>
        <v/>
      </c>
      <c r="M281" s="92" t="inlineStr">
        <is>
          <t>Near 14-18k/32-45k</t>
        </is>
      </c>
      <c r="N281" s="92" t="inlineStr">
        <is>
          <t>E</t>
        </is>
      </c>
      <c r="O281" s="92" t="inlineStr">
        <is>
          <t>Regular .045-.055</t>
        </is>
      </c>
      <c r="P281" s="92" t="inlineStr">
        <is>
          <t>Low</t>
        </is>
      </c>
      <c r="Q281" s="92" t="inlineStr">
        <is>
          <t>Owner-occupied</t>
        </is>
      </c>
      <c r="R281" s="92" t="inlineStr">
        <is>
          <t>Passive vehicle</t>
        </is>
      </c>
      <c r="S281" s="92" t="n">
        <v>1</v>
      </c>
      <c r="T281" s="96">
        <f>INDEX('Scoring Method'!$B$6:$B$9,MATCH(M281,'Scoring Method'!$A$6:$A$9,0))+INDEX('Scoring Method'!$B$12:$B$16,MATCH(N281,'Scoring Method'!$A$12:$A$16,0))+INDEX('Scoring Method'!$B$19:$B$22,MATCH(O281,'Scoring Method'!$A$19:$A$22,0))+INDEX('Scoring Method'!$B$25:$B$27,MATCH(P281,'Scoring Method'!$A$25:$A$27,0))</f>
        <v/>
      </c>
      <c r="U281" s="96">
        <f>(INDEX('Scoring Method'!$B$30:$B$33,MATCH(Q281,'Scoring Method'!$A$30:$A$33,0))+INDEX('Scoring Method'!$B$36:$B$42,MATCH(R281,'Scoring Method'!$A$36:$A$42,0))+INDEX('Scoring Method'!$B$45:$B$47,MATCH(IF(S281=1,"1",IF(S281=2,"2","3+")),'Scoring Method'!$A$45:$A$47,0)))/90*100</f>
        <v/>
      </c>
      <c r="V281" s="96">
        <f>T281*U281/100</f>
        <v/>
      </c>
      <c r="W281" s="93" t="n">
        <v>9555</v>
      </c>
      <c r="X281" s="92" t="inlineStr">
        <is>
          <t>X (minimal hazard)</t>
        </is>
      </c>
      <c r="Y281" s="93" t="n">
        <v>24825</v>
      </c>
      <c r="Z281" s="97" t="n"/>
      <c r="AA281" s="98">
        <f>MAX(0,(Y281-5000)/300)</f>
        <v/>
      </c>
      <c r="AB281" s="92" t="n"/>
      <c r="AC281" s="92" t="n"/>
      <c r="AD281" s="92" t="n"/>
      <c r="AE281" s="92" t="inlineStr">
        <is>
          <t>Oversize 6-12k</t>
        </is>
      </c>
      <c r="AF281" s="96">
        <f>INDEX('Scoring Method'!$B$63:$B$71,MATCH(AE281,'Scoring Method'!$A$63:$A$71,0))+INDEX('Scoring Method'!$B$75:$B$79,MATCH("Ample &gt;=15k",'Scoring Method'!$A$75:$A$79,0))+INDEX('Scoring Method'!$B$343:$B$347,MATCH(X281,'Scoring Method'!$A$343:$A$347,0))+INDEX('Scoring Method'!$B$25:$B$27,MATCH(P281,'Scoring Method'!$A$25:$A$27,0))</f>
        <v/>
      </c>
      <c r="AG281" s="96">
        <f>AF281*U281/100</f>
        <v/>
      </c>
      <c r="AH281" s="92" t="inlineStr">
        <is>
          <t>LINK-GIS + LoopNet (2026-08-03)</t>
        </is>
      </c>
      <c r="AI281" s="99" t="n">
        <v>39.0792</v>
      </c>
      <c r="AJ281" s="99" t="n">
        <v>-84.51989</v>
      </c>
      <c r="AK281" s="94" t="n">
        <v>0.38</v>
      </c>
      <c r="AL281" s="94" t="n">
        <v>1.01</v>
      </c>
      <c r="AM281" s="94" t="n">
        <v>1.59</v>
      </c>
      <c r="AN281" s="94" t="n">
        <v>0.38</v>
      </c>
      <c r="AO281" s="92" t="inlineStr">
        <is>
          <t>Near 0.35-0.75mi</t>
        </is>
      </c>
      <c r="AP281" s="92" t="inlineStr">
        <is>
          <t>Office/institutional</t>
        </is>
      </c>
      <c r="AQ281" s="92" t="inlineStr">
        <is>
          <t>Ample &gt;=15k</t>
        </is>
      </c>
      <c r="AR281" s="100" t="n"/>
      <c r="AS281" s="96">
        <f>ROUND(INDEX('Scoring Method'!$B$63:$B$70,MATCH(AE281,'Scoring Method'!$A$63:$A$70,0))*0.625+INDEX('Scoring Method'!$B$105:$B$113,MATCH(AP281,'Scoring Method'!$A$105:$A$113,0))+INDEX('Scoring Method'!$B$74:$B$78,MATCH(AQ281,'Scoring Method'!$A$74:$A$78,0))*0.6667+INDEX('Scoring Method'!$B$96:$B$101,MATCH(AO281,'Scoring Method'!$A$96:$A$101,0))+INDEX('Scoring Method'!$B$343:$B$347,MATCH(X281,'Scoring Method'!$A$343:$A$347,0))*0.3333+INDEX('Scoring Method'!$B$25:$B$27,MATCH(P281,'Scoring Method'!$A$25:$A$27,0))*0.3333,1)</f>
        <v/>
      </c>
      <c r="AT281" s="96">
        <f>AS281*U281/100</f>
        <v/>
      </c>
      <c r="AU281" s="92" t="inlineStr">
        <is>
          <t>MainStrasse</t>
        </is>
      </c>
      <c r="AV281" s="92" t="n">
        <v>75</v>
      </c>
      <c r="AW281" s="92" t="inlineStr">
        <is>
          <t>Sourced</t>
        </is>
      </c>
      <c r="AX281" s="92" t="inlineStr">
        <is>
          <t>Safe 70-79</t>
        </is>
      </c>
      <c r="AY281" s="96">
        <f>ROUND(INDEX('Scoring Method'!$B$132:$B$140,MATCH(AE281,'Scoring Method'!$A$132:$A$140,0))+INDEX('Scoring Method'!$B$144:$B$152,MATCH(AP281,'Scoring Method'!$A$144:$A$152,0))+INDEX('Scoring Method'!$B$156:$B$160,MATCH(AQ281,'Scoring Method'!$A$156:$A$160,0))+INDEX('Scoring Method'!$B$164:$B$169,MATCH(AO281,'Scoring Method'!$A$164:$A$169,0))+INDEX('Scoring Method'!$B$173:$B$178,MATCH(AX281,'Scoring Method'!$A$173:$A$178,0))+INDEX('Scoring Method'!$B$349:$B$353,MATCH(X281,'Scoring Method'!$A$349:$A$353,0))+INDEX('Scoring Method'!$B$188:$B$190,MATCH(P281,'Scoring Method'!$A$188:$A$190,0)),1)</f>
        <v/>
      </c>
      <c r="AZ281" s="96">
        <f>AY281*U281/100</f>
        <v/>
      </c>
      <c r="BA281" s="92" t="inlineStr">
        <is>
          <t>Owner-occupied operator</t>
        </is>
      </c>
      <c r="BB281" s="94" t="n">
        <v>0.8</v>
      </c>
      <c r="BC281" s="102" t="inlineStr">
        <is>
          <t>Large 0.75-1.25 AC</t>
        </is>
      </c>
      <c r="BD281" s="94" t="n">
        <v>0.9</v>
      </c>
      <c r="BE281" s="96">
        <f>ROUND(INDEX('Scoring Method'!$B$268:$B$276,MATCH(AE281,'Scoring Method'!$A$268:$A$276,0))+INDEX('Scoring Method'!$B$280:$B$288,MATCH(AP281,'Scoring Method'!$A$280:$A$288,0))+INDEX('Scoring Method'!$B$292:$B$296,MATCH(AQ281,'Scoring Method'!$A$292:$A$296,0))+INDEX('Scoring Method'!$B$300:$B$305,MATCH(AO281,'Scoring Method'!$A$300:$A$305,0))+INDEX('Scoring Method'!$B$309:$B$314,MATCH(AX281,'Scoring Method'!$A$309:$A$314,0))+INDEX('Scoring Method'!$B$337:$B$341,MATCH(X281,'Scoring Method'!$A$337:$A$341,0))+INDEX('Scoring Method'!$B$324:$B$326,MATCH(P281,'Scoring Method'!$A$324:$A$326,0)),1)</f>
        <v/>
      </c>
      <c r="BF281" s="96">
        <f>ROUND(INDEX('Scoring Method'!$B$268:$B$276,MATCH(AE281,'Scoring Method'!$A$268:$A$276,0))*BB281*BD281+INDEX('Scoring Method'!$B$280:$B$288,MATCH(AP281,'Scoring Method'!$A$280:$A$288,0))*BM281*BB281*BD281+INDEX('Scoring Method'!$B$292:$B$296,MATCH(AQ281,'Scoring Method'!$A$292:$A$296,0))*BD281+INDEX('Scoring Method'!$B$300:$B$305,MATCH(AO281,'Scoring Method'!$A$300:$A$305,0))*BM281*BB281+INDEX('Scoring Method'!$B$309:$B$314,MATCH(AX281,'Scoring Method'!$A$309:$A$314,0))+INDEX('Scoring Method'!$B$337:$B$341,MATCH(X281,'Scoring Method'!$A$337:$A$341,0))+INDEX('Scoring Method'!$B$324:$B$326,MATCH(P281,'Scoring Method'!$A$324:$A$326,0)),1)</f>
        <v/>
      </c>
      <c r="BG281" s="102" t="inlineStr">
        <is>
          <t>Fits (~$8,759/mo)</t>
        </is>
      </c>
      <c r="BH281" s="61" t="inlineStr">
        <is>
          <t>AUC</t>
        </is>
      </c>
      <c r="BI281" s="61" t="inlineStr">
        <is>
          <t>Auto-Urban Commercial</t>
        </is>
      </c>
      <c r="BJ281" s="61" t="inlineStr"/>
      <c r="BK281" s="61" t="inlineStr"/>
      <c r="BL281" s="61" t="inlineStr">
        <is>
          <t>Bar permitted</t>
        </is>
      </c>
      <c r="BM281" s="61">
        <f>INDEX('Scoring Method'!$B$358:$B$363,MATCH(BL281,'Scoring Method'!$A$358:$A$363,0))</f>
        <v/>
      </c>
    </row>
    <row r="282" ht="15" customHeight="1" s="62">
      <c r="A282" s="92" t="n">
        <v>281</v>
      </c>
      <c r="B282" s="92" t="inlineStr">
        <is>
          <t>054-21-09-001.00</t>
        </is>
      </c>
      <c r="C282" s="92" t="inlineStr">
        <is>
          <t>235 W 5TH ST</t>
        </is>
      </c>
      <c r="D282" s="92" t="inlineStr">
        <is>
          <t>VED REALTY LLC</t>
        </is>
      </c>
      <c r="E282" s="92" t="inlineStr">
        <is>
          <t>235 W 5TH ST</t>
        </is>
      </c>
      <c r="F282" s="92" t="inlineStr">
        <is>
          <t>COVINGTON</t>
        </is>
      </c>
      <c r="G282" s="92" t="inlineStr">
        <is>
          <t>KY</t>
        </is>
      </c>
      <c r="H282" s="92" t="inlineStr">
        <is>
          <t>GAS STATION/CONVENIENCE STORE</t>
        </is>
      </c>
      <c r="I282" s="93" t="n">
        <v>22063</v>
      </c>
      <c r="J282" s="94">
        <f>I282/43560</f>
        <v/>
      </c>
      <c r="K282" s="93" t="n">
        <v>615.6</v>
      </c>
      <c r="L282" s="95">
        <f>I282/(K282^2)</f>
        <v/>
      </c>
      <c r="M282" s="92" t="inlineStr">
        <is>
          <t>Ideal 18-32k</t>
        </is>
      </c>
      <c r="N282" s="92" t="inlineStr">
        <is>
          <t>E</t>
        </is>
      </c>
      <c r="O282" s="92" t="inlineStr">
        <is>
          <t>Compact &gt;=.055</t>
        </is>
      </c>
      <c r="P282" s="92" t="inlineStr">
        <is>
          <t>High</t>
        </is>
      </c>
      <c r="Q282" s="92" t="inlineStr">
        <is>
          <t>Owner-occupied</t>
        </is>
      </c>
      <c r="R282" s="92" t="inlineStr">
        <is>
          <t>Passive vehicle</t>
        </is>
      </c>
      <c r="S282" s="92" t="n">
        <v>1</v>
      </c>
      <c r="T282" s="96">
        <f>INDEX('Scoring Method'!$B$6:$B$9,MATCH(M282,'Scoring Method'!$A$6:$A$9,0))+INDEX('Scoring Method'!$B$12:$B$16,MATCH(N282,'Scoring Method'!$A$12:$A$16,0))+INDEX('Scoring Method'!$B$19:$B$22,MATCH(O282,'Scoring Method'!$A$19:$A$22,0))+INDEX('Scoring Method'!$B$25:$B$27,MATCH(P282,'Scoring Method'!$A$25:$A$27,0))</f>
        <v/>
      </c>
      <c r="U282" s="96">
        <f>(INDEX('Scoring Method'!$B$30:$B$33,MATCH(Q282,'Scoring Method'!$A$30:$A$33,0))+INDEX('Scoring Method'!$B$36:$B$42,MATCH(R282,'Scoring Method'!$A$36:$A$42,0))+INDEX('Scoring Method'!$B$45:$B$47,MATCH(IF(S282=1,"1",IF(S282=2,"2","3+")),'Scoring Method'!$A$45:$A$47,0)))/90*100</f>
        <v/>
      </c>
      <c r="V282" s="96">
        <f>T282*U282/100</f>
        <v/>
      </c>
      <c r="W282" s="93" t="n">
        <v>1596</v>
      </c>
      <c r="X282" s="92" t="inlineStr">
        <is>
          <t>X (minimal hazard)</t>
        </is>
      </c>
      <c r="Y282" s="93" t="n">
        <v>17925</v>
      </c>
      <c r="Z282" s="97" t="n"/>
      <c r="AA282" s="98">
        <f>MAX(0,(Y282-5000)/300)</f>
        <v/>
      </c>
      <c r="AB282" s="92" t="n"/>
      <c r="AC282" s="92" t="n"/>
      <c r="AD282" s="92" t="n"/>
      <c r="AE282" s="92" t="inlineStr">
        <is>
          <t>Target 1.5-2.5k</t>
        </is>
      </c>
      <c r="AF282" s="96">
        <f>INDEX('Scoring Method'!$B$63:$B$71,MATCH(AE282,'Scoring Method'!$A$63:$A$71,0))+INDEX('Scoring Method'!$B$75:$B$79,MATCH("Ample &gt;=15k",'Scoring Method'!$A$75:$A$79,0))+INDEX('Scoring Method'!$B$343:$B$347,MATCH(X282,'Scoring Method'!$A$343:$A$347,0))+INDEX('Scoring Method'!$B$25:$B$27,MATCH(P282,'Scoring Method'!$A$25:$A$27,0))</f>
        <v/>
      </c>
      <c r="AG282" s="96">
        <f>AF282*U282/100</f>
        <v/>
      </c>
      <c r="AH282" s="92" t="inlineStr">
        <is>
          <t>LINK-GIS + LoopNet (2026-08-03)</t>
        </is>
      </c>
      <c r="AI282" s="99" t="n">
        <v>39.08511</v>
      </c>
      <c r="AJ282" s="99" t="n">
        <v>-84.51551000000001</v>
      </c>
      <c r="AK282" s="94" t="n">
        <v>0.14</v>
      </c>
      <c r="AL282" s="94" t="n">
        <v>0.55</v>
      </c>
      <c r="AM282" s="94" t="n">
        <v>1.14</v>
      </c>
      <c r="AN282" s="94" t="n">
        <v>0.14</v>
      </c>
      <c r="AO282" s="92" t="inlineStr">
        <is>
          <t>Core &lt;=0.35mi</t>
        </is>
      </c>
      <c r="AP282" s="92" t="inlineStr">
        <is>
          <t>Built-out kitchen</t>
        </is>
      </c>
      <c r="AQ282" s="92" t="inlineStr">
        <is>
          <t>Ample &gt;=15k</t>
        </is>
      </c>
      <c r="AR282" s="100" t="n"/>
      <c r="AS282" s="96">
        <f>ROUND(INDEX('Scoring Method'!$B$63:$B$70,MATCH(AE282,'Scoring Method'!$A$63:$A$70,0))*0.625+INDEX('Scoring Method'!$B$105:$B$113,MATCH(AP282,'Scoring Method'!$A$105:$A$113,0))+INDEX('Scoring Method'!$B$74:$B$78,MATCH(AQ282,'Scoring Method'!$A$74:$A$78,0))*0.6667+INDEX('Scoring Method'!$B$96:$B$101,MATCH(AO282,'Scoring Method'!$A$96:$A$101,0))+INDEX('Scoring Method'!$B$343:$B$347,MATCH(X282,'Scoring Method'!$A$343:$A$347,0))*0.3333+INDEX('Scoring Method'!$B$25:$B$27,MATCH(P282,'Scoring Method'!$A$25:$A$27,0))*0.3333,1)</f>
        <v/>
      </c>
      <c r="AT282" s="96">
        <f>AS282*U282/100</f>
        <v/>
      </c>
      <c r="AU282" s="92" t="inlineStr">
        <is>
          <t>MainStrasse</t>
        </is>
      </c>
      <c r="AV282" s="92" t="n">
        <v>75</v>
      </c>
      <c r="AW282" s="92" t="inlineStr">
        <is>
          <t>Sourced</t>
        </is>
      </c>
      <c r="AX282" s="92" t="inlineStr">
        <is>
          <t>Safe 70-79</t>
        </is>
      </c>
      <c r="AY282" s="96">
        <f>ROUND(INDEX('Scoring Method'!$B$132:$B$140,MATCH(AE282,'Scoring Method'!$A$132:$A$140,0))+INDEX('Scoring Method'!$B$144:$B$152,MATCH(AP282,'Scoring Method'!$A$144:$A$152,0))+INDEX('Scoring Method'!$B$156:$B$160,MATCH(AQ282,'Scoring Method'!$A$156:$A$160,0))+INDEX('Scoring Method'!$B$164:$B$169,MATCH(AO282,'Scoring Method'!$A$164:$A$169,0))+INDEX('Scoring Method'!$B$173:$B$178,MATCH(AX282,'Scoring Method'!$A$173:$A$178,0))+INDEX('Scoring Method'!$B$349:$B$353,MATCH(X282,'Scoring Method'!$A$349:$A$353,0))+INDEX('Scoring Method'!$B$188:$B$190,MATCH(P282,'Scoring Method'!$A$188:$A$190,0)),1)</f>
        <v/>
      </c>
      <c r="AZ282" s="96">
        <f>AY282*U282/100</f>
        <v/>
      </c>
      <c r="BA282" s="103" t="inlineStr">
        <is>
          <t>Chain format + investor</t>
        </is>
      </c>
      <c r="BB282" s="94" t="n">
        <v>0.45</v>
      </c>
      <c r="BC282" s="92" t="inlineStr">
        <is>
          <t>Right-sized 0.35-0.75 AC</t>
        </is>
      </c>
      <c r="BD282" s="94" t="n">
        <v>1</v>
      </c>
      <c r="BE282" s="96">
        <f>ROUND(INDEX('Scoring Method'!$B$268:$B$276,MATCH(AE282,'Scoring Method'!$A$268:$A$276,0))+INDEX('Scoring Method'!$B$280:$B$288,MATCH(AP282,'Scoring Method'!$A$280:$A$288,0))+INDEX('Scoring Method'!$B$292:$B$296,MATCH(AQ282,'Scoring Method'!$A$292:$A$296,0))+INDEX('Scoring Method'!$B$300:$B$305,MATCH(AO282,'Scoring Method'!$A$300:$A$305,0))+INDEX('Scoring Method'!$B$309:$B$314,MATCH(AX282,'Scoring Method'!$A$309:$A$314,0))+INDEX('Scoring Method'!$B$337:$B$341,MATCH(X282,'Scoring Method'!$A$337:$A$341,0))+INDEX('Scoring Method'!$B$324:$B$326,MATCH(P282,'Scoring Method'!$A$324:$A$326,0)),1)</f>
        <v/>
      </c>
      <c r="BF282" s="96">
        <f>ROUND(INDEX('Scoring Method'!$B$268:$B$276,MATCH(AE282,'Scoring Method'!$A$268:$A$276,0))*BB282*BD282+INDEX('Scoring Method'!$B$280:$B$288,MATCH(AP282,'Scoring Method'!$A$280:$A$288,0))*BM282*BB282*BD282+INDEX('Scoring Method'!$B$292:$B$296,MATCH(AQ282,'Scoring Method'!$A$292:$A$296,0))*BD282+INDEX('Scoring Method'!$B$300:$B$305,MATCH(AO282,'Scoring Method'!$A$300:$A$305,0))*BM282*BB282+INDEX('Scoring Method'!$B$309:$B$314,MATCH(AX282,'Scoring Method'!$A$309:$A$314,0))+INDEX('Scoring Method'!$B$337:$B$341,MATCH(X282,'Scoring Method'!$A$337:$A$341,0))+INDEX('Scoring Method'!$B$324:$B$326,MATCH(P282,'Scoring Method'!$A$324:$A$326,0)),1)</f>
        <v/>
      </c>
      <c r="BG282" s="92" t="inlineStr">
        <is>
          <t>Fits (~$1,463/mo)</t>
        </is>
      </c>
      <c r="BH282" s="61" t="inlineStr">
        <is>
          <t>TUR (HP)</t>
        </is>
      </c>
      <c r="BI282" s="61" t="inlineStr">
        <is>
          <t>Traditional Urban Residential</t>
        </is>
      </c>
      <c r="BJ282" s="61" t="inlineStr">
        <is>
          <t>HP</t>
        </is>
      </c>
      <c r="BK282" s="61" t="inlineStr"/>
      <c r="BL282" s="61" t="inlineStr">
        <is>
          <t>Bar prohibited, alt-path</t>
        </is>
      </c>
      <c r="BM282" s="61">
        <f>INDEX('Scoring Method'!$B$358:$B$363,MATCH(BL282,'Scoring Method'!$A$358:$A$363,0))</f>
        <v/>
      </c>
    </row>
    <row r="283" ht="15" customHeight="1" s="62">
      <c r="A283" s="92" t="n">
        <v>282</v>
      </c>
      <c r="B283" s="92" t="inlineStr">
        <is>
          <t>055-13-08-001.00</t>
        </is>
      </c>
      <c r="C283" s="92" t="inlineStr">
        <is>
          <t>1428 MADISON AVE</t>
        </is>
      </c>
      <c r="D283" s="92" t="inlineStr">
        <is>
          <t>SAMARITAN CAR CARE CLINIC INC</t>
        </is>
      </c>
      <c r="E283" s="92" t="inlineStr">
        <is>
          <t>1428 MADISON AVE</t>
        </is>
      </c>
      <c r="F283" s="92" t="inlineStr">
        <is>
          <t>COVINGTON</t>
        </is>
      </c>
      <c r="G283" s="92" t="inlineStr">
        <is>
          <t>KY</t>
        </is>
      </c>
      <c r="H283" s="92" t="inlineStr">
        <is>
          <t>AUTO SERVICE/REPAIR</t>
        </is>
      </c>
      <c r="I283" s="93" t="n">
        <v>18174</v>
      </c>
      <c r="J283" s="94">
        <f>I283/43560</f>
        <v/>
      </c>
      <c r="K283" s="93" t="n">
        <v>535.4</v>
      </c>
      <c r="L283" s="95">
        <f>I283/(K283^2)</f>
        <v/>
      </c>
      <c r="M283" s="92" t="inlineStr">
        <is>
          <t>Ideal 18-32k</t>
        </is>
      </c>
      <c r="N283" s="92" t="inlineStr">
        <is>
          <t>A</t>
        </is>
      </c>
      <c r="O283" s="92" t="inlineStr">
        <is>
          <t>Compact &gt;=.055</t>
        </is>
      </c>
      <c r="P283" s="92" t="inlineStr">
        <is>
          <t>Moderate</t>
        </is>
      </c>
      <c r="Q283" s="92" t="inlineStr">
        <is>
          <t>Owner-occupied</t>
        </is>
      </c>
      <c r="R283" s="92" t="inlineStr">
        <is>
          <t>Operating entity</t>
        </is>
      </c>
      <c r="S283" s="92" t="n">
        <v>1</v>
      </c>
      <c r="T283" s="96">
        <f>INDEX('Scoring Method'!$B$6:$B$9,MATCH(M283,'Scoring Method'!$A$6:$A$9,0))+INDEX('Scoring Method'!$B$12:$B$16,MATCH(N283,'Scoring Method'!$A$12:$A$16,0))+INDEX('Scoring Method'!$B$19:$B$22,MATCH(O283,'Scoring Method'!$A$19:$A$22,0))+INDEX('Scoring Method'!$B$25:$B$27,MATCH(P283,'Scoring Method'!$A$25:$A$27,0))</f>
        <v/>
      </c>
      <c r="U283" s="96">
        <f>(INDEX('Scoring Method'!$B$30:$B$33,MATCH(Q283,'Scoring Method'!$A$30:$A$33,0))+INDEX('Scoring Method'!$B$36:$B$42,MATCH(R283,'Scoring Method'!$A$36:$A$42,0))+INDEX('Scoring Method'!$B$45:$B$47,MATCH(IF(S283=1,"1",IF(S283=2,"2","3+")),'Scoring Method'!$A$45:$A$47,0)))/90*100</f>
        <v/>
      </c>
      <c r="V283" s="96">
        <f>T283*U283/100</f>
        <v/>
      </c>
      <c r="W283" s="93" t="n">
        <v>2574</v>
      </c>
      <c r="X283" s="92" t="inlineStr">
        <is>
          <t>X (minimal hazard)</t>
        </is>
      </c>
      <c r="Y283" s="93" t="n">
        <v>14225</v>
      </c>
      <c r="Z283" s="97" t="n"/>
      <c r="AA283" s="98">
        <f>MAX(0,(Y283-5000)/300)</f>
        <v/>
      </c>
      <c r="AB283" s="92" t="n"/>
      <c r="AC283" s="92" t="n"/>
      <c r="AD283" s="92" t="n"/>
      <c r="AE283" s="92" t="inlineStr">
        <is>
          <t>Above 2.5-4k</t>
        </is>
      </c>
      <c r="AF283" s="96">
        <f>INDEX('Scoring Method'!$B$63:$B$71,MATCH(AE283,'Scoring Method'!$A$63:$A$71,0))+INDEX('Scoring Method'!$B$75:$B$79,MATCH("Good 8-15k",'Scoring Method'!$A$75:$A$79,0))+INDEX('Scoring Method'!$B$343:$B$347,MATCH(X283,'Scoring Method'!$A$343:$A$347,0))+INDEX('Scoring Method'!$B$25:$B$27,MATCH(P283,'Scoring Method'!$A$25:$A$27,0))</f>
        <v/>
      </c>
      <c r="AG283" s="96">
        <f>AF283*U283/100</f>
        <v/>
      </c>
      <c r="AH283" s="92" t="inlineStr">
        <is>
          <t>LINK-GIS only</t>
        </is>
      </c>
      <c r="AI283" s="99" t="n">
        <v>39.07453</v>
      </c>
      <c r="AJ283" s="99" t="n">
        <v>-84.50740999999999</v>
      </c>
      <c r="AK283" s="94" t="n">
        <v>0.88</v>
      </c>
      <c r="AL283" s="94" t="n">
        <v>1.13</v>
      </c>
      <c r="AM283" s="94" t="n">
        <v>1.88</v>
      </c>
      <c r="AN283" s="94" t="n">
        <v>0.68</v>
      </c>
      <c r="AO283" s="92" t="inlineStr">
        <is>
          <t>Near 0.35-0.75mi</t>
        </is>
      </c>
      <c r="AP283" s="92" t="inlineStr">
        <is>
          <t>Open span</t>
        </is>
      </c>
      <c r="AQ283" s="92" t="inlineStr">
        <is>
          <t>Good 8-15k</t>
        </is>
      </c>
      <c r="AR283" s="100" t="n"/>
      <c r="AS283" s="96">
        <f>ROUND(INDEX('Scoring Method'!$B$63:$B$70,MATCH(AE283,'Scoring Method'!$A$63:$A$70,0))*0.625+INDEX('Scoring Method'!$B$105:$B$113,MATCH(AP283,'Scoring Method'!$A$105:$A$113,0))+INDEX('Scoring Method'!$B$74:$B$78,MATCH(AQ283,'Scoring Method'!$A$74:$A$78,0))*0.6667+INDEX('Scoring Method'!$B$96:$B$101,MATCH(AO283,'Scoring Method'!$A$96:$A$101,0))+INDEX('Scoring Method'!$B$343:$B$347,MATCH(X283,'Scoring Method'!$A$343:$A$347,0))*0.3333+INDEX('Scoring Method'!$B$25:$B$27,MATCH(P283,'Scoring Method'!$A$25:$A$27,0))*0.3333,1)</f>
        <v/>
      </c>
      <c r="AT283" s="96">
        <f>AS283*U283/100</f>
        <v/>
      </c>
      <c r="AU283" s="92" t="inlineStr">
        <is>
          <t>Eastside</t>
        </is>
      </c>
      <c r="AV283" s="92" t="n">
        <v>28</v>
      </c>
      <c r="AW283" s="101" t="inlineStr">
        <is>
          <t>ESTIMATED</t>
        </is>
      </c>
      <c r="AX283" s="92" t="inlineStr">
        <is>
          <t>High &lt;35</t>
        </is>
      </c>
      <c r="AY283" s="96">
        <f>ROUND(INDEX('Scoring Method'!$B$132:$B$140,MATCH(AE283,'Scoring Method'!$A$132:$A$140,0))+INDEX('Scoring Method'!$B$144:$B$152,MATCH(AP283,'Scoring Method'!$A$144:$A$152,0))+INDEX('Scoring Method'!$B$156:$B$160,MATCH(AQ283,'Scoring Method'!$A$156:$A$160,0))+INDEX('Scoring Method'!$B$164:$B$169,MATCH(AO283,'Scoring Method'!$A$164:$A$169,0))+INDEX('Scoring Method'!$B$173:$B$178,MATCH(AX283,'Scoring Method'!$A$173:$A$178,0))+INDEX('Scoring Method'!$B$349:$B$353,MATCH(X283,'Scoring Method'!$A$349:$A$353,0))+INDEX('Scoring Method'!$B$188:$B$190,MATCH(P283,'Scoring Method'!$A$188:$A$190,0)),1)</f>
        <v/>
      </c>
      <c r="AZ283" s="96">
        <f>AY283*U283/100</f>
        <v/>
      </c>
      <c r="BA283" s="92" t="inlineStr">
        <is>
          <t>Owner-occupied operator</t>
        </is>
      </c>
      <c r="BB283" s="94" t="n">
        <v>0.8</v>
      </c>
      <c r="BC283" s="92" t="inlineStr">
        <is>
          <t>Right-sized 0.35-0.75 AC</t>
        </is>
      </c>
      <c r="BD283" s="94" t="n">
        <v>1</v>
      </c>
      <c r="BE283" s="96">
        <f>ROUND(INDEX('Scoring Method'!$B$268:$B$276,MATCH(AE283,'Scoring Method'!$A$268:$A$276,0))+INDEX('Scoring Method'!$B$280:$B$288,MATCH(AP283,'Scoring Method'!$A$280:$A$288,0))+INDEX('Scoring Method'!$B$292:$B$296,MATCH(AQ283,'Scoring Method'!$A$292:$A$296,0))+INDEX('Scoring Method'!$B$300:$B$305,MATCH(AO283,'Scoring Method'!$A$300:$A$305,0))+INDEX('Scoring Method'!$B$309:$B$314,MATCH(AX283,'Scoring Method'!$A$309:$A$314,0))+INDEX('Scoring Method'!$B$337:$B$341,MATCH(X283,'Scoring Method'!$A$337:$A$341,0))+INDEX('Scoring Method'!$B$324:$B$326,MATCH(P283,'Scoring Method'!$A$324:$A$326,0)),1)</f>
        <v/>
      </c>
      <c r="BF283" s="96">
        <f>ROUND(INDEX('Scoring Method'!$B$268:$B$276,MATCH(AE283,'Scoring Method'!$A$268:$A$276,0))*BB283*BD283+INDEX('Scoring Method'!$B$280:$B$288,MATCH(AP283,'Scoring Method'!$A$280:$A$288,0))*BM283*BB283*BD283+INDEX('Scoring Method'!$B$292:$B$296,MATCH(AQ283,'Scoring Method'!$A$292:$A$296,0))*BD283+INDEX('Scoring Method'!$B$300:$B$305,MATCH(AO283,'Scoring Method'!$A$300:$A$305,0))*BM283*BB283+INDEX('Scoring Method'!$B$309:$B$314,MATCH(AX283,'Scoring Method'!$A$309:$A$314,0))+INDEX('Scoring Method'!$B$337:$B$341,MATCH(X283,'Scoring Method'!$A$337:$A$341,0))+INDEX('Scoring Method'!$B$324:$B$326,MATCH(P283,'Scoring Method'!$A$324:$A$326,0)),1)</f>
        <v/>
      </c>
      <c r="BG283" s="92" t="inlineStr">
        <is>
          <t>Fits (~$2,360/mo)</t>
        </is>
      </c>
      <c r="BH283" s="61" t="inlineStr">
        <is>
          <t>DTC</t>
        </is>
      </c>
      <c r="BI283" s="61" t="inlineStr">
        <is>
          <t>Downtown Core</t>
        </is>
      </c>
      <c r="BJ283" s="61" t="inlineStr"/>
      <c r="BK283" s="61" t="inlineStr"/>
      <c r="BL283" s="61" t="inlineStr">
        <is>
          <t>Bar permitted</t>
        </is>
      </c>
      <c r="BM283" s="61">
        <f>INDEX('Scoring Method'!$B$358:$B$363,MATCH(BL283,'Scoring Method'!$A$358:$A$363,0))</f>
        <v/>
      </c>
    </row>
    <row r="284" ht="15" customHeight="1" s="62">
      <c r="A284" s="92" t="n">
        <v>283</v>
      </c>
      <c r="B284" s="92" t="inlineStr">
        <is>
          <t>054-21-19-009.00</t>
        </is>
      </c>
      <c r="C284" s="92" t="inlineStr">
        <is>
          <t>632 RUSSELL ST</t>
        </is>
      </c>
      <c r="D284" s="92" t="inlineStr">
        <is>
          <t>632 LLC</t>
        </is>
      </c>
      <c r="E284" s="92" t="inlineStr">
        <is>
          <t>125 S HOWES ST 2ND FL</t>
        </is>
      </c>
      <c r="F284" s="92" t="inlineStr">
        <is>
          <t>FT COLLINS</t>
        </is>
      </c>
      <c r="G284" s="92" t="inlineStr">
        <is>
          <t>CO</t>
        </is>
      </c>
      <c r="H284" s="92" t="inlineStr">
        <is>
          <t>OFFICE BLDG 1 OR 2 STORY</t>
        </is>
      </c>
      <c r="I284" s="93" t="n">
        <v>13040</v>
      </c>
      <c r="J284" s="94">
        <f>I284/43560</f>
        <v/>
      </c>
      <c r="K284" s="93" t="n">
        <v>539</v>
      </c>
      <c r="L284" s="95">
        <f>I284/(K284^2)</f>
        <v/>
      </c>
      <c r="M284" s="92" t="inlineStr">
        <is>
          <t>Marginal 10-14k/45-60k</t>
        </is>
      </c>
      <c r="N284" s="92" t="inlineStr">
        <is>
          <t>E</t>
        </is>
      </c>
      <c r="O284" s="92" t="inlineStr">
        <is>
          <t>Elongated .035-.045</t>
        </is>
      </c>
      <c r="P284" s="92" t="inlineStr">
        <is>
          <t>Low</t>
        </is>
      </c>
      <c r="Q284" s="92" t="inlineStr">
        <is>
          <t>Out-of-state</t>
        </is>
      </c>
      <c r="R284" s="92" t="inlineStr">
        <is>
          <t>Operating entity</t>
        </is>
      </c>
      <c r="S284" s="92" t="n">
        <v>1</v>
      </c>
      <c r="T284" s="96">
        <f>INDEX('Scoring Method'!$B$6:$B$9,MATCH(M284,'Scoring Method'!$A$6:$A$9,0))+INDEX('Scoring Method'!$B$12:$B$16,MATCH(N284,'Scoring Method'!$A$12:$A$16,0))+INDEX('Scoring Method'!$B$19:$B$22,MATCH(O284,'Scoring Method'!$A$19:$A$22,0))+INDEX('Scoring Method'!$B$25:$B$27,MATCH(P284,'Scoring Method'!$A$25:$A$27,0))</f>
        <v/>
      </c>
      <c r="U284" s="96">
        <f>(INDEX('Scoring Method'!$B$30:$B$33,MATCH(Q284,'Scoring Method'!$A$30:$A$33,0))+INDEX('Scoring Method'!$B$36:$B$42,MATCH(R284,'Scoring Method'!$A$36:$A$42,0))+INDEX('Scoring Method'!$B$45:$B$47,MATCH(IF(S284=1,"1",IF(S284=2,"2","3+")),'Scoring Method'!$A$45:$A$47,0)))/90*100</f>
        <v/>
      </c>
      <c r="V284" s="96">
        <f>T284*U284/100</f>
        <v/>
      </c>
      <c r="W284" s="93" t="n">
        <v>17675</v>
      </c>
      <c r="X284" s="92" t="inlineStr">
        <is>
          <t>X (minimal hazard)</t>
        </is>
      </c>
      <c r="Y284" s="93" t="n">
        <v>2075</v>
      </c>
      <c r="Z284" s="97">
        <f>W284/I284</f>
        <v/>
      </c>
      <c r="AA284" s="98">
        <f>MAX(0,(Y284-5000)/300)</f>
        <v/>
      </c>
      <c r="AB284" s="92" t="n"/>
      <c r="AC284" s="92" t="n">
        <v>0.29</v>
      </c>
      <c r="AD284" s="92" t="inlineStr">
        <is>
          <t>ok</t>
        </is>
      </c>
      <c r="AE284" s="92" t="inlineStr">
        <is>
          <t>Far oversize &gt;12k</t>
        </is>
      </c>
      <c r="AF284" s="96">
        <f>INDEX('Scoring Method'!$B$63:$B$71,MATCH(AE284,'Scoring Method'!$A$63:$A$71,0))+INDEX('Scoring Method'!$B$75:$B$79,MATCH("Tight 2-5k",'Scoring Method'!$A$75:$A$79,0))+INDEX('Scoring Method'!$B$343:$B$347,MATCH(X284,'Scoring Method'!$A$343:$A$347,0))+INDEX('Scoring Method'!$B$25:$B$27,MATCH(P284,'Scoring Method'!$A$25:$A$27,0))</f>
        <v/>
      </c>
      <c r="AG284" s="96">
        <f>AF284*U284/100</f>
        <v/>
      </c>
      <c r="AH284" s="92" t="inlineStr">
        <is>
          <t>LINK-GIS + LoopNet</t>
        </is>
      </c>
      <c r="AI284" s="99" t="n">
        <v>39.0833</v>
      </c>
      <c r="AJ284" s="99" t="n">
        <v>-84.51304</v>
      </c>
      <c r="AK284" s="94" t="n">
        <v>0.27</v>
      </c>
      <c r="AL284" s="94" t="n">
        <v>0.58</v>
      </c>
      <c r="AM284" s="94" t="n">
        <v>1.26</v>
      </c>
      <c r="AN284" s="94" t="n">
        <v>0.12</v>
      </c>
      <c r="AO284" s="92" t="inlineStr">
        <is>
          <t>Core &lt;=0.35mi</t>
        </is>
      </c>
      <c r="AP284" s="92" t="inlineStr">
        <is>
          <t>Office/institutional</t>
        </is>
      </c>
      <c r="AQ284" s="92" t="inlineStr">
        <is>
          <t>Tight 2-5k</t>
        </is>
      </c>
      <c r="AR284" s="100" t="n"/>
      <c r="AS284" s="96">
        <f>ROUND(INDEX('Scoring Method'!$B$63:$B$70,MATCH(AE284,'Scoring Method'!$A$63:$A$70,0))*0.625+INDEX('Scoring Method'!$B$105:$B$113,MATCH(AP284,'Scoring Method'!$A$105:$A$113,0))+INDEX('Scoring Method'!$B$74:$B$78,MATCH(AQ284,'Scoring Method'!$A$74:$A$78,0))*0.6667+INDEX('Scoring Method'!$B$96:$B$101,MATCH(AO284,'Scoring Method'!$A$96:$A$101,0))+INDEX('Scoring Method'!$B$343:$B$347,MATCH(X284,'Scoring Method'!$A$343:$A$347,0))*0.3333+INDEX('Scoring Method'!$B$25:$B$27,MATCH(P284,'Scoring Method'!$A$25:$A$27,0))*0.3333,1)</f>
        <v/>
      </c>
      <c r="AT284" s="96">
        <f>AS284*U284/100</f>
        <v/>
      </c>
      <c r="AU284" s="92" t="inlineStr">
        <is>
          <t>MainStrasse</t>
        </is>
      </c>
      <c r="AV284" s="92" t="n">
        <v>75</v>
      </c>
      <c r="AW284" s="92" t="inlineStr">
        <is>
          <t>Sourced</t>
        </is>
      </c>
      <c r="AX284" s="92" t="inlineStr">
        <is>
          <t>Safe 70-79</t>
        </is>
      </c>
      <c r="AY284" s="96">
        <f>ROUND(INDEX('Scoring Method'!$B$132:$B$140,MATCH(AE284,'Scoring Method'!$A$132:$A$140,0))+INDEX('Scoring Method'!$B$144:$B$152,MATCH(AP284,'Scoring Method'!$A$144:$A$152,0))+INDEX('Scoring Method'!$B$156:$B$160,MATCH(AQ284,'Scoring Method'!$A$156:$A$160,0))+INDEX('Scoring Method'!$B$164:$B$169,MATCH(AO284,'Scoring Method'!$A$164:$A$169,0))+INDEX('Scoring Method'!$B$173:$B$178,MATCH(AX284,'Scoring Method'!$A$173:$A$178,0))+INDEX('Scoring Method'!$B$349:$B$353,MATCH(X284,'Scoring Method'!$A$349:$A$353,0))+INDEX('Scoring Method'!$B$188:$B$190,MATCH(P284,'Scoring Method'!$A$188:$A$190,0)),1)</f>
        <v/>
      </c>
      <c r="AZ284" s="96">
        <f>AY284*U284/100</f>
        <v/>
      </c>
      <c r="BA284" s="92" t="inlineStr">
        <is>
          <t>No chain signal</t>
        </is>
      </c>
      <c r="BB284" s="94" t="n">
        <v>1</v>
      </c>
      <c r="BC284" s="102" t="inlineStr">
        <is>
          <t>Small 0.25-0.35 AC</t>
        </is>
      </c>
      <c r="BD284" s="94" t="n">
        <v>0.9</v>
      </c>
      <c r="BE284" s="96">
        <f>ROUND(INDEX('Scoring Method'!$B$268:$B$276,MATCH(AE284,'Scoring Method'!$A$268:$A$276,0))+INDEX('Scoring Method'!$B$280:$B$288,MATCH(AP284,'Scoring Method'!$A$280:$A$288,0))+INDEX('Scoring Method'!$B$292:$B$296,MATCH(AQ284,'Scoring Method'!$A$292:$A$296,0))+INDEX('Scoring Method'!$B$300:$B$305,MATCH(AO284,'Scoring Method'!$A$300:$A$305,0))+INDEX('Scoring Method'!$B$309:$B$314,MATCH(AX284,'Scoring Method'!$A$309:$A$314,0))+INDEX('Scoring Method'!$B$337:$B$341,MATCH(X284,'Scoring Method'!$A$337:$A$341,0))+INDEX('Scoring Method'!$B$324:$B$326,MATCH(P284,'Scoring Method'!$A$324:$A$326,0)),1)</f>
        <v/>
      </c>
      <c r="BF284" s="96">
        <f>ROUND(INDEX('Scoring Method'!$B$268:$B$276,MATCH(AE284,'Scoring Method'!$A$268:$A$276,0))*BB284*BD284+INDEX('Scoring Method'!$B$280:$B$288,MATCH(AP284,'Scoring Method'!$A$280:$A$288,0))*BM284*BB284*BD284+INDEX('Scoring Method'!$B$292:$B$296,MATCH(AQ284,'Scoring Method'!$A$292:$A$296,0))*BD284+INDEX('Scoring Method'!$B$300:$B$305,MATCH(AO284,'Scoring Method'!$A$300:$A$305,0))*BM284*BB284+INDEX('Scoring Method'!$B$309:$B$314,MATCH(AX284,'Scoring Method'!$A$309:$A$314,0))+INDEX('Scoring Method'!$B$337:$B$341,MATCH(X284,'Scoring Method'!$A$337:$A$341,0))+INDEX('Scoring Method'!$B$324:$B$326,MATCH(P284,'Scoring Method'!$A$324:$A$326,0)),1)</f>
        <v/>
      </c>
      <c r="BG284" s="102" t="inlineStr">
        <is>
          <t>Over (~$16,202/mo)</t>
        </is>
      </c>
      <c r="BH284" s="61" t="inlineStr">
        <is>
          <t>DTC (HP)</t>
        </is>
      </c>
      <c r="BI284" s="61" t="inlineStr">
        <is>
          <t>Downtown Core</t>
        </is>
      </c>
      <c r="BJ284" s="61" t="inlineStr">
        <is>
          <t>HP</t>
        </is>
      </c>
      <c r="BK284" s="61" t="inlineStr"/>
      <c r="BL284" s="61" t="inlineStr">
        <is>
          <t>Bar permitted</t>
        </is>
      </c>
      <c r="BM284" s="61">
        <f>INDEX('Scoring Method'!$B$358:$B$363,MATCH(BL284,'Scoring Method'!$A$358:$A$363,0))</f>
        <v/>
      </c>
    </row>
    <row r="285" ht="15" customHeight="1" s="62">
      <c r="A285" s="92" t="n">
        <v>284</v>
      </c>
      <c r="B285" s="92" t="inlineStr">
        <is>
          <t>056-11-02-006.01</t>
        </is>
      </c>
      <c r="C285" s="92" t="inlineStr">
        <is>
          <t>2709 ALEXANDRIA AVE</t>
        </is>
      </c>
      <c r="D285" s="92" t="inlineStr">
        <is>
          <t>M &amp; H LLC</t>
        </is>
      </c>
      <c r="E285" s="92" t="inlineStr">
        <is>
          <t>2601 MADISON AVE</t>
        </is>
      </c>
      <c r="F285" s="92" t="inlineStr">
        <is>
          <t>COVINGTON</t>
        </is>
      </c>
      <c r="G285" s="92" t="inlineStr">
        <is>
          <t>KY</t>
        </is>
      </c>
      <c r="H285" s="92" t="inlineStr">
        <is>
          <t>CONVENIENCE STORE</t>
        </is>
      </c>
      <c r="I285" s="93" t="n">
        <v>10661</v>
      </c>
      <c r="J285" s="94">
        <f>I285/43560</f>
        <v/>
      </c>
      <c r="K285" s="93" t="n">
        <v>461</v>
      </c>
      <c r="L285" s="95">
        <f>I285/(K285^2)</f>
        <v/>
      </c>
      <c r="M285" s="92" t="inlineStr">
        <is>
          <t>Marginal 10-14k/45-60k</t>
        </is>
      </c>
      <c r="N285" s="92" t="inlineStr">
        <is>
          <t>C</t>
        </is>
      </c>
      <c r="O285" s="92" t="inlineStr">
        <is>
          <t>Regular .045-.055</t>
        </is>
      </c>
      <c r="P285" s="92" t="inlineStr">
        <is>
          <t>Low</t>
        </is>
      </c>
      <c r="Q285" s="92" t="inlineStr">
        <is>
          <t>Local absentee</t>
        </is>
      </c>
      <c r="R285" s="92" t="inlineStr">
        <is>
          <t>Operating entity</t>
        </is>
      </c>
      <c r="S285" s="92" t="n">
        <v>1</v>
      </c>
      <c r="T285" s="96">
        <f>INDEX('Scoring Method'!$B$6:$B$9,MATCH(M285,'Scoring Method'!$A$6:$A$9,0))+INDEX('Scoring Method'!$B$12:$B$16,MATCH(N285,'Scoring Method'!$A$12:$A$16,0))+INDEX('Scoring Method'!$B$19:$B$22,MATCH(O285,'Scoring Method'!$A$19:$A$22,0))+INDEX('Scoring Method'!$B$25:$B$27,MATCH(P285,'Scoring Method'!$A$25:$A$27,0))</f>
        <v/>
      </c>
      <c r="U285" s="96">
        <f>(INDEX('Scoring Method'!$B$30:$B$33,MATCH(Q285,'Scoring Method'!$A$30:$A$33,0))+INDEX('Scoring Method'!$B$36:$B$42,MATCH(R285,'Scoring Method'!$A$36:$A$42,0))+INDEX('Scoring Method'!$B$45:$B$47,MATCH(IF(S285=1,"1",IF(S285=2,"2","3+")),'Scoring Method'!$A$45:$A$47,0)))/90*100</f>
        <v/>
      </c>
      <c r="V285" s="96">
        <f>T285*U285/100</f>
        <v/>
      </c>
      <c r="W285" s="93" t="n"/>
      <c r="X285" s="92" t="inlineStr">
        <is>
          <t>X (minimal hazard)</t>
        </is>
      </c>
      <c r="Y285" s="93" t="n">
        <v>7375</v>
      </c>
      <c r="Z285" s="97" t="n"/>
      <c r="AA285" s="98" t="n"/>
      <c r="AB285" s="92" t="n"/>
      <c r="AC285" s="92" t="n">
        <v>0.24</v>
      </c>
      <c r="AD285" s="92" t="inlineStr">
        <is>
          <t>ok</t>
        </is>
      </c>
      <c r="AE285" s="92" t="inlineStr">
        <is>
          <t>No building</t>
        </is>
      </c>
      <c r="AF285" s="96">
        <f>INDEX('Scoring Method'!$B$63:$B$71,MATCH(AE285,'Scoring Method'!$A$63:$A$71,0))+INDEX('Scoring Method'!$B$75:$B$79,MATCH("Adequate 5-8k",'Scoring Method'!$A$75:$A$79,0))+INDEX('Scoring Method'!$B$343:$B$347,MATCH(X285,'Scoring Method'!$A$343:$A$347,0))+INDEX('Scoring Method'!$B$25:$B$27,MATCH(P285,'Scoring Method'!$A$25:$A$27,0))</f>
        <v/>
      </c>
      <c r="AG285" s="96">
        <f>AF285*U285/100</f>
        <v/>
      </c>
      <c r="AH285" s="92" t="inlineStr">
        <is>
          <t>LINK-GIS + LoopNet</t>
        </is>
      </c>
      <c r="AI285" s="99" t="n">
        <v>39.05212</v>
      </c>
      <c r="AJ285" s="99" t="n">
        <v>-84.51524000000001</v>
      </c>
      <c r="AK285" s="94" t="n">
        <v>2.23</v>
      </c>
      <c r="AL285" s="94" t="n">
        <v>2.7</v>
      </c>
      <c r="AM285" s="94" t="n">
        <v>3.42</v>
      </c>
      <c r="AN285" s="94" t="n">
        <v>2.21</v>
      </c>
      <c r="AO285" s="92" t="inlineStr">
        <is>
          <t>Distant 2-3mi</t>
        </is>
      </c>
      <c r="AP285" s="92" t="inlineStr">
        <is>
          <t>Built-out kitchen</t>
        </is>
      </c>
      <c r="AQ285" s="92" t="inlineStr">
        <is>
          <t>Adequate 5-8k</t>
        </is>
      </c>
      <c r="AR285" s="100" t="n"/>
      <c r="AS285" s="96">
        <f>ROUND(INDEX('Scoring Method'!$B$63:$B$70,MATCH(AE285,'Scoring Method'!$A$63:$A$70,0))*0.625+INDEX('Scoring Method'!$B$105:$B$113,MATCH(AP285,'Scoring Method'!$A$105:$A$113,0))+INDEX('Scoring Method'!$B$74:$B$78,MATCH(AQ285,'Scoring Method'!$A$74:$A$78,0))*0.6667+INDEX('Scoring Method'!$B$96:$B$101,MATCH(AO285,'Scoring Method'!$A$96:$A$101,0))+INDEX('Scoring Method'!$B$343:$B$347,MATCH(X285,'Scoring Method'!$A$343:$A$347,0))*0.3333+INDEX('Scoring Method'!$B$25:$B$27,MATCH(P285,'Scoring Method'!$A$25:$A$27,0))*0.3333,1)</f>
        <v/>
      </c>
      <c r="AT285" s="96">
        <f>AS285*U285/100</f>
        <v/>
      </c>
      <c r="AU285" s="92" t="inlineStr">
        <is>
          <t>Latonia Rosedale</t>
        </is>
      </c>
      <c r="AV285" s="92" t="n">
        <v>68</v>
      </c>
      <c r="AW285" s="92" t="inlineStr">
        <is>
          <t>Sourced</t>
        </is>
      </c>
      <c r="AX285" s="92" t="inlineStr">
        <is>
          <t>Moderate 60-69</t>
        </is>
      </c>
      <c r="AY285" s="96">
        <f>ROUND(INDEX('Scoring Method'!$B$132:$B$140,MATCH(AE285,'Scoring Method'!$A$132:$A$140,0))+INDEX('Scoring Method'!$B$144:$B$152,MATCH(AP285,'Scoring Method'!$A$144:$A$152,0))+INDEX('Scoring Method'!$B$156:$B$160,MATCH(AQ285,'Scoring Method'!$A$156:$A$160,0))+INDEX('Scoring Method'!$B$164:$B$169,MATCH(AO285,'Scoring Method'!$A$164:$A$169,0))+INDEX('Scoring Method'!$B$173:$B$178,MATCH(AX285,'Scoring Method'!$A$173:$A$178,0))+INDEX('Scoring Method'!$B$349:$B$353,MATCH(X285,'Scoring Method'!$A$349:$A$353,0))+INDEX('Scoring Method'!$B$188:$B$190,MATCH(P285,'Scoring Method'!$A$188:$A$190,0)),1)</f>
        <v/>
      </c>
      <c r="AZ285" s="96">
        <f>AY285*U285/100</f>
        <v/>
      </c>
      <c r="BA285" s="102" t="inlineStr">
        <is>
          <t>Chain format + local owner</t>
        </is>
      </c>
      <c r="BB285" s="94" t="n">
        <v>0.7</v>
      </c>
      <c r="BC285" s="103" t="inlineStr">
        <is>
          <t>Extra small 0.15-0.25 AC</t>
        </is>
      </c>
      <c r="BD285" s="94" t="n">
        <v>0.8</v>
      </c>
      <c r="BE285" s="96">
        <f>ROUND(INDEX('Scoring Method'!$B$268:$B$276,MATCH(AE285,'Scoring Method'!$A$268:$A$276,0))+INDEX('Scoring Method'!$B$280:$B$288,MATCH(AP285,'Scoring Method'!$A$280:$A$288,0))+INDEX('Scoring Method'!$B$292:$B$296,MATCH(AQ285,'Scoring Method'!$A$292:$A$296,0))+INDEX('Scoring Method'!$B$300:$B$305,MATCH(AO285,'Scoring Method'!$A$300:$A$305,0))+INDEX('Scoring Method'!$B$309:$B$314,MATCH(AX285,'Scoring Method'!$A$309:$A$314,0))+INDEX('Scoring Method'!$B$337:$B$341,MATCH(X285,'Scoring Method'!$A$337:$A$341,0))+INDEX('Scoring Method'!$B$324:$B$326,MATCH(P285,'Scoring Method'!$A$324:$A$326,0)),1)</f>
        <v/>
      </c>
      <c r="BF285" s="96">
        <f>ROUND(INDEX('Scoring Method'!$B$268:$B$276,MATCH(AE285,'Scoring Method'!$A$268:$A$276,0))*BB285*BD285+INDEX('Scoring Method'!$B$280:$B$288,MATCH(AP285,'Scoring Method'!$A$280:$A$288,0))*BM285*BB285*BD285+INDEX('Scoring Method'!$B$292:$B$296,MATCH(AQ285,'Scoring Method'!$A$292:$A$296,0))*BD285+INDEX('Scoring Method'!$B$300:$B$305,MATCH(AO285,'Scoring Method'!$A$300:$A$305,0))*BM285*BB285+INDEX('Scoring Method'!$B$309:$B$314,MATCH(AX285,'Scoring Method'!$A$309:$A$314,0))+INDEX('Scoring Method'!$B$337:$B$341,MATCH(X285,'Scoring Method'!$A$337:$A$341,0))+INDEX('Scoring Method'!$B$324:$B$326,MATCH(P285,'Scoring Method'!$A$324:$A$326,0)),1)</f>
        <v/>
      </c>
      <c r="BG285" s="92" t="n"/>
      <c r="BH285" s="61" t="inlineStr">
        <is>
          <t>SU</t>
        </is>
      </c>
      <c r="BI285" s="61" t="inlineStr">
        <is>
          <t>Semi-Urban Residential</t>
        </is>
      </c>
      <c r="BJ285" s="61" t="inlineStr"/>
      <c r="BK285" s="61" t="inlineStr"/>
      <c r="BL285" s="61" t="inlineStr">
        <is>
          <t>SU corner unverified</t>
        </is>
      </c>
      <c r="BM285" s="61">
        <f>INDEX('Scoring Method'!$B$358:$B$363,MATCH(BL285,'Scoring Method'!$A$358:$A$363,0))</f>
        <v/>
      </c>
    </row>
    <row r="286" ht="15" customHeight="1" s="62">
      <c r="A286" s="92" t="n">
        <v>285</v>
      </c>
      <c r="B286" s="92" t="inlineStr">
        <is>
          <t>054-21-21-010.00</t>
        </is>
      </c>
      <c r="C286" s="92" t="inlineStr">
        <is>
          <t>533 MADISON AVE</t>
        </is>
      </c>
      <c r="D286" s="92" t="inlineStr">
        <is>
          <t>COVINGTON REPUBLIC LLC</t>
        </is>
      </c>
      <c r="E286" s="92" t="inlineStr">
        <is>
          <t>6 E 5TH ST STE 409</t>
        </is>
      </c>
      <c r="F286" s="92" t="inlineStr">
        <is>
          <t>COVINGTON</t>
        </is>
      </c>
      <c r="G286" s="92" t="inlineStr">
        <is>
          <t>KY</t>
        </is>
      </c>
      <c r="H286" s="92" t="inlineStr">
        <is>
          <t>OFFICE TOWER - 3 STORY &amp; UP</t>
        </is>
      </c>
      <c r="I286" s="93" t="n">
        <v>14900</v>
      </c>
      <c r="J286" s="94">
        <f>I286/43560</f>
        <v/>
      </c>
      <c r="K286" s="93" t="n">
        <v>570</v>
      </c>
      <c r="L286" s="95">
        <f>I286/(K286^2)</f>
        <v/>
      </c>
      <c r="M286" s="92" t="inlineStr">
        <is>
          <t>Near 14-18k/32-45k</t>
        </is>
      </c>
      <c r="N286" s="92" t="inlineStr">
        <is>
          <t>E</t>
        </is>
      </c>
      <c r="O286" s="92" t="inlineStr">
        <is>
          <t>Regular .045-.055</t>
        </is>
      </c>
      <c r="P286" s="92" t="inlineStr">
        <is>
          <t>Low</t>
        </is>
      </c>
      <c r="Q286" s="92" t="inlineStr">
        <is>
          <t>Local absentee</t>
        </is>
      </c>
      <c r="R286" s="92" t="inlineStr">
        <is>
          <t>Operating entity</t>
        </is>
      </c>
      <c r="S286" s="92" t="n">
        <v>1</v>
      </c>
      <c r="T286" s="96">
        <f>INDEX('Scoring Method'!$B$6:$B$9,MATCH(M286,'Scoring Method'!$A$6:$A$9,0))+INDEX('Scoring Method'!$B$12:$B$16,MATCH(N286,'Scoring Method'!$A$12:$A$16,0))+INDEX('Scoring Method'!$B$19:$B$22,MATCH(O286,'Scoring Method'!$A$19:$A$22,0))+INDEX('Scoring Method'!$B$25:$B$27,MATCH(P286,'Scoring Method'!$A$25:$A$27,0))</f>
        <v/>
      </c>
      <c r="U286" s="96">
        <f>(INDEX('Scoring Method'!$B$30:$B$33,MATCH(Q286,'Scoring Method'!$A$30:$A$33,0))+INDEX('Scoring Method'!$B$36:$B$42,MATCH(R286,'Scoring Method'!$A$36:$A$42,0))+INDEX('Scoring Method'!$B$45:$B$47,MATCH(IF(S286=1,"1",IF(S286=2,"2","3+")),'Scoring Method'!$A$45:$A$47,0)))/90*100</f>
        <v/>
      </c>
      <c r="V286" s="96">
        <f>T286*U286/100</f>
        <v/>
      </c>
      <c r="W286" s="93" t="n">
        <v>7175</v>
      </c>
      <c r="X286" s="92" t="inlineStr">
        <is>
          <t>X (minimal hazard)</t>
        </is>
      </c>
      <c r="Y286" s="93" t="n">
        <v>5200</v>
      </c>
      <c r="Z286" s="97" t="n"/>
      <c r="AA286" s="98">
        <f>MAX(0,(Y286-5000)/300)</f>
        <v/>
      </c>
      <c r="AB286" s="92" t="n"/>
      <c r="AC286" s="92" t="n"/>
      <c r="AD286" s="92" t="n"/>
      <c r="AE286" s="92" t="inlineStr">
        <is>
          <t>Office tower 3+ storey</t>
        </is>
      </c>
      <c r="AF286" s="96">
        <f>INDEX('Scoring Method'!$B$63:$B$71,MATCH(AE286,'Scoring Method'!$A$63:$A$71,0))+INDEX('Scoring Method'!$B$75:$B$79,MATCH("Adequate 5-8k",'Scoring Method'!$A$75:$A$79,0))+INDEX('Scoring Method'!$B$343:$B$347,MATCH(X286,'Scoring Method'!$A$343:$A$347,0))+INDEX('Scoring Method'!$B$25:$B$27,MATCH(P286,'Scoring Method'!$A$25:$A$27,0))</f>
        <v/>
      </c>
      <c r="AG286" s="96">
        <f>AF286*U286/100</f>
        <v/>
      </c>
      <c r="AH286" s="92" t="inlineStr">
        <is>
          <t>LINK-GIS only</t>
        </is>
      </c>
      <c r="AI286" s="99" t="n">
        <v>39.08479</v>
      </c>
      <c r="AJ286" s="99" t="n">
        <v>-84.51093</v>
      </c>
      <c r="AK286" s="94" t="n">
        <v>0.37</v>
      </c>
      <c r="AL286" s="94" t="n">
        <v>0.44</v>
      </c>
      <c r="AM286" s="94" t="n">
        <v>1.16</v>
      </c>
      <c r="AN286" s="94" t="n">
        <v>0.06</v>
      </c>
      <c r="AO286" s="92" t="inlineStr">
        <is>
          <t>Core &lt;=0.35mi</t>
        </is>
      </c>
      <c r="AP286" s="92" t="inlineStr">
        <is>
          <t>Office tower 3+ storey</t>
        </is>
      </c>
      <c r="AQ286" s="92" t="inlineStr">
        <is>
          <t>Adequate 5-8k</t>
        </is>
      </c>
      <c r="AR286" s="100" t="n"/>
      <c r="AS286" s="96">
        <f>ROUND(INDEX('Scoring Method'!$B$63:$B$70,MATCH(AE286,'Scoring Method'!$A$63:$A$70,0))*0.625+INDEX('Scoring Method'!$B$105:$B$113,MATCH(AP286,'Scoring Method'!$A$105:$A$113,0))+INDEX('Scoring Method'!$B$74:$B$78,MATCH(AQ286,'Scoring Method'!$A$74:$A$78,0))*0.6667+INDEX('Scoring Method'!$B$96:$B$101,MATCH(AO286,'Scoring Method'!$A$96:$A$101,0))+INDEX('Scoring Method'!$B$343:$B$347,MATCH(X286,'Scoring Method'!$A$343:$A$347,0))*0.3333+INDEX('Scoring Method'!$B$25:$B$27,MATCH(P286,'Scoring Method'!$A$25:$A$27,0))*0.3333,1)</f>
        <v/>
      </c>
      <c r="AT286" s="96">
        <f>AS286*U286/100</f>
        <v/>
      </c>
      <c r="AU286" s="92" t="inlineStr">
        <is>
          <t>Central Business District</t>
        </is>
      </c>
      <c r="AV286" s="92" t="n">
        <v>48</v>
      </c>
      <c r="AW286" s="101" t="inlineStr">
        <is>
          <t>ESTIMATED</t>
        </is>
      </c>
      <c r="AX286" s="92" t="inlineStr">
        <is>
          <t>Mixed 45-59</t>
        </is>
      </c>
      <c r="AY286" s="96">
        <f>ROUND(INDEX('Scoring Method'!$B$132:$B$140,MATCH(AE286,'Scoring Method'!$A$132:$A$140,0))+INDEX('Scoring Method'!$B$144:$B$152,MATCH(AP286,'Scoring Method'!$A$144:$A$152,0))+INDEX('Scoring Method'!$B$156:$B$160,MATCH(AQ286,'Scoring Method'!$A$156:$A$160,0))+INDEX('Scoring Method'!$B$164:$B$169,MATCH(AO286,'Scoring Method'!$A$164:$A$169,0))+INDEX('Scoring Method'!$B$173:$B$178,MATCH(AX286,'Scoring Method'!$A$173:$A$178,0))+INDEX('Scoring Method'!$B$349:$B$353,MATCH(X286,'Scoring Method'!$A$349:$A$353,0))+INDEX('Scoring Method'!$B$188:$B$190,MATCH(P286,'Scoring Method'!$A$188:$A$190,0)),1)</f>
        <v/>
      </c>
      <c r="AZ286" s="96">
        <f>AY286*U286/100</f>
        <v/>
      </c>
      <c r="BA286" s="92" t="inlineStr">
        <is>
          <t>No chain signal</t>
        </is>
      </c>
      <c r="BB286" s="94" t="n">
        <v>1</v>
      </c>
      <c r="BC286" s="102" t="inlineStr">
        <is>
          <t>Small 0.25-0.35 AC</t>
        </is>
      </c>
      <c r="BD286" s="94" t="n">
        <v>0.9</v>
      </c>
      <c r="BE286" s="96">
        <f>ROUND(INDEX('Scoring Method'!$B$268:$B$276,MATCH(AE286,'Scoring Method'!$A$268:$A$276,0))+INDEX('Scoring Method'!$B$280:$B$288,MATCH(AP286,'Scoring Method'!$A$280:$A$288,0))+INDEX('Scoring Method'!$B$292:$B$296,MATCH(AQ286,'Scoring Method'!$A$292:$A$296,0))+INDEX('Scoring Method'!$B$300:$B$305,MATCH(AO286,'Scoring Method'!$A$300:$A$305,0))+INDEX('Scoring Method'!$B$309:$B$314,MATCH(AX286,'Scoring Method'!$A$309:$A$314,0))+INDEX('Scoring Method'!$B$337:$B$341,MATCH(X286,'Scoring Method'!$A$337:$A$341,0))+INDEX('Scoring Method'!$B$324:$B$326,MATCH(P286,'Scoring Method'!$A$324:$A$326,0)),1)</f>
        <v/>
      </c>
      <c r="BF286" s="96">
        <f>ROUND(INDEX('Scoring Method'!$B$268:$B$276,MATCH(AE286,'Scoring Method'!$A$268:$A$276,0))*BB286*BD286+INDEX('Scoring Method'!$B$280:$B$288,MATCH(AP286,'Scoring Method'!$A$280:$A$288,0))*BM286*BB286*BD286+INDEX('Scoring Method'!$B$292:$B$296,MATCH(AQ286,'Scoring Method'!$A$292:$A$296,0))*BD286+INDEX('Scoring Method'!$B$300:$B$305,MATCH(AO286,'Scoring Method'!$A$300:$A$305,0))*BM286*BB286+INDEX('Scoring Method'!$B$309:$B$314,MATCH(AX286,'Scoring Method'!$A$309:$A$314,0))+INDEX('Scoring Method'!$B$337:$B$341,MATCH(X286,'Scoring Method'!$A$337:$A$341,0))+INDEX('Scoring Method'!$B$324:$B$326,MATCH(P286,'Scoring Method'!$A$324:$A$326,0)),1)</f>
        <v/>
      </c>
      <c r="BG286" s="92" t="inlineStr">
        <is>
          <t>Fits (~$6,577/mo)</t>
        </is>
      </c>
      <c r="BH286" s="61" t="inlineStr">
        <is>
          <t>DTC (HP)</t>
        </is>
      </c>
      <c r="BI286" s="61" t="inlineStr">
        <is>
          <t>Downtown Core</t>
        </is>
      </c>
      <c r="BJ286" s="61" t="inlineStr">
        <is>
          <t>HP</t>
        </is>
      </c>
      <c r="BK286" s="61" t="inlineStr"/>
      <c r="BL286" s="61" t="inlineStr">
        <is>
          <t>Bar permitted</t>
        </is>
      </c>
      <c r="BM286" s="61">
        <f>INDEX('Scoring Method'!$B$358:$B$363,MATCH(BL286,'Scoring Method'!$A$358:$A$363,0))</f>
        <v/>
      </c>
    </row>
    <row r="287" ht="15" customHeight="1" s="62">
      <c r="A287" s="92" t="n">
        <v>286</v>
      </c>
      <c r="B287" s="92" t="inlineStr">
        <is>
          <t>054-14-14-030.00</t>
        </is>
      </c>
      <c r="C287" s="92" t="inlineStr">
        <is>
          <t>314 GREENUP ST</t>
        </is>
      </c>
      <c r="D287" s="92" t="inlineStr">
        <is>
          <t>RP PROP OZ LLC</t>
        </is>
      </c>
      <c r="E287" s="92" t="inlineStr">
        <is>
          <t>419 GREENUP ST</t>
        </is>
      </c>
      <c r="F287" s="92" t="inlineStr">
        <is>
          <t>COVINGTON</t>
        </is>
      </c>
      <c r="G287" s="92" t="inlineStr">
        <is>
          <t>KY</t>
        </is>
      </c>
      <c r="H287" s="92" t="inlineStr">
        <is>
          <t>OFFICE BLDG 1 OR 2 STORY</t>
        </is>
      </c>
      <c r="I287" s="93" t="n">
        <v>11442</v>
      </c>
      <c r="J287" s="94">
        <f>I287/43560</f>
        <v/>
      </c>
      <c r="K287" s="93" t="n">
        <v>533</v>
      </c>
      <c r="L287" s="95">
        <f>I287/(K287^2)</f>
        <v/>
      </c>
      <c r="M287" s="92" t="inlineStr">
        <is>
          <t>Marginal 10-14k/45-60k</t>
        </is>
      </c>
      <c r="N287" s="92" t="inlineStr">
        <is>
          <t>E</t>
        </is>
      </c>
      <c r="O287" s="92" t="inlineStr">
        <is>
          <t>Elongated .035-.045</t>
        </is>
      </c>
      <c r="P287" s="92" t="inlineStr">
        <is>
          <t>Low</t>
        </is>
      </c>
      <c r="Q287" s="92" t="inlineStr">
        <is>
          <t>Local absentee</t>
        </is>
      </c>
      <c r="R287" s="92" t="inlineStr">
        <is>
          <t>Operating entity</t>
        </is>
      </c>
      <c r="S287" s="92" t="n">
        <v>3</v>
      </c>
      <c r="T287" s="96">
        <f>INDEX('Scoring Method'!$B$6:$B$9,MATCH(M287,'Scoring Method'!$A$6:$A$9,0))+INDEX('Scoring Method'!$B$12:$B$16,MATCH(N287,'Scoring Method'!$A$12:$A$16,0))+INDEX('Scoring Method'!$B$19:$B$22,MATCH(O287,'Scoring Method'!$A$19:$A$22,0))+INDEX('Scoring Method'!$B$25:$B$27,MATCH(P287,'Scoring Method'!$A$25:$A$27,0))</f>
        <v/>
      </c>
      <c r="U287" s="96">
        <f>(INDEX('Scoring Method'!$B$30:$B$33,MATCH(Q287,'Scoring Method'!$A$30:$A$33,0))+INDEX('Scoring Method'!$B$36:$B$42,MATCH(R287,'Scoring Method'!$A$36:$A$42,0))+INDEX('Scoring Method'!$B$45:$B$47,MATCH(IF(S287=1,"1",IF(S287=2,"2","3+")),'Scoring Method'!$A$45:$A$47,0)))/90*100</f>
        <v/>
      </c>
      <c r="V287" s="96">
        <f>T287*U287/100</f>
        <v/>
      </c>
      <c r="W287" s="93" t="n">
        <v>5148</v>
      </c>
      <c r="X287" s="92" t="inlineStr">
        <is>
          <t>X (minimal hazard)</t>
        </is>
      </c>
      <c r="Y287" s="93" t="n">
        <v>6575</v>
      </c>
      <c r="Z287" s="97" t="n"/>
      <c r="AA287" s="98">
        <f>MAX(0,(Y287-5000)/300)</f>
        <v/>
      </c>
      <c r="AB287" s="92" t="n"/>
      <c r="AC287" s="92" t="n"/>
      <c r="AD287" s="92" t="n"/>
      <c r="AE287" s="92" t="inlineStr">
        <is>
          <t>Large 4-6k</t>
        </is>
      </c>
      <c r="AF287" s="96">
        <f>INDEX('Scoring Method'!$B$63:$B$71,MATCH(AE287,'Scoring Method'!$A$63:$A$71,0))+INDEX('Scoring Method'!$B$75:$B$79,MATCH("Adequate 5-8k",'Scoring Method'!$A$75:$A$79,0))+INDEX('Scoring Method'!$B$343:$B$347,MATCH(X287,'Scoring Method'!$A$343:$A$347,0))+INDEX('Scoring Method'!$B$25:$B$27,MATCH(P287,'Scoring Method'!$A$25:$A$27,0))</f>
        <v/>
      </c>
      <c r="AG287" s="96">
        <f>AF287*U287/100</f>
        <v/>
      </c>
      <c r="AH287" s="92" t="inlineStr">
        <is>
          <t>LINK-GIS + LoopNet (2026-08-02)</t>
        </is>
      </c>
      <c r="AI287" s="99" t="n">
        <v>39.08845</v>
      </c>
      <c r="AJ287" s="99" t="n">
        <v>-84.50751</v>
      </c>
      <c r="AK287" s="94" t="n">
        <v>0.62</v>
      </c>
      <c r="AL287" s="94" t="n">
        <v>0.17</v>
      </c>
      <c r="AM287" s="94" t="n">
        <v>0.9399999999999999</v>
      </c>
      <c r="AN287" s="94" t="n">
        <v>0.17</v>
      </c>
      <c r="AO287" s="92" t="inlineStr">
        <is>
          <t>Core &lt;=0.35mi</t>
        </is>
      </c>
      <c r="AP287" s="92" t="inlineStr">
        <is>
          <t>Office/institutional</t>
        </is>
      </c>
      <c r="AQ287" s="92" t="inlineStr">
        <is>
          <t>Adequate 5-8k</t>
        </is>
      </c>
      <c r="AR287" s="100" t="n"/>
      <c r="AS287" s="96">
        <f>ROUND(INDEX('Scoring Method'!$B$63:$B$70,MATCH(AE287,'Scoring Method'!$A$63:$A$70,0))*0.625+INDEX('Scoring Method'!$B$105:$B$113,MATCH(AP287,'Scoring Method'!$A$105:$A$113,0))+INDEX('Scoring Method'!$B$74:$B$78,MATCH(AQ287,'Scoring Method'!$A$74:$A$78,0))*0.6667+INDEX('Scoring Method'!$B$96:$B$101,MATCH(AO287,'Scoring Method'!$A$96:$A$101,0))+INDEX('Scoring Method'!$B$343:$B$347,MATCH(X287,'Scoring Method'!$A$343:$A$347,0))*0.3333+INDEX('Scoring Method'!$B$25:$B$27,MATCH(P287,'Scoring Method'!$A$25:$A$27,0))*0.3333,1)</f>
        <v/>
      </c>
      <c r="AT287" s="96">
        <f>AS287*U287/100</f>
        <v/>
      </c>
      <c r="AU287" s="92" t="inlineStr">
        <is>
          <t>Central Business District</t>
        </is>
      </c>
      <c r="AV287" s="92" t="n">
        <v>48</v>
      </c>
      <c r="AW287" s="101" t="inlineStr">
        <is>
          <t>ESTIMATED</t>
        </is>
      </c>
      <c r="AX287" s="92" t="inlineStr">
        <is>
          <t>Mixed 45-59</t>
        </is>
      </c>
      <c r="AY287" s="96">
        <f>ROUND(INDEX('Scoring Method'!$B$132:$B$140,MATCH(AE287,'Scoring Method'!$A$132:$A$140,0))+INDEX('Scoring Method'!$B$144:$B$152,MATCH(AP287,'Scoring Method'!$A$144:$A$152,0))+INDEX('Scoring Method'!$B$156:$B$160,MATCH(AQ287,'Scoring Method'!$A$156:$A$160,0))+INDEX('Scoring Method'!$B$164:$B$169,MATCH(AO287,'Scoring Method'!$A$164:$A$169,0))+INDEX('Scoring Method'!$B$173:$B$178,MATCH(AX287,'Scoring Method'!$A$173:$A$178,0))+INDEX('Scoring Method'!$B$349:$B$353,MATCH(X287,'Scoring Method'!$A$349:$A$353,0))+INDEX('Scoring Method'!$B$188:$B$190,MATCH(P287,'Scoring Method'!$A$188:$A$190,0)),1)</f>
        <v/>
      </c>
      <c r="AZ287" s="96">
        <f>AY287*U287/100</f>
        <v/>
      </c>
      <c r="BA287" s="92" t="inlineStr">
        <is>
          <t>No chain signal</t>
        </is>
      </c>
      <c r="BB287" s="94" t="n">
        <v>1</v>
      </c>
      <c r="BC287" s="102" t="inlineStr">
        <is>
          <t>Small 0.25-0.35 AC</t>
        </is>
      </c>
      <c r="BD287" s="94" t="n">
        <v>0.9</v>
      </c>
      <c r="BE287" s="96">
        <f>ROUND(INDEX('Scoring Method'!$B$268:$B$276,MATCH(AE287,'Scoring Method'!$A$268:$A$276,0))+INDEX('Scoring Method'!$B$280:$B$288,MATCH(AP287,'Scoring Method'!$A$280:$A$288,0))+INDEX('Scoring Method'!$B$292:$B$296,MATCH(AQ287,'Scoring Method'!$A$292:$A$296,0))+INDEX('Scoring Method'!$B$300:$B$305,MATCH(AO287,'Scoring Method'!$A$300:$A$305,0))+INDEX('Scoring Method'!$B$309:$B$314,MATCH(AX287,'Scoring Method'!$A$309:$A$314,0))+INDEX('Scoring Method'!$B$337:$B$341,MATCH(X287,'Scoring Method'!$A$337:$A$341,0))+INDEX('Scoring Method'!$B$324:$B$326,MATCH(P287,'Scoring Method'!$A$324:$A$326,0)),1)</f>
        <v/>
      </c>
      <c r="BF287" s="96">
        <f>ROUND(INDEX('Scoring Method'!$B$268:$B$276,MATCH(AE287,'Scoring Method'!$A$268:$A$276,0))*BB287*BD287+INDEX('Scoring Method'!$B$280:$B$288,MATCH(AP287,'Scoring Method'!$A$280:$A$288,0))*BM287*BB287*BD287+INDEX('Scoring Method'!$B$292:$B$296,MATCH(AQ287,'Scoring Method'!$A$292:$A$296,0))*BD287+INDEX('Scoring Method'!$B$300:$B$305,MATCH(AO287,'Scoring Method'!$A$300:$A$305,0))*BM287*BB287+INDEX('Scoring Method'!$B$309:$B$314,MATCH(AX287,'Scoring Method'!$A$309:$A$314,0))+INDEX('Scoring Method'!$B$337:$B$341,MATCH(X287,'Scoring Method'!$A$337:$A$341,0))+INDEX('Scoring Method'!$B$324:$B$326,MATCH(P287,'Scoring Method'!$A$324:$A$326,0)),1)</f>
        <v/>
      </c>
      <c r="BG287" s="92" t="inlineStr">
        <is>
          <t>Fits (~$4,719/mo)</t>
        </is>
      </c>
      <c r="BH287" s="61" t="inlineStr">
        <is>
          <t>DTC (HP)</t>
        </is>
      </c>
      <c r="BI287" s="61" t="inlineStr">
        <is>
          <t>Downtown Core</t>
        </is>
      </c>
      <c r="BJ287" s="61" t="inlineStr">
        <is>
          <t>HP</t>
        </is>
      </c>
      <c r="BK287" s="61" t="inlineStr"/>
      <c r="BL287" s="61" t="inlineStr">
        <is>
          <t>Bar permitted</t>
        </is>
      </c>
      <c r="BM287" s="61">
        <f>INDEX('Scoring Method'!$B$358:$B$363,MATCH(BL287,'Scoring Method'!$A$358:$A$363,0))</f>
        <v/>
      </c>
    </row>
    <row r="288" ht="15" customHeight="1" s="62">
      <c r="A288" s="92" t="n">
        <v>287</v>
      </c>
      <c r="B288" s="92" t="inlineStr">
        <is>
          <t>040-44-05-012.00</t>
        </is>
      </c>
      <c r="C288" s="92" t="inlineStr">
        <is>
          <t>921 BAKER ST</t>
        </is>
      </c>
      <c r="D288" s="92" t="inlineStr">
        <is>
          <t>CAPLIZIKE LLC</t>
        </is>
      </c>
      <c r="E288" s="92" t="inlineStr">
        <is>
          <t>921 BAKER ST</t>
        </is>
      </c>
      <c r="F288" s="92" t="inlineStr">
        <is>
          <t>COVINGTON</t>
        </is>
      </c>
      <c r="G288" s="92" t="inlineStr">
        <is>
          <t>KY</t>
        </is>
      </c>
      <c r="H288" s="92" t="inlineStr">
        <is>
          <t>MFG/ASSEMBLY 20000 SF OR LESS</t>
        </is>
      </c>
      <c r="I288" s="93" t="n">
        <v>28636</v>
      </c>
      <c r="J288" s="94">
        <f>I288/43560</f>
        <v/>
      </c>
      <c r="K288" s="93" t="n">
        <v>738.7</v>
      </c>
      <c r="L288" s="95">
        <f>I288/(K288^2)</f>
        <v/>
      </c>
      <c r="M288" s="92" t="inlineStr">
        <is>
          <t>Ideal 18-32k</t>
        </is>
      </c>
      <c r="N288" s="92" t="inlineStr">
        <is>
          <t>A</t>
        </is>
      </c>
      <c r="O288" s="92" t="inlineStr">
        <is>
          <t>Regular .045-.055</t>
        </is>
      </c>
      <c r="P288" s="92" t="inlineStr">
        <is>
          <t>Moderate</t>
        </is>
      </c>
      <c r="Q288" s="92" t="inlineStr">
        <is>
          <t>Owner-occupied</t>
        </is>
      </c>
      <c r="R288" s="92" t="inlineStr">
        <is>
          <t>Operating entity</t>
        </is>
      </c>
      <c r="S288" s="92" t="n">
        <v>1</v>
      </c>
      <c r="T288" s="96">
        <f>INDEX('Scoring Method'!$B$6:$B$9,MATCH(M288,'Scoring Method'!$A$6:$A$9,0))+INDEX('Scoring Method'!$B$12:$B$16,MATCH(N288,'Scoring Method'!$A$12:$A$16,0))+INDEX('Scoring Method'!$B$19:$B$22,MATCH(O288,'Scoring Method'!$A$19:$A$22,0))+INDEX('Scoring Method'!$B$25:$B$27,MATCH(P288,'Scoring Method'!$A$25:$A$27,0))</f>
        <v/>
      </c>
      <c r="U288" s="96">
        <f>(INDEX('Scoring Method'!$B$30:$B$33,MATCH(Q288,'Scoring Method'!$A$30:$A$33,0))+INDEX('Scoring Method'!$B$36:$B$42,MATCH(R288,'Scoring Method'!$A$36:$A$42,0))+INDEX('Scoring Method'!$B$45:$B$47,MATCH(IF(S288=1,"1",IF(S288=2,"2","3+")),'Scoring Method'!$A$45:$A$47,0)))/90*100</f>
        <v/>
      </c>
      <c r="V288" s="96">
        <f>T288*U288/100</f>
        <v/>
      </c>
      <c r="W288" s="93" t="n">
        <v>10560</v>
      </c>
      <c r="X288" s="92" t="inlineStr">
        <is>
          <t>X (minimal hazard)</t>
        </is>
      </c>
      <c r="Y288" s="93" t="n">
        <v>17100</v>
      </c>
      <c r="Z288" s="97" t="n"/>
      <c r="AA288" s="98">
        <f>MAX(0,(Y288-5000)/300)</f>
        <v/>
      </c>
      <c r="AB288" s="92" t="n"/>
      <c r="AC288" s="92" t="n"/>
      <c r="AD288" s="92" t="n"/>
      <c r="AE288" s="92" t="inlineStr">
        <is>
          <t>Oversize 6-12k</t>
        </is>
      </c>
      <c r="AF288" s="96">
        <f>INDEX('Scoring Method'!$B$63:$B$71,MATCH(AE288,'Scoring Method'!$A$63:$A$71,0))+INDEX('Scoring Method'!$B$75:$B$79,MATCH("Ample &gt;=15k",'Scoring Method'!$A$75:$A$79,0))+INDEX('Scoring Method'!$B$343:$B$347,MATCH(X288,'Scoring Method'!$A$343:$A$347,0))+INDEX('Scoring Method'!$B$25:$B$27,MATCH(P288,'Scoring Method'!$A$25:$A$27,0))</f>
        <v/>
      </c>
      <c r="AG288" s="96">
        <f>AF288*U288/100</f>
        <v/>
      </c>
      <c r="AH288" s="92" t="inlineStr">
        <is>
          <t>LINK-GIS + LoopNet (2026-08-02)</t>
        </is>
      </c>
      <c r="AI288" s="99" t="n">
        <v>39.07758</v>
      </c>
      <c r="AJ288" s="99" t="n">
        <v>-84.52312000000001</v>
      </c>
      <c r="AK288" s="94" t="n">
        <v>0.55</v>
      </c>
      <c r="AL288" s="94" t="n">
        <v>1.21</v>
      </c>
      <c r="AM288" s="94" t="n">
        <v>1.75</v>
      </c>
      <c r="AN288" s="94" t="n">
        <v>0.55</v>
      </c>
      <c r="AO288" s="92" t="inlineStr">
        <is>
          <t>Near 0.35-0.75mi</t>
        </is>
      </c>
      <c r="AP288" s="92" t="inlineStr">
        <is>
          <t>Open span</t>
        </is>
      </c>
      <c r="AQ288" s="92" t="inlineStr">
        <is>
          <t>Ample &gt;=15k</t>
        </is>
      </c>
      <c r="AR288" s="100" t="n"/>
      <c r="AS288" s="96">
        <f>ROUND(INDEX('Scoring Method'!$B$63:$B$70,MATCH(AE288,'Scoring Method'!$A$63:$A$70,0))*0.625+INDEX('Scoring Method'!$B$105:$B$113,MATCH(AP288,'Scoring Method'!$A$105:$A$113,0))+INDEX('Scoring Method'!$B$74:$B$78,MATCH(AQ288,'Scoring Method'!$A$74:$A$78,0))*0.6667+INDEX('Scoring Method'!$B$96:$B$101,MATCH(AO288,'Scoring Method'!$A$96:$A$101,0))+INDEX('Scoring Method'!$B$343:$B$347,MATCH(X288,'Scoring Method'!$A$343:$A$347,0))*0.3333+INDEX('Scoring Method'!$B$25:$B$27,MATCH(P288,'Scoring Method'!$A$25:$A$27,0))*0.3333,1)</f>
        <v/>
      </c>
      <c r="AT288" s="96">
        <f>AS288*U288/100</f>
        <v/>
      </c>
      <c r="AU288" s="92" t="inlineStr">
        <is>
          <t>Lewisburg</t>
        </is>
      </c>
      <c r="AV288" s="92" t="n">
        <v>65</v>
      </c>
      <c r="AW288" s="92" t="inlineStr">
        <is>
          <t>Sourced</t>
        </is>
      </c>
      <c r="AX288" s="92" t="inlineStr">
        <is>
          <t>Moderate 60-69</t>
        </is>
      </c>
      <c r="AY288" s="96">
        <f>ROUND(INDEX('Scoring Method'!$B$132:$B$140,MATCH(AE288,'Scoring Method'!$A$132:$A$140,0))+INDEX('Scoring Method'!$B$144:$B$152,MATCH(AP288,'Scoring Method'!$A$144:$A$152,0))+INDEX('Scoring Method'!$B$156:$B$160,MATCH(AQ288,'Scoring Method'!$A$156:$A$160,0))+INDEX('Scoring Method'!$B$164:$B$169,MATCH(AO288,'Scoring Method'!$A$164:$A$169,0))+INDEX('Scoring Method'!$B$173:$B$178,MATCH(AX288,'Scoring Method'!$A$173:$A$178,0))+INDEX('Scoring Method'!$B$349:$B$353,MATCH(X288,'Scoring Method'!$A$349:$A$353,0))+INDEX('Scoring Method'!$B$188:$B$190,MATCH(P288,'Scoring Method'!$A$188:$A$190,0)),1)</f>
        <v/>
      </c>
      <c r="AZ288" s="96">
        <f>AY288*U288/100</f>
        <v/>
      </c>
      <c r="BA288" s="92" t="inlineStr">
        <is>
          <t>Owner-occupied operator</t>
        </is>
      </c>
      <c r="BB288" s="94" t="n">
        <v>0.8</v>
      </c>
      <c r="BC288" s="92" t="inlineStr">
        <is>
          <t>Right-sized 0.35-0.75 AC</t>
        </is>
      </c>
      <c r="BD288" s="94" t="n">
        <v>1</v>
      </c>
      <c r="BE288" s="96">
        <f>ROUND(INDEX('Scoring Method'!$B$268:$B$276,MATCH(AE288,'Scoring Method'!$A$268:$A$276,0))+INDEX('Scoring Method'!$B$280:$B$288,MATCH(AP288,'Scoring Method'!$A$280:$A$288,0))+INDEX('Scoring Method'!$B$292:$B$296,MATCH(AQ288,'Scoring Method'!$A$292:$A$296,0))+INDEX('Scoring Method'!$B$300:$B$305,MATCH(AO288,'Scoring Method'!$A$300:$A$305,0))+INDEX('Scoring Method'!$B$309:$B$314,MATCH(AX288,'Scoring Method'!$A$309:$A$314,0))+INDEX('Scoring Method'!$B$337:$B$341,MATCH(X288,'Scoring Method'!$A$337:$A$341,0))+INDEX('Scoring Method'!$B$324:$B$326,MATCH(P288,'Scoring Method'!$A$324:$A$326,0)),1)</f>
        <v/>
      </c>
      <c r="BF288" s="96">
        <f>ROUND(INDEX('Scoring Method'!$B$268:$B$276,MATCH(AE288,'Scoring Method'!$A$268:$A$276,0))*BB288*BD288+INDEX('Scoring Method'!$B$280:$B$288,MATCH(AP288,'Scoring Method'!$A$280:$A$288,0))*BM288*BB288*BD288+INDEX('Scoring Method'!$B$292:$B$296,MATCH(AQ288,'Scoring Method'!$A$292:$A$296,0))*BD288+INDEX('Scoring Method'!$B$300:$B$305,MATCH(AO288,'Scoring Method'!$A$300:$A$305,0))*BM288*BB288+INDEX('Scoring Method'!$B$309:$B$314,MATCH(AX288,'Scoring Method'!$A$309:$A$314,0))+INDEX('Scoring Method'!$B$337:$B$341,MATCH(X288,'Scoring Method'!$A$337:$A$341,0))+INDEX('Scoring Method'!$B$324:$B$326,MATCH(P288,'Scoring Method'!$A$324:$A$326,0)),1)</f>
        <v/>
      </c>
      <c r="BG288" s="92" t="inlineStr">
        <is>
          <t>Fits (~$9,680/mo)</t>
        </is>
      </c>
      <c r="BH288" s="61" t="inlineStr">
        <is>
          <t>SU</t>
        </is>
      </c>
      <c r="BI288" s="61" t="inlineStr">
        <is>
          <t>Semi-Urban Residential</t>
        </is>
      </c>
      <c r="BJ288" s="61" t="inlineStr"/>
      <c r="BK288" s="61" t="inlineStr"/>
      <c r="BL288" s="61" t="inlineStr">
        <is>
          <t>SU corner unverified</t>
        </is>
      </c>
      <c r="BM288" s="61">
        <f>INDEX('Scoring Method'!$B$358:$B$363,MATCH(BL288,'Scoring Method'!$A$358:$A$363,0))</f>
        <v/>
      </c>
    </row>
    <row r="289" ht="15" customHeight="1" s="62">
      <c r="A289" s="92" t="n">
        <v>288</v>
      </c>
      <c r="B289" s="92" t="inlineStr">
        <is>
          <t>040-30-00-070.01</t>
        </is>
      </c>
      <c r="C289" s="92" t="inlineStr">
        <is>
          <t>829 HIGHWAY AVE</t>
        </is>
      </c>
      <c r="D289" s="92" t="inlineStr">
        <is>
          <t>SAFEGUARD MANAGEMENT LLC</t>
        </is>
      </c>
      <c r="E289" s="92" t="inlineStr">
        <is>
          <t>2335 BUTTERMILK XING #159</t>
        </is>
      </c>
      <c r="F289" s="92" t="inlineStr">
        <is>
          <t>CRESCENT SPRINGS</t>
        </is>
      </c>
      <c r="G289" s="92" t="inlineStr">
        <is>
          <t>KY</t>
        </is>
      </c>
      <c r="H289" s="92" t="inlineStr">
        <is>
          <t>OFFICE BLDG 1 OR 2 STORY</t>
        </is>
      </c>
      <c r="I289" s="93" t="n">
        <v>9285</v>
      </c>
      <c r="J289" s="94">
        <f>I289/43560</f>
        <v/>
      </c>
      <c r="K289" s="93" t="n">
        <v>470</v>
      </c>
      <c r="L289" s="95">
        <f>I289/(K289^2)</f>
        <v/>
      </c>
      <c r="M289" s="92" t="inlineStr">
        <is>
          <t>Poor &lt;10k/&gt;60k</t>
        </is>
      </c>
      <c r="N289" s="92" t="inlineStr">
        <is>
          <t>E</t>
        </is>
      </c>
      <c r="O289" s="92" t="inlineStr">
        <is>
          <t>Elongated .035-.045</t>
        </is>
      </c>
      <c r="P289" s="92" t="inlineStr">
        <is>
          <t>Low</t>
        </is>
      </c>
      <c r="Q289" s="92" t="inlineStr">
        <is>
          <t>Out-of-city KY</t>
        </is>
      </c>
      <c r="R289" s="92" t="inlineStr">
        <is>
          <t>Passive vehicle</t>
        </is>
      </c>
      <c r="S289" s="92" t="n">
        <v>1</v>
      </c>
      <c r="T289" s="96">
        <f>INDEX('Scoring Method'!$B$6:$B$9,MATCH(M289,'Scoring Method'!$A$6:$A$9,0))+INDEX('Scoring Method'!$B$12:$B$16,MATCH(N289,'Scoring Method'!$A$12:$A$16,0))+INDEX('Scoring Method'!$B$19:$B$22,MATCH(O289,'Scoring Method'!$A$19:$A$22,0))+INDEX('Scoring Method'!$B$25:$B$27,MATCH(P289,'Scoring Method'!$A$25:$A$27,0))</f>
        <v/>
      </c>
      <c r="U289" s="96">
        <f>(INDEX('Scoring Method'!$B$30:$B$33,MATCH(Q289,'Scoring Method'!$A$30:$A$33,0))+INDEX('Scoring Method'!$B$36:$B$42,MATCH(R289,'Scoring Method'!$A$36:$A$42,0))+INDEX('Scoring Method'!$B$45:$B$47,MATCH(IF(S289=1,"1",IF(S289=2,"2","3+")),'Scoring Method'!$A$45:$A$47,0)))/90*100</f>
        <v/>
      </c>
      <c r="V289" s="96">
        <f>T289*U289/100</f>
        <v/>
      </c>
      <c r="W289" s="93" t="n">
        <v>1210</v>
      </c>
      <c r="X289" s="92" t="inlineStr">
        <is>
          <t>X (minimal hazard)</t>
        </is>
      </c>
      <c r="Y289" s="93" t="n">
        <v>7100</v>
      </c>
      <c r="Z289" s="97" t="n"/>
      <c r="AA289" s="98">
        <f>MAX(0,(Y289-5000)/300)</f>
        <v/>
      </c>
      <c r="AB289" s="92" t="n"/>
      <c r="AC289" s="92" t="n"/>
      <c r="AD289" s="92" t="n"/>
      <c r="AE289" s="92" t="inlineStr">
        <is>
          <t>Below 1.2-1.5k</t>
        </is>
      </c>
      <c r="AF289" s="96">
        <f>INDEX('Scoring Method'!$B$63:$B$71,MATCH(AE289,'Scoring Method'!$A$63:$A$71,0))+INDEX('Scoring Method'!$B$75:$B$79,MATCH("Adequate 5-8k",'Scoring Method'!$A$75:$A$79,0))+INDEX('Scoring Method'!$B$343:$B$347,MATCH(X289,'Scoring Method'!$A$343:$A$347,0))+INDEX('Scoring Method'!$B$25:$B$27,MATCH(P289,'Scoring Method'!$A$25:$A$27,0))</f>
        <v/>
      </c>
      <c r="AG289" s="96">
        <f>AF289*U289/100</f>
        <v/>
      </c>
      <c r="AH289" s="92" t="inlineStr">
        <is>
          <t>LINK-GIS only</t>
        </is>
      </c>
      <c r="AI289" s="99" t="n">
        <v>39.08891</v>
      </c>
      <c r="AJ289" s="99" t="n">
        <v>-84.52674</v>
      </c>
      <c r="AK289" s="94" t="n">
        <v>0.57</v>
      </c>
      <c r="AL289" s="94" t="n">
        <v>0.99</v>
      </c>
      <c r="AM289" s="94" t="n">
        <v>1.16</v>
      </c>
      <c r="AN289" s="94" t="n">
        <v>0.57</v>
      </c>
      <c r="AO289" s="92" t="inlineStr">
        <is>
          <t>Near 0.35-0.75mi</t>
        </is>
      </c>
      <c r="AP289" s="92" t="inlineStr">
        <is>
          <t>Office/institutional</t>
        </is>
      </c>
      <c r="AQ289" s="92" t="inlineStr">
        <is>
          <t>Adequate 5-8k</t>
        </is>
      </c>
      <c r="AR289" s="100" t="n"/>
      <c r="AS289" s="96">
        <f>ROUND(INDEX('Scoring Method'!$B$63:$B$70,MATCH(AE289,'Scoring Method'!$A$63:$A$70,0))*0.625+INDEX('Scoring Method'!$B$105:$B$113,MATCH(AP289,'Scoring Method'!$A$105:$A$113,0))+INDEX('Scoring Method'!$B$74:$B$78,MATCH(AQ289,'Scoring Method'!$A$74:$A$78,0))*0.6667+INDEX('Scoring Method'!$B$96:$B$101,MATCH(AO289,'Scoring Method'!$A$96:$A$101,0))+INDEX('Scoring Method'!$B$343:$B$347,MATCH(X289,'Scoring Method'!$A$343:$A$347,0))*0.3333+INDEX('Scoring Method'!$B$25:$B$27,MATCH(P289,'Scoring Method'!$A$25:$A$27,0))*0.3333,1)</f>
        <v/>
      </c>
      <c r="AT289" s="96">
        <f>AS289*U289/100</f>
        <v/>
      </c>
      <c r="AU289" s="92" t="inlineStr">
        <is>
          <t>Botany Hills / Riverfront West</t>
        </is>
      </c>
      <c r="AV289" s="92" t="n">
        <v>45</v>
      </c>
      <c r="AW289" s="101" t="inlineStr">
        <is>
          <t>ESTIMATED</t>
        </is>
      </c>
      <c r="AX289" s="92" t="inlineStr">
        <is>
          <t>Mixed 45-59</t>
        </is>
      </c>
      <c r="AY289" s="96">
        <f>ROUND(INDEX('Scoring Method'!$B$132:$B$140,MATCH(AE289,'Scoring Method'!$A$132:$A$140,0))+INDEX('Scoring Method'!$B$144:$B$152,MATCH(AP289,'Scoring Method'!$A$144:$A$152,0))+INDEX('Scoring Method'!$B$156:$B$160,MATCH(AQ289,'Scoring Method'!$A$156:$A$160,0))+INDEX('Scoring Method'!$B$164:$B$169,MATCH(AO289,'Scoring Method'!$A$164:$A$169,0))+INDEX('Scoring Method'!$B$173:$B$178,MATCH(AX289,'Scoring Method'!$A$173:$A$178,0))+INDEX('Scoring Method'!$B$349:$B$353,MATCH(X289,'Scoring Method'!$A$349:$A$353,0))+INDEX('Scoring Method'!$B$188:$B$190,MATCH(P289,'Scoring Method'!$A$188:$A$190,0)),1)</f>
        <v/>
      </c>
      <c r="AZ289" s="96">
        <f>AY289*U289/100</f>
        <v/>
      </c>
      <c r="BA289" s="92" t="inlineStr">
        <is>
          <t>No chain signal</t>
        </is>
      </c>
      <c r="BB289" s="94" t="n">
        <v>1</v>
      </c>
      <c r="BC289" s="103" t="inlineStr">
        <is>
          <t>Extra small 0.15-0.25 AC</t>
        </is>
      </c>
      <c r="BD289" s="94" t="n">
        <v>0.8</v>
      </c>
      <c r="BE289" s="96">
        <f>ROUND(INDEX('Scoring Method'!$B$268:$B$276,MATCH(AE289,'Scoring Method'!$A$268:$A$276,0))+INDEX('Scoring Method'!$B$280:$B$288,MATCH(AP289,'Scoring Method'!$A$280:$A$288,0))+INDEX('Scoring Method'!$B$292:$B$296,MATCH(AQ289,'Scoring Method'!$A$292:$A$296,0))+INDEX('Scoring Method'!$B$300:$B$305,MATCH(AO289,'Scoring Method'!$A$300:$A$305,0))+INDEX('Scoring Method'!$B$309:$B$314,MATCH(AX289,'Scoring Method'!$A$309:$A$314,0))+INDEX('Scoring Method'!$B$337:$B$341,MATCH(X289,'Scoring Method'!$A$337:$A$341,0))+INDEX('Scoring Method'!$B$324:$B$326,MATCH(P289,'Scoring Method'!$A$324:$A$326,0)),1)</f>
        <v/>
      </c>
      <c r="BF289" s="96">
        <f>ROUND(INDEX('Scoring Method'!$B$268:$B$276,MATCH(AE289,'Scoring Method'!$A$268:$A$276,0))*BB289*BD289+INDEX('Scoring Method'!$B$280:$B$288,MATCH(AP289,'Scoring Method'!$A$280:$A$288,0))*BM289*BB289*BD289+INDEX('Scoring Method'!$B$292:$B$296,MATCH(AQ289,'Scoring Method'!$A$292:$A$296,0))*BD289+INDEX('Scoring Method'!$B$300:$B$305,MATCH(AO289,'Scoring Method'!$A$300:$A$305,0))*BM289*BB289+INDEX('Scoring Method'!$B$309:$B$314,MATCH(AX289,'Scoring Method'!$A$309:$A$314,0))+INDEX('Scoring Method'!$B$337:$B$341,MATCH(X289,'Scoring Method'!$A$337:$A$341,0))+INDEX('Scoring Method'!$B$324:$B$326,MATCH(P289,'Scoring Method'!$A$324:$A$326,0)),1)</f>
        <v/>
      </c>
      <c r="BG289" s="92" t="inlineStr">
        <is>
          <t>Fits (~$1,109/mo)</t>
        </is>
      </c>
      <c r="BH289" s="61" t="inlineStr">
        <is>
          <t>SU</t>
        </is>
      </c>
      <c r="BI289" s="61" t="inlineStr">
        <is>
          <t>Semi-Urban Residential</t>
        </is>
      </c>
      <c r="BJ289" s="61" t="inlineStr"/>
      <c r="BK289" s="61" t="inlineStr"/>
      <c r="BL289" s="61" t="inlineStr">
        <is>
          <t>SU corner unverified</t>
        </is>
      </c>
      <c r="BM289" s="61">
        <f>INDEX('Scoring Method'!$B$358:$B$363,MATCH(BL289,'Scoring Method'!$A$358:$A$363,0))</f>
        <v/>
      </c>
    </row>
    <row r="290" ht="15" customHeight="1" s="62">
      <c r="A290" s="92" t="n">
        <v>289</v>
      </c>
      <c r="B290" s="92" t="inlineStr">
        <is>
          <t>054-21-23-009.00</t>
        </is>
      </c>
      <c r="C290" s="92" t="inlineStr">
        <is>
          <t>619 MADISON AVE</t>
        </is>
      </c>
      <c r="D290" s="92" t="inlineStr">
        <is>
          <t>MUTUAL BUILDING LLC</t>
        </is>
      </c>
      <c r="E290" s="92" t="inlineStr">
        <is>
          <t>25 W ROBBINS ST</t>
        </is>
      </c>
      <c r="F290" s="92" t="inlineStr">
        <is>
          <t>COVINGTON</t>
        </is>
      </c>
      <c r="G290" s="92" t="inlineStr">
        <is>
          <t>KY</t>
        </is>
      </c>
      <c r="H290" s="92" t="inlineStr">
        <is>
          <t>MIXED USE</t>
        </is>
      </c>
      <c r="I290" s="93" t="n">
        <v>8479</v>
      </c>
      <c r="J290" s="94">
        <f>I290/43560</f>
        <v/>
      </c>
      <c r="K290" s="93" t="n">
        <v>381.8</v>
      </c>
      <c r="L290" s="95">
        <f>I290/(K290^2)</f>
        <v/>
      </c>
      <c r="M290" s="92" t="inlineStr">
        <is>
          <t>Poor &lt;10k/&gt;60k</t>
        </is>
      </c>
      <c r="N290" s="92" t="inlineStr">
        <is>
          <t>C</t>
        </is>
      </c>
      <c r="O290" s="92" t="inlineStr">
        <is>
          <t>Compact &gt;=.055</t>
        </is>
      </c>
      <c r="P290" s="92" t="inlineStr">
        <is>
          <t>Low</t>
        </is>
      </c>
      <c r="Q290" s="92" t="inlineStr">
        <is>
          <t>Local absentee</t>
        </is>
      </c>
      <c r="R290" s="92" t="inlineStr">
        <is>
          <t>Operating entity</t>
        </is>
      </c>
      <c r="S290" s="92" t="n">
        <v>1</v>
      </c>
      <c r="T290" s="96">
        <f>INDEX('Scoring Method'!$B$6:$B$9,MATCH(M290,'Scoring Method'!$A$6:$A$9,0))+INDEX('Scoring Method'!$B$12:$B$16,MATCH(N290,'Scoring Method'!$A$12:$A$16,0))+INDEX('Scoring Method'!$B$19:$B$22,MATCH(O290,'Scoring Method'!$A$19:$A$22,0))+INDEX('Scoring Method'!$B$25:$B$27,MATCH(P290,'Scoring Method'!$A$25:$A$27,0))</f>
        <v/>
      </c>
      <c r="U290" s="96">
        <f>(INDEX('Scoring Method'!$B$30:$B$33,MATCH(Q290,'Scoring Method'!$A$30:$A$33,0))+INDEX('Scoring Method'!$B$36:$B$42,MATCH(R290,'Scoring Method'!$A$36:$A$42,0))+INDEX('Scoring Method'!$B$45:$B$47,MATCH(IF(S290=1,"1",IF(S290=2,"2","3+")),'Scoring Method'!$A$45:$A$47,0)))/90*100</f>
        <v/>
      </c>
      <c r="V290" s="96">
        <f>T290*U290/100</f>
        <v/>
      </c>
      <c r="W290" s="93" t="n">
        <v>13074</v>
      </c>
      <c r="X290" s="92" t="inlineStr">
        <is>
          <t>X (minimal hazard)</t>
        </is>
      </c>
      <c r="Y290" s="93" t="n">
        <v>0</v>
      </c>
      <c r="Z290" s="97">
        <f>W290/I290</f>
        <v/>
      </c>
      <c r="AA290" s="98">
        <f>MAX(0,(Y290-5000)/300)</f>
        <v/>
      </c>
      <c r="AB290" s="92" t="n"/>
      <c r="AC290" s="92" t="n">
        <v>0.22</v>
      </c>
      <c r="AD290" s="92" t="inlineStr">
        <is>
          <t>ok</t>
        </is>
      </c>
      <c r="AE290" s="92" t="inlineStr">
        <is>
          <t>Far oversize &gt;12k</t>
        </is>
      </c>
      <c r="AF290" s="96">
        <f>INDEX('Scoring Method'!$B$63:$B$71,MATCH(AE290,'Scoring Method'!$A$63:$A$71,0))+INDEX('Scoring Method'!$B$75:$B$79,MATCH("Insufficient &lt;2k",'Scoring Method'!$A$75:$A$79,0))+INDEX('Scoring Method'!$B$343:$B$347,MATCH(X290,'Scoring Method'!$A$343:$A$347,0))+INDEX('Scoring Method'!$B$25:$B$27,MATCH(P290,'Scoring Method'!$A$25:$A$27,0))</f>
        <v/>
      </c>
      <c r="AG290" s="96">
        <f>AF290*U290/100</f>
        <v/>
      </c>
      <c r="AH290" s="92" t="inlineStr">
        <is>
          <t>LINK-GIS + LoopNet</t>
        </is>
      </c>
      <c r="AI290" s="99" t="n">
        <v>39.08376</v>
      </c>
      <c r="AJ290" s="99" t="n">
        <v>-84.51045000000001</v>
      </c>
      <c r="AK290" s="94" t="n">
        <v>0.4</v>
      </c>
      <c r="AL290" s="94" t="n">
        <v>0.5</v>
      </c>
      <c r="AM290" s="94" t="n">
        <v>1.23</v>
      </c>
      <c r="AN290" s="94" t="n">
        <v>0.04</v>
      </c>
      <c r="AO290" s="92" t="inlineStr">
        <is>
          <t>Core &lt;=0.35mi</t>
        </is>
      </c>
      <c r="AP290" s="92" t="inlineStr">
        <is>
          <t>Retail shell</t>
        </is>
      </c>
      <c r="AQ290" s="92" t="inlineStr">
        <is>
          <t>Insufficient &lt;2k</t>
        </is>
      </c>
      <c r="AR290" s="100" t="n"/>
      <c r="AS290" s="96">
        <f>ROUND(INDEX('Scoring Method'!$B$63:$B$70,MATCH(AE290,'Scoring Method'!$A$63:$A$70,0))*0.625+INDEX('Scoring Method'!$B$105:$B$113,MATCH(AP290,'Scoring Method'!$A$105:$A$113,0))+INDEX('Scoring Method'!$B$74:$B$78,MATCH(AQ290,'Scoring Method'!$A$74:$A$78,0))*0.6667+INDEX('Scoring Method'!$B$96:$B$101,MATCH(AO290,'Scoring Method'!$A$96:$A$101,0))+INDEX('Scoring Method'!$B$343:$B$347,MATCH(X290,'Scoring Method'!$A$343:$A$347,0))*0.3333+INDEX('Scoring Method'!$B$25:$B$27,MATCH(P290,'Scoring Method'!$A$25:$A$27,0))*0.3333,1)</f>
        <v/>
      </c>
      <c r="AT290" s="96">
        <f>AS290*U290/100</f>
        <v/>
      </c>
      <c r="AU290" s="92" t="inlineStr">
        <is>
          <t>Central Business District</t>
        </is>
      </c>
      <c r="AV290" s="92" t="n">
        <v>48</v>
      </c>
      <c r="AW290" s="101" t="inlineStr">
        <is>
          <t>ESTIMATED</t>
        </is>
      </c>
      <c r="AX290" s="92" t="inlineStr">
        <is>
          <t>Mixed 45-59</t>
        </is>
      </c>
      <c r="AY290" s="96">
        <f>ROUND(INDEX('Scoring Method'!$B$132:$B$140,MATCH(AE290,'Scoring Method'!$A$132:$A$140,0))+INDEX('Scoring Method'!$B$144:$B$152,MATCH(AP290,'Scoring Method'!$A$144:$A$152,0))+INDEX('Scoring Method'!$B$156:$B$160,MATCH(AQ290,'Scoring Method'!$A$156:$A$160,0))+INDEX('Scoring Method'!$B$164:$B$169,MATCH(AO290,'Scoring Method'!$A$164:$A$169,0))+INDEX('Scoring Method'!$B$173:$B$178,MATCH(AX290,'Scoring Method'!$A$173:$A$178,0))+INDEX('Scoring Method'!$B$349:$B$353,MATCH(X290,'Scoring Method'!$A$349:$A$353,0))+INDEX('Scoring Method'!$B$188:$B$190,MATCH(P290,'Scoring Method'!$A$188:$A$190,0)),1)</f>
        <v/>
      </c>
      <c r="AZ290" s="96">
        <f>AY290*U290/100</f>
        <v/>
      </c>
      <c r="BA290" s="92" t="inlineStr">
        <is>
          <t>No chain signal</t>
        </is>
      </c>
      <c r="BB290" s="94" t="n">
        <v>1</v>
      </c>
      <c r="BC290" s="103" t="inlineStr">
        <is>
          <t>Extra small 0.15-0.25 AC</t>
        </is>
      </c>
      <c r="BD290" s="94" t="n">
        <v>0.8</v>
      </c>
      <c r="BE290" s="96">
        <f>ROUND(INDEX('Scoring Method'!$B$268:$B$276,MATCH(AE290,'Scoring Method'!$A$268:$A$276,0))+INDEX('Scoring Method'!$B$280:$B$288,MATCH(AP290,'Scoring Method'!$A$280:$A$288,0))+INDEX('Scoring Method'!$B$292:$B$296,MATCH(AQ290,'Scoring Method'!$A$292:$A$296,0))+INDEX('Scoring Method'!$B$300:$B$305,MATCH(AO290,'Scoring Method'!$A$300:$A$305,0))+INDEX('Scoring Method'!$B$309:$B$314,MATCH(AX290,'Scoring Method'!$A$309:$A$314,0))+INDEX('Scoring Method'!$B$337:$B$341,MATCH(X290,'Scoring Method'!$A$337:$A$341,0))+INDEX('Scoring Method'!$B$324:$B$326,MATCH(P290,'Scoring Method'!$A$324:$A$326,0)),1)</f>
        <v/>
      </c>
      <c r="BF290" s="96">
        <f>ROUND(INDEX('Scoring Method'!$B$268:$B$276,MATCH(AE290,'Scoring Method'!$A$268:$A$276,0))*BB290*BD290+INDEX('Scoring Method'!$B$280:$B$288,MATCH(AP290,'Scoring Method'!$A$280:$A$288,0))*BM290*BB290*BD290+INDEX('Scoring Method'!$B$292:$B$296,MATCH(AQ290,'Scoring Method'!$A$292:$A$296,0))*BD290+INDEX('Scoring Method'!$B$300:$B$305,MATCH(AO290,'Scoring Method'!$A$300:$A$305,0))*BM290*BB290+INDEX('Scoring Method'!$B$309:$B$314,MATCH(AX290,'Scoring Method'!$A$309:$A$314,0))+INDEX('Scoring Method'!$B$337:$B$341,MATCH(X290,'Scoring Method'!$A$337:$A$341,0))+INDEX('Scoring Method'!$B$324:$B$326,MATCH(P290,'Scoring Method'!$A$324:$A$326,0)),1)</f>
        <v/>
      </c>
      <c r="BG290" s="102" t="inlineStr">
        <is>
          <t>Over (~$11,984/mo)</t>
        </is>
      </c>
      <c r="BH290" s="61" t="inlineStr">
        <is>
          <t>DTC (HP)</t>
        </is>
      </c>
      <c r="BI290" s="61" t="inlineStr">
        <is>
          <t>Downtown Core</t>
        </is>
      </c>
      <c r="BJ290" s="61" t="inlineStr">
        <is>
          <t>HP</t>
        </is>
      </c>
      <c r="BK290" s="61" t="inlineStr"/>
      <c r="BL290" s="61" t="inlineStr">
        <is>
          <t>Bar permitted</t>
        </is>
      </c>
      <c r="BM290" s="61">
        <f>INDEX('Scoring Method'!$B$358:$B$363,MATCH(BL290,'Scoring Method'!$A$358:$A$363,0))</f>
        <v/>
      </c>
    </row>
    <row r="291" ht="15" customHeight="1" s="62">
      <c r="A291" s="92" t="n">
        <v>290</v>
      </c>
      <c r="B291" s="92" t="inlineStr">
        <is>
          <t>055-23-20-001.00</t>
        </is>
      </c>
      <c r="C291" s="92" t="inlineStr">
        <is>
          <t>2438 MADISON AVE</t>
        </is>
      </c>
      <c r="D291" s="92" t="inlineStr">
        <is>
          <t>PRESTIGE AUTO SALES INC</t>
        </is>
      </c>
      <c r="E291" s="92" t="inlineStr">
        <is>
          <t>1642 BRANDON DR</t>
        </is>
      </c>
      <c r="F291" s="92" t="inlineStr">
        <is>
          <t>HEBRON</t>
        </is>
      </c>
      <c r="G291" s="92" t="inlineStr">
        <is>
          <t>KY</t>
        </is>
      </c>
      <c r="H291" s="92" t="inlineStr">
        <is>
          <t>USED CAR LOT</t>
        </is>
      </c>
      <c r="I291" s="93" t="n">
        <v>9056</v>
      </c>
      <c r="J291" s="94">
        <f>I291/43560</f>
        <v/>
      </c>
      <c r="K291" s="93" t="n">
        <v>445.2</v>
      </c>
      <c r="L291" s="95">
        <f>I291/(K291^2)</f>
        <v/>
      </c>
      <c r="M291" s="92" t="inlineStr">
        <is>
          <t>Poor &lt;10k/&gt;60k</t>
        </is>
      </c>
      <c r="N291" s="92" t="inlineStr">
        <is>
          <t>C</t>
        </is>
      </c>
      <c r="O291" s="92" t="inlineStr">
        <is>
          <t>Regular .045-.055</t>
        </is>
      </c>
      <c r="P291" s="92" t="inlineStr">
        <is>
          <t>Moderate</t>
        </is>
      </c>
      <c r="Q291" s="92" t="inlineStr">
        <is>
          <t>Out-of-city KY</t>
        </is>
      </c>
      <c r="R291" s="92" t="inlineStr">
        <is>
          <t>Operating entity</t>
        </is>
      </c>
      <c r="S291" s="92" t="n">
        <v>1</v>
      </c>
      <c r="T291" s="96">
        <f>INDEX('Scoring Method'!$B$6:$B$9,MATCH(M291,'Scoring Method'!$A$6:$A$9,0))+INDEX('Scoring Method'!$B$12:$B$16,MATCH(N291,'Scoring Method'!$A$12:$A$16,0))+INDEX('Scoring Method'!$B$19:$B$22,MATCH(O291,'Scoring Method'!$A$19:$A$22,0))+INDEX('Scoring Method'!$B$25:$B$27,MATCH(P291,'Scoring Method'!$A$25:$A$27,0))</f>
        <v/>
      </c>
      <c r="U291" s="96">
        <f>(INDEX('Scoring Method'!$B$30:$B$33,MATCH(Q291,'Scoring Method'!$A$30:$A$33,0))+INDEX('Scoring Method'!$B$36:$B$42,MATCH(R291,'Scoring Method'!$A$36:$A$42,0))+INDEX('Scoring Method'!$B$45:$B$47,MATCH(IF(S291=1,"1",IF(S291=2,"2","3+")),'Scoring Method'!$A$45:$A$47,0)))/90*100</f>
        <v/>
      </c>
      <c r="V291" s="96">
        <f>T291*U291/100</f>
        <v/>
      </c>
      <c r="W291" s="93" t="n">
        <v>1318</v>
      </c>
      <c r="X291" s="92" t="inlineStr">
        <is>
          <t>X (minimal hazard)</t>
        </is>
      </c>
      <c r="Y291" s="93" t="n">
        <v>6525</v>
      </c>
      <c r="Z291" s="97" t="n"/>
      <c r="AA291" s="98">
        <f>MAX(0,(Y291-5000)/300)</f>
        <v/>
      </c>
      <c r="AB291" s="92" t="n"/>
      <c r="AC291" s="92" t="n"/>
      <c r="AD291" s="92" t="n"/>
      <c r="AE291" s="92" t="inlineStr">
        <is>
          <t>Below 1.2-1.5k</t>
        </is>
      </c>
      <c r="AF291" s="96">
        <f>INDEX('Scoring Method'!$B$63:$B$71,MATCH(AE291,'Scoring Method'!$A$63:$A$71,0))+INDEX('Scoring Method'!$B$75:$B$79,MATCH("Adequate 5-8k",'Scoring Method'!$A$75:$A$79,0))+INDEX('Scoring Method'!$B$343:$B$347,MATCH(X291,'Scoring Method'!$A$343:$A$347,0))+INDEX('Scoring Method'!$B$25:$B$27,MATCH(P291,'Scoring Method'!$A$25:$A$27,0))</f>
        <v/>
      </c>
      <c r="AG291" s="96">
        <f>AF291*U291/100</f>
        <v/>
      </c>
      <c r="AH291" s="92" t="inlineStr">
        <is>
          <t>LINK-GIS + LoopNet (2026-08-03)</t>
        </is>
      </c>
      <c r="AI291" s="99" t="n">
        <v>39.06128</v>
      </c>
      <c r="AJ291" s="99" t="n">
        <v>-84.50407</v>
      </c>
      <c r="AK291" s="94" t="n">
        <v>1.76</v>
      </c>
      <c r="AL291" s="94" t="n">
        <v>2.06</v>
      </c>
      <c r="AM291" s="94" t="n">
        <v>2.81</v>
      </c>
      <c r="AN291" s="94" t="n">
        <v>1.61</v>
      </c>
      <c r="AO291" s="92" t="inlineStr">
        <is>
          <t>Outer 1.25-2mi</t>
        </is>
      </c>
      <c r="AP291" s="92" t="inlineStr">
        <is>
          <t>Lot / minimal bldg</t>
        </is>
      </c>
      <c r="AQ291" s="92" t="inlineStr">
        <is>
          <t>Adequate 5-8k</t>
        </is>
      </c>
      <c r="AR291" s="100" t="n"/>
      <c r="AS291" s="96">
        <f>ROUND(INDEX('Scoring Method'!$B$63:$B$70,MATCH(AE291,'Scoring Method'!$A$63:$A$70,0))*0.625+INDEX('Scoring Method'!$B$105:$B$113,MATCH(AP291,'Scoring Method'!$A$105:$A$113,0))+INDEX('Scoring Method'!$B$74:$B$78,MATCH(AQ291,'Scoring Method'!$A$74:$A$78,0))*0.6667+INDEX('Scoring Method'!$B$96:$B$101,MATCH(AO291,'Scoring Method'!$A$96:$A$101,0))+INDEX('Scoring Method'!$B$343:$B$347,MATCH(X291,'Scoring Method'!$A$343:$A$347,0))*0.3333+INDEX('Scoring Method'!$B$25:$B$27,MATCH(P291,'Scoring Method'!$A$25:$A$27,0))*0.3333,1)</f>
        <v/>
      </c>
      <c r="AT291" s="96">
        <f>AS291*U291/100</f>
        <v/>
      </c>
      <c r="AU291" s="92" t="inlineStr">
        <is>
          <t>Levassor Park</t>
        </is>
      </c>
      <c r="AV291" s="92" t="n">
        <v>42</v>
      </c>
      <c r="AW291" s="101" t="inlineStr">
        <is>
          <t>ESTIMATED</t>
        </is>
      </c>
      <c r="AX291" s="92" t="inlineStr">
        <is>
          <t>Elevated 35-44</t>
        </is>
      </c>
      <c r="AY291" s="96">
        <f>ROUND(INDEX('Scoring Method'!$B$132:$B$140,MATCH(AE291,'Scoring Method'!$A$132:$A$140,0))+INDEX('Scoring Method'!$B$144:$B$152,MATCH(AP291,'Scoring Method'!$A$144:$A$152,0))+INDEX('Scoring Method'!$B$156:$B$160,MATCH(AQ291,'Scoring Method'!$A$156:$A$160,0))+INDEX('Scoring Method'!$B$164:$B$169,MATCH(AO291,'Scoring Method'!$A$164:$A$169,0))+INDEX('Scoring Method'!$B$173:$B$178,MATCH(AX291,'Scoring Method'!$A$173:$A$178,0))+INDEX('Scoring Method'!$B$349:$B$353,MATCH(X291,'Scoring Method'!$A$349:$A$353,0))+INDEX('Scoring Method'!$B$188:$B$190,MATCH(P291,'Scoring Method'!$A$188:$A$190,0)),1)</f>
        <v/>
      </c>
      <c r="AZ291" s="96">
        <f>AY291*U291/100</f>
        <v/>
      </c>
      <c r="BA291" s="92" t="inlineStr">
        <is>
          <t>No chain signal</t>
        </is>
      </c>
      <c r="BB291" s="94" t="n">
        <v>1</v>
      </c>
      <c r="BC291" s="103" t="inlineStr">
        <is>
          <t>Extra small 0.15-0.25 AC</t>
        </is>
      </c>
      <c r="BD291" s="94" t="n">
        <v>0.8</v>
      </c>
      <c r="BE291" s="96">
        <f>ROUND(INDEX('Scoring Method'!$B$268:$B$276,MATCH(AE291,'Scoring Method'!$A$268:$A$276,0))+INDEX('Scoring Method'!$B$280:$B$288,MATCH(AP291,'Scoring Method'!$A$280:$A$288,0))+INDEX('Scoring Method'!$B$292:$B$296,MATCH(AQ291,'Scoring Method'!$A$292:$A$296,0))+INDEX('Scoring Method'!$B$300:$B$305,MATCH(AO291,'Scoring Method'!$A$300:$A$305,0))+INDEX('Scoring Method'!$B$309:$B$314,MATCH(AX291,'Scoring Method'!$A$309:$A$314,0))+INDEX('Scoring Method'!$B$337:$B$341,MATCH(X291,'Scoring Method'!$A$337:$A$341,0))+INDEX('Scoring Method'!$B$324:$B$326,MATCH(P291,'Scoring Method'!$A$324:$A$326,0)),1)</f>
        <v/>
      </c>
      <c r="BF291" s="96">
        <f>ROUND(INDEX('Scoring Method'!$B$268:$B$276,MATCH(AE291,'Scoring Method'!$A$268:$A$276,0))*BB291*BD291+INDEX('Scoring Method'!$B$280:$B$288,MATCH(AP291,'Scoring Method'!$A$280:$A$288,0))*BM291*BB291*BD291+INDEX('Scoring Method'!$B$292:$B$296,MATCH(AQ291,'Scoring Method'!$A$292:$A$296,0))*BD291+INDEX('Scoring Method'!$B$300:$B$305,MATCH(AO291,'Scoring Method'!$A$300:$A$305,0))*BM291*BB291+INDEX('Scoring Method'!$B$309:$B$314,MATCH(AX291,'Scoring Method'!$A$309:$A$314,0))+INDEX('Scoring Method'!$B$337:$B$341,MATCH(X291,'Scoring Method'!$A$337:$A$341,0))+INDEX('Scoring Method'!$B$324:$B$326,MATCH(P291,'Scoring Method'!$A$324:$A$326,0)),1)</f>
        <v/>
      </c>
      <c r="BG291" s="92" t="inlineStr">
        <is>
          <t>Fits (~$1,208/mo)</t>
        </is>
      </c>
      <c r="BH291" s="61" t="inlineStr">
        <is>
          <t>SU</t>
        </is>
      </c>
      <c r="BI291" s="61" t="inlineStr">
        <is>
          <t>Semi-Urban Residential</t>
        </is>
      </c>
      <c r="BJ291" s="61" t="inlineStr"/>
      <c r="BK291" s="61" t="inlineStr"/>
      <c r="BL291" s="61" t="inlineStr">
        <is>
          <t>SU corner unverified</t>
        </is>
      </c>
      <c r="BM291" s="61">
        <f>INDEX('Scoring Method'!$B$358:$B$363,MATCH(BL291,'Scoring Method'!$A$358:$A$363,0))</f>
        <v/>
      </c>
    </row>
    <row r="292" ht="15" customHeight="1" s="62">
      <c r="A292" s="92" t="n">
        <v>291</v>
      </c>
      <c r="B292" s="92" t="inlineStr">
        <is>
          <t>054-21-17-012.00</t>
        </is>
      </c>
      <c r="C292" s="92" t="inlineStr">
        <is>
          <t>28 W 5TH ST</t>
        </is>
      </c>
      <c r="D292" s="92" t="inlineStr">
        <is>
          <t>EDMONDSON GARRY L</t>
        </is>
      </c>
      <c r="E292" s="92" t="inlineStr">
        <is>
          <t>28 W 5TH ST</t>
        </is>
      </c>
      <c r="F292" s="92" t="inlineStr">
        <is>
          <t>COVINGTON</t>
        </is>
      </c>
      <c r="G292" s="92" t="inlineStr">
        <is>
          <t>KY</t>
        </is>
      </c>
      <c r="H292" s="92" t="inlineStr">
        <is>
          <t>OFFICE BLDG 1 OR 2 STORY</t>
        </is>
      </c>
      <c r="I292" s="93" t="n">
        <v>13775</v>
      </c>
      <c r="J292" s="94">
        <f>I292/43560</f>
        <v/>
      </c>
      <c r="K292" s="93" t="n">
        <v>525</v>
      </c>
      <c r="L292" s="95">
        <f>I292/(K292^2)</f>
        <v/>
      </c>
      <c r="M292" s="92" t="inlineStr">
        <is>
          <t>Marginal 10-14k/45-60k</t>
        </is>
      </c>
      <c r="N292" s="92" t="inlineStr">
        <is>
          <t>E</t>
        </is>
      </c>
      <c r="O292" s="92" t="inlineStr">
        <is>
          <t>Regular .045-.055</t>
        </is>
      </c>
      <c r="P292" s="92" t="inlineStr">
        <is>
          <t>Low</t>
        </is>
      </c>
      <c r="Q292" s="92" t="inlineStr">
        <is>
          <t>Owner-occupied</t>
        </is>
      </c>
      <c r="R292" s="92" t="inlineStr">
        <is>
          <t>Individual</t>
        </is>
      </c>
      <c r="S292" s="92" t="n">
        <v>1</v>
      </c>
      <c r="T292" s="96">
        <f>INDEX('Scoring Method'!$B$6:$B$9,MATCH(M292,'Scoring Method'!$A$6:$A$9,0))+INDEX('Scoring Method'!$B$12:$B$16,MATCH(N292,'Scoring Method'!$A$12:$A$16,0))+INDEX('Scoring Method'!$B$19:$B$22,MATCH(O292,'Scoring Method'!$A$19:$A$22,0))+INDEX('Scoring Method'!$B$25:$B$27,MATCH(P292,'Scoring Method'!$A$25:$A$27,0))</f>
        <v/>
      </c>
      <c r="U292" s="96">
        <f>(INDEX('Scoring Method'!$B$30:$B$33,MATCH(Q292,'Scoring Method'!$A$30:$A$33,0))+INDEX('Scoring Method'!$B$36:$B$42,MATCH(R292,'Scoring Method'!$A$36:$A$42,0))+INDEX('Scoring Method'!$B$45:$B$47,MATCH(IF(S292=1,"1",IF(S292=2,"2","3+")),'Scoring Method'!$A$45:$A$47,0)))/90*100</f>
        <v/>
      </c>
      <c r="V292" s="96">
        <f>T292*U292/100</f>
        <v/>
      </c>
      <c r="W292" s="93" t="n">
        <v>4401</v>
      </c>
      <c r="X292" s="92" t="inlineStr">
        <is>
          <t>X (minimal hazard)</t>
        </is>
      </c>
      <c r="Y292" s="93" t="n">
        <v>7225</v>
      </c>
      <c r="Z292" s="97" t="n"/>
      <c r="AA292" s="98">
        <f>MAX(0,(Y292-5000)/300)</f>
        <v/>
      </c>
      <c r="AB292" s="92" t="n"/>
      <c r="AC292" s="92" t="n"/>
      <c r="AD292" s="92" t="n"/>
      <c r="AE292" s="92" t="inlineStr">
        <is>
          <t>Large 4-6k</t>
        </is>
      </c>
      <c r="AF292" s="96">
        <f>INDEX('Scoring Method'!$B$63:$B$71,MATCH(AE292,'Scoring Method'!$A$63:$A$71,0))+INDEX('Scoring Method'!$B$75:$B$79,MATCH("Adequate 5-8k",'Scoring Method'!$A$75:$A$79,0))+INDEX('Scoring Method'!$B$343:$B$347,MATCH(X292,'Scoring Method'!$A$343:$A$347,0))+INDEX('Scoring Method'!$B$25:$B$27,MATCH(P292,'Scoring Method'!$A$25:$A$27,0))</f>
        <v/>
      </c>
      <c r="AG292" s="96">
        <f>AF292*U292/100</f>
        <v/>
      </c>
      <c r="AH292" s="92" t="inlineStr">
        <is>
          <t>LINK-GIS + LoopNet (2026-08-03)</t>
        </is>
      </c>
      <c r="AI292" s="99" t="n">
        <v>39.08606</v>
      </c>
      <c r="AJ292" s="99" t="n">
        <v>-84.51179</v>
      </c>
      <c r="AK292" s="94" t="n">
        <v>0.35</v>
      </c>
      <c r="AL292" s="94" t="n">
        <v>0.38</v>
      </c>
      <c r="AM292" s="94" t="n">
        <v>1.07</v>
      </c>
      <c r="AN292" s="94" t="n">
        <v>0.15</v>
      </c>
      <c r="AO292" s="92" t="inlineStr">
        <is>
          <t>Core &lt;=0.35mi</t>
        </is>
      </c>
      <c r="AP292" s="92" t="inlineStr">
        <is>
          <t>Office/institutional</t>
        </is>
      </c>
      <c r="AQ292" s="92" t="inlineStr">
        <is>
          <t>Adequate 5-8k</t>
        </is>
      </c>
      <c r="AR292" s="100" t="n"/>
      <c r="AS292" s="96">
        <f>ROUND(INDEX('Scoring Method'!$B$63:$B$70,MATCH(AE292,'Scoring Method'!$A$63:$A$70,0))*0.625+INDEX('Scoring Method'!$B$105:$B$113,MATCH(AP292,'Scoring Method'!$A$105:$A$113,0))+INDEX('Scoring Method'!$B$74:$B$78,MATCH(AQ292,'Scoring Method'!$A$74:$A$78,0))*0.6667+INDEX('Scoring Method'!$B$96:$B$101,MATCH(AO292,'Scoring Method'!$A$96:$A$101,0))+INDEX('Scoring Method'!$B$343:$B$347,MATCH(X292,'Scoring Method'!$A$343:$A$347,0))*0.3333+INDEX('Scoring Method'!$B$25:$B$27,MATCH(P292,'Scoring Method'!$A$25:$A$27,0))*0.3333,1)</f>
        <v/>
      </c>
      <c r="AT292" s="96">
        <f>AS292*U292/100</f>
        <v/>
      </c>
      <c r="AU292" s="92" t="inlineStr">
        <is>
          <t>Central Business District</t>
        </is>
      </c>
      <c r="AV292" s="92" t="n">
        <v>48</v>
      </c>
      <c r="AW292" s="101" t="inlineStr">
        <is>
          <t>ESTIMATED</t>
        </is>
      </c>
      <c r="AX292" s="92" t="inlineStr">
        <is>
          <t>Mixed 45-59</t>
        </is>
      </c>
      <c r="AY292" s="96">
        <f>ROUND(INDEX('Scoring Method'!$B$132:$B$140,MATCH(AE292,'Scoring Method'!$A$132:$A$140,0))+INDEX('Scoring Method'!$B$144:$B$152,MATCH(AP292,'Scoring Method'!$A$144:$A$152,0))+INDEX('Scoring Method'!$B$156:$B$160,MATCH(AQ292,'Scoring Method'!$A$156:$A$160,0))+INDEX('Scoring Method'!$B$164:$B$169,MATCH(AO292,'Scoring Method'!$A$164:$A$169,0))+INDEX('Scoring Method'!$B$173:$B$178,MATCH(AX292,'Scoring Method'!$A$173:$A$178,0))+INDEX('Scoring Method'!$B$349:$B$353,MATCH(X292,'Scoring Method'!$A$349:$A$353,0))+INDEX('Scoring Method'!$B$188:$B$190,MATCH(P292,'Scoring Method'!$A$188:$A$190,0)),1)</f>
        <v/>
      </c>
      <c r="AZ292" s="96">
        <f>AY292*U292/100</f>
        <v/>
      </c>
      <c r="BA292" s="92" t="inlineStr">
        <is>
          <t>Owner-occupied operator</t>
        </is>
      </c>
      <c r="BB292" s="94" t="n">
        <v>0.8</v>
      </c>
      <c r="BC292" s="102" t="inlineStr">
        <is>
          <t>Small 0.25-0.35 AC</t>
        </is>
      </c>
      <c r="BD292" s="94" t="n">
        <v>0.9</v>
      </c>
      <c r="BE292" s="96">
        <f>ROUND(INDEX('Scoring Method'!$B$268:$B$276,MATCH(AE292,'Scoring Method'!$A$268:$A$276,0))+INDEX('Scoring Method'!$B$280:$B$288,MATCH(AP292,'Scoring Method'!$A$280:$A$288,0))+INDEX('Scoring Method'!$B$292:$B$296,MATCH(AQ292,'Scoring Method'!$A$292:$A$296,0))+INDEX('Scoring Method'!$B$300:$B$305,MATCH(AO292,'Scoring Method'!$A$300:$A$305,0))+INDEX('Scoring Method'!$B$309:$B$314,MATCH(AX292,'Scoring Method'!$A$309:$A$314,0))+INDEX('Scoring Method'!$B$337:$B$341,MATCH(X292,'Scoring Method'!$A$337:$A$341,0))+INDEX('Scoring Method'!$B$324:$B$326,MATCH(P292,'Scoring Method'!$A$324:$A$326,0)),1)</f>
        <v/>
      </c>
      <c r="BF292" s="96">
        <f>ROUND(INDEX('Scoring Method'!$B$268:$B$276,MATCH(AE292,'Scoring Method'!$A$268:$A$276,0))*BB292*BD292+INDEX('Scoring Method'!$B$280:$B$288,MATCH(AP292,'Scoring Method'!$A$280:$A$288,0))*BM292*BB292*BD292+INDEX('Scoring Method'!$B$292:$B$296,MATCH(AQ292,'Scoring Method'!$A$292:$A$296,0))*BD292+INDEX('Scoring Method'!$B$300:$B$305,MATCH(AO292,'Scoring Method'!$A$300:$A$305,0))*BM292*BB292+INDEX('Scoring Method'!$B$309:$B$314,MATCH(AX292,'Scoring Method'!$A$309:$A$314,0))+INDEX('Scoring Method'!$B$337:$B$341,MATCH(X292,'Scoring Method'!$A$337:$A$341,0))+INDEX('Scoring Method'!$B$324:$B$326,MATCH(P292,'Scoring Method'!$A$324:$A$326,0)),1)</f>
        <v/>
      </c>
      <c r="BG292" s="92" t="inlineStr">
        <is>
          <t>Fits (~$4,034/mo)</t>
        </is>
      </c>
      <c r="BH292" s="61" t="inlineStr">
        <is>
          <t>TUR (HP)</t>
        </is>
      </c>
      <c r="BI292" s="61" t="inlineStr">
        <is>
          <t>Traditional Urban Residential</t>
        </is>
      </c>
      <c r="BJ292" s="61" t="inlineStr">
        <is>
          <t>HP</t>
        </is>
      </c>
      <c r="BK292" s="61" t="inlineStr"/>
      <c r="BL292" s="61" t="inlineStr">
        <is>
          <t>Bar prohibited, alt-path</t>
        </is>
      </c>
      <c r="BM292" s="61">
        <f>INDEX('Scoring Method'!$B$358:$B$363,MATCH(BL292,'Scoring Method'!$A$358:$A$363,0))</f>
        <v/>
      </c>
    </row>
    <row r="293" ht="15" customHeight="1" s="62">
      <c r="A293" s="92" t="n">
        <v>292</v>
      </c>
      <c r="B293" s="92" t="inlineStr">
        <is>
          <t>054-23-08-004.00</t>
        </is>
      </c>
      <c r="C293" s="92" t="inlineStr">
        <is>
          <t>701 SCOTT ST</t>
        </is>
      </c>
      <c r="D293" s="92" t="inlineStr">
        <is>
          <t>M VENTURES LLC</t>
        </is>
      </c>
      <c r="E293" s="92" t="inlineStr">
        <is>
          <t>1088 WALBURG AVE #301</t>
        </is>
      </c>
      <c r="F293" s="92" t="inlineStr">
        <is>
          <t>VILLA HILLS</t>
        </is>
      </c>
      <c r="G293" s="92" t="inlineStr">
        <is>
          <t>KY</t>
        </is>
      </c>
      <c r="H293" s="92" t="inlineStr">
        <is>
          <t>RETAIL W/APARTMENTS</t>
        </is>
      </c>
      <c r="I293" s="93" t="n">
        <v>8492</v>
      </c>
      <c r="J293" s="94">
        <f>I293/43560</f>
        <v/>
      </c>
      <c r="K293" s="93" t="n">
        <v>376</v>
      </c>
      <c r="L293" s="95">
        <f>I293/(K293^2)</f>
        <v/>
      </c>
      <c r="M293" s="92" t="inlineStr">
        <is>
          <t>Poor &lt;10k/&gt;60k</t>
        </is>
      </c>
      <c r="N293" s="92" t="inlineStr">
        <is>
          <t>E</t>
        </is>
      </c>
      <c r="O293" s="92" t="inlineStr">
        <is>
          <t>Compact &gt;=.055</t>
        </is>
      </c>
      <c r="P293" s="92" t="inlineStr">
        <is>
          <t>Low</t>
        </is>
      </c>
      <c r="Q293" s="92" t="inlineStr">
        <is>
          <t>Out-of-city KY</t>
        </is>
      </c>
      <c r="R293" s="92" t="inlineStr">
        <is>
          <t>Operating entity</t>
        </is>
      </c>
      <c r="S293" s="92" t="n">
        <v>1</v>
      </c>
      <c r="T293" s="96">
        <f>INDEX('Scoring Method'!$B$6:$B$9,MATCH(M293,'Scoring Method'!$A$6:$A$9,0))+INDEX('Scoring Method'!$B$12:$B$16,MATCH(N293,'Scoring Method'!$A$12:$A$16,0))+INDEX('Scoring Method'!$B$19:$B$22,MATCH(O293,'Scoring Method'!$A$19:$A$22,0))+INDEX('Scoring Method'!$B$25:$B$27,MATCH(P293,'Scoring Method'!$A$25:$A$27,0))</f>
        <v/>
      </c>
      <c r="U293" s="96">
        <f>(INDEX('Scoring Method'!$B$30:$B$33,MATCH(Q293,'Scoring Method'!$A$30:$A$33,0))+INDEX('Scoring Method'!$B$36:$B$42,MATCH(R293,'Scoring Method'!$A$36:$A$42,0))+INDEX('Scoring Method'!$B$45:$B$47,MATCH(IF(S293=1,"1",IF(S293=2,"2","3+")),'Scoring Method'!$A$45:$A$47,0)))/90*100</f>
        <v/>
      </c>
      <c r="V293" s="96">
        <f>T293*U293/100</f>
        <v/>
      </c>
      <c r="W293" s="93" t="n">
        <v>14916</v>
      </c>
      <c r="X293" s="92" t="inlineStr">
        <is>
          <t>X (minimal hazard)</t>
        </is>
      </c>
      <c r="Y293" s="93" t="n">
        <v>4350</v>
      </c>
      <c r="Z293" s="97">
        <f>W293/I293</f>
        <v/>
      </c>
      <c r="AA293" s="98">
        <f>MAX(0,(Y293-5000)/300)</f>
        <v/>
      </c>
      <c r="AB293" s="92" t="n"/>
      <c r="AC293" s="92" t="n">
        <v>0.2</v>
      </c>
      <c r="AD293" s="92" t="inlineStr">
        <is>
          <t>ok</t>
        </is>
      </c>
      <c r="AE293" s="92" t="inlineStr">
        <is>
          <t>Far oversize &gt;12k</t>
        </is>
      </c>
      <c r="AF293" s="96">
        <f>INDEX('Scoring Method'!$B$63:$B$71,MATCH(AE293,'Scoring Method'!$A$63:$A$71,0))+INDEX('Scoring Method'!$B$75:$B$79,MATCH("Tight 2-5k",'Scoring Method'!$A$75:$A$79,0))+INDEX('Scoring Method'!$B$343:$B$347,MATCH(X293,'Scoring Method'!$A$343:$A$347,0))+INDEX('Scoring Method'!$B$25:$B$27,MATCH(P293,'Scoring Method'!$A$25:$A$27,0))</f>
        <v/>
      </c>
      <c r="AG293" s="96">
        <f>AF293*U293/100</f>
        <v/>
      </c>
      <c r="AH293" s="92" t="inlineStr">
        <is>
          <t>LINK-GIS + LoopNet</t>
        </is>
      </c>
      <c r="AI293" s="99" t="n">
        <v>39.08348</v>
      </c>
      <c r="AJ293" s="99" t="n">
        <v>-84.50881</v>
      </c>
      <c r="AK293" s="94" t="n">
        <v>0.49</v>
      </c>
      <c r="AL293" s="94" t="n">
        <v>0.51</v>
      </c>
      <c r="AM293" s="94" t="n">
        <v>1.26</v>
      </c>
      <c r="AN293" s="94" t="n">
        <v>0.13</v>
      </c>
      <c r="AO293" s="92" t="inlineStr">
        <is>
          <t>Core &lt;=0.35mi</t>
        </is>
      </c>
      <c r="AP293" s="92" t="inlineStr">
        <is>
          <t>Cellular</t>
        </is>
      </c>
      <c r="AQ293" s="92" t="inlineStr">
        <is>
          <t>Tight 2-5k</t>
        </is>
      </c>
      <c r="AR293" s="100" t="n"/>
      <c r="AS293" s="96">
        <f>ROUND(INDEX('Scoring Method'!$B$63:$B$70,MATCH(AE293,'Scoring Method'!$A$63:$A$70,0))*0.625+INDEX('Scoring Method'!$B$105:$B$113,MATCH(AP293,'Scoring Method'!$A$105:$A$113,0))+INDEX('Scoring Method'!$B$74:$B$78,MATCH(AQ293,'Scoring Method'!$A$74:$A$78,0))*0.6667+INDEX('Scoring Method'!$B$96:$B$101,MATCH(AO293,'Scoring Method'!$A$96:$A$101,0))+INDEX('Scoring Method'!$B$343:$B$347,MATCH(X293,'Scoring Method'!$A$343:$A$347,0))*0.3333+INDEX('Scoring Method'!$B$25:$B$27,MATCH(P293,'Scoring Method'!$A$25:$A$27,0))*0.3333,1)</f>
        <v/>
      </c>
      <c r="AT293" s="96">
        <f>AS293*U293/100</f>
        <v/>
      </c>
      <c r="AU293" s="92" t="inlineStr">
        <is>
          <t>Central Business District</t>
        </is>
      </c>
      <c r="AV293" s="92" t="n">
        <v>48</v>
      </c>
      <c r="AW293" s="101" t="inlineStr">
        <is>
          <t>ESTIMATED</t>
        </is>
      </c>
      <c r="AX293" s="92" t="inlineStr">
        <is>
          <t>Mixed 45-59</t>
        </is>
      </c>
      <c r="AY293" s="96">
        <f>ROUND(INDEX('Scoring Method'!$B$132:$B$140,MATCH(AE293,'Scoring Method'!$A$132:$A$140,0))+INDEX('Scoring Method'!$B$144:$B$152,MATCH(AP293,'Scoring Method'!$A$144:$A$152,0))+INDEX('Scoring Method'!$B$156:$B$160,MATCH(AQ293,'Scoring Method'!$A$156:$A$160,0))+INDEX('Scoring Method'!$B$164:$B$169,MATCH(AO293,'Scoring Method'!$A$164:$A$169,0))+INDEX('Scoring Method'!$B$173:$B$178,MATCH(AX293,'Scoring Method'!$A$173:$A$178,0))+INDEX('Scoring Method'!$B$349:$B$353,MATCH(X293,'Scoring Method'!$A$349:$A$353,0))+INDEX('Scoring Method'!$B$188:$B$190,MATCH(P293,'Scoring Method'!$A$188:$A$190,0)),1)</f>
        <v/>
      </c>
      <c r="AZ293" s="96">
        <f>AY293*U293/100</f>
        <v/>
      </c>
      <c r="BA293" s="92" t="inlineStr">
        <is>
          <t>No chain signal</t>
        </is>
      </c>
      <c r="BB293" s="94" t="n">
        <v>1</v>
      </c>
      <c r="BC293" s="103" t="inlineStr">
        <is>
          <t>Extra small 0.15-0.25 AC</t>
        </is>
      </c>
      <c r="BD293" s="94" t="n">
        <v>0.8</v>
      </c>
      <c r="BE293" s="96">
        <f>ROUND(INDEX('Scoring Method'!$B$268:$B$276,MATCH(AE293,'Scoring Method'!$A$268:$A$276,0))+INDEX('Scoring Method'!$B$280:$B$288,MATCH(AP293,'Scoring Method'!$A$280:$A$288,0))+INDEX('Scoring Method'!$B$292:$B$296,MATCH(AQ293,'Scoring Method'!$A$292:$A$296,0))+INDEX('Scoring Method'!$B$300:$B$305,MATCH(AO293,'Scoring Method'!$A$300:$A$305,0))+INDEX('Scoring Method'!$B$309:$B$314,MATCH(AX293,'Scoring Method'!$A$309:$A$314,0))+INDEX('Scoring Method'!$B$337:$B$341,MATCH(X293,'Scoring Method'!$A$337:$A$341,0))+INDEX('Scoring Method'!$B$324:$B$326,MATCH(P293,'Scoring Method'!$A$324:$A$326,0)),1)</f>
        <v/>
      </c>
      <c r="BF293" s="96">
        <f>ROUND(INDEX('Scoring Method'!$B$268:$B$276,MATCH(AE293,'Scoring Method'!$A$268:$A$276,0))*BB293*BD293+INDEX('Scoring Method'!$B$280:$B$288,MATCH(AP293,'Scoring Method'!$A$280:$A$288,0))*BM293*BB293*BD293+INDEX('Scoring Method'!$B$292:$B$296,MATCH(AQ293,'Scoring Method'!$A$292:$A$296,0))*BD293+INDEX('Scoring Method'!$B$300:$B$305,MATCH(AO293,'Scoring Method'!$A$300:$A$305,0))*BM293*BB293+INDEX('Scoring Method'!$B$309:$B$314,MATCH(AX293,'Scoring Method'!$A$309:$A$314,0))+INDEX('Scoring Method'!$B$337:$B$341,MATCH(X293,'Scoring Method'!$A$337:$A$341,0))+INDEX('Scoring Method'!$B$324:$B$326,MATCH(P293,'Scoring Method'!$A$324:$A$326,0)),1)</f>
        <v/>
      </c>
      <c r="BG293" s="102" t="inlineStr">
        <is>
          <t>Over (~$13,673/mo)</t>
        </is>
      </c>
      <c r="BH293" s="61" t="inlineStr">
        <is>
          <t>DTC (HP)</t>
        </is>
      </c>
      <c r="BI293" s="61" t="inlineStr">
        <is>
          <t>Downtown Core</t>
        </is>
      </c>
      <c r="BJ293" s="61" t="inlineStr">
        <is>
          <t>HP</t>
        </is>
      </c>
      <c r="BK293" s="61" t="inlineStr"/>
      <c r="BL293" s="61" t="inlineStr">
        <is>
          <t>Bar permitted</t>
        </is>
      </c>
      <c r="BM293" s="61">
        <f>INDEX('Scoring Method'!$B$358:$B$363,MATCH(BL293,'Scoring Method'!$A$358:$A$363,0))</f>
        <v/>
      </c>
    </row>
    <row r="294" ht="15" customHeight="1" s="62">
      <c r="A294" s="92" t="n">
        <v>293</v>
      </c>
      <c r="B294" s="92" t="inlineStr">
        <is>
          <t>054-22-19-004.00</t>
        </is>
      </c>
      <c r="C294" s="92" t="inlineStr">
        <is>
          <t>321 W MARTIN LUTHER KING JR BLVD</t>
        </is>
      </c>
      <c r="D294" s="92" t="inlineStr">
        <is>
          <t>CENTER FOR GREAT NEIGHBORHOODS</t>
        </is>
      </c>
      <c r="E294" s="92" t="inlineStr">
        <is>
          <t>321 W MLK JR BLVD</t>
        </is>
      </c>
      <c r="F294" s="92" t="inlineStr">
        <is>
          <t>COVINGTON</t>
        </is>
      </c>
      <c r="G294" s="92" t="inlineStr">
        <is>
          <t>KY</t>
        </is>
      </c>
      <c r="H294" s="92" t="inlineStr">
        <is>
          <t>OFFICE BLDG 1 OR 2 STORY</t>
        </is>
      </c>
      <c r="I294" s="93" t="n">
        <v>8357</v>
      </c>
      <c r="J294" s="94">
        <f>I294/43560</f>
        <v/>
      </c>
      <c r="K294" s="93" t="n">
        <v>386</v>
      </c>
      <c r="L294" s="95">
        <f>I294/(K294^2)</f>
        <v/>
      </c>
      <c r="M294" s="92" t="inlineStr">
        <is>
          <t>Poor &lt;10k/&gt;60k</t>
        </is>
      </c>
      <c r="N294" s="92" t="inlineStr">
        <is>
          <t>E</t>
        </is>
      </c>
      <c r="O294" s="92" t="inlineStr">
        <is>
          <t>Compact &gt;=.055</t>
        </is>
      </c>
      <c r="P294" s="92" t="inlineStr">
        <is>
          <t>Low</t>
        </is>
      </c>
      <c r="Q294" s="92" t="inlineStr">
        <is>
          <t>Owner-occupied</t>
        </is>
      </c>
      <c r="R294" s="92" t="inlineStr">
        <is>
          <t>Individual</t>
        </is>
      </c>
      <c r="S294" s="92" t="n">
        <v>1</v>
      </c>
      <c r="T294" s="96">
        <f>INDEX('Scoring Method'!$B$6:$B$9,MATCH(M294,'Scoring Method'!$A$6:$A$9,0))+INDEX('Scoring Method'!$B$12:$B$16,MATCH(N294,'Scoring Method'!$A$12:$A$16,0))+INDEX('Scoring Method'!$B$19:$B$22,MATCH(O294,'Scoring Method'!$A$19:$A$22,0))+INDEX('Scoring Method'!$B$25:$B$27,MATCH(P294,'Scoring Method'!$A$25:$A$27,0))</f>
        <v/>
      </c>
      <c r="U294" s="96">
        <f>(INDEX('Scoring Method'!$B$30:$B$33,MATCH(Q294,'Scoring Method'!$A$30:$A$33,0))+INDEX('Scoring Method'!$B$36:$B$42,MATCH(R294,'Scoring Method'!$A$36:$A$42,0))+INDEX('Scoring Method'!$B$45:$B$47,MATCH(IF(S294=1,"1",IF(S294=2,"2","3+")),'Scoring Method'!$A$45:$A$47,0)))/90*100</f>
        <v/>
      </c>
      <c r="V294" s="96">
        <f>T294*U294/100</f>
        <v/>
      </c>
      <c r="W294" s="93" t="n">
        <v>6982</v>
      </c>
      <c r="X294" s="92" t="inlineStr">
        <is>
          <t>X (minimal hazard)</t>
        </is>
      </c>
      <c r="Y294" s="93" t="n">
        <v>700</v>
      </c>
      <c r="Z294" s="97" t="n"/>
      <c r="AA294" s="98">
        <f>MAX(0,(Y294-5000)/300)</f>
        <v/>
      </c>
      <c r="AB294" s="92" t="n"/>
      <c r="AC294" s="92" t="n"/>
      <c r="AD294" s="92" t="n"/>
      <c r="AE294" s="92" t="inlineStr">
        <is>
          <t>Oversize 6-12k</t>
        </is>
      </c>
      <c r="AF294" s="96">
        <f>INDEX('Scoring Method'!$B$63:$B$71,MATCH(AE294,'Scoring Method'!$A$63:$A$71,0))+INDEX('Scoring Method'!$B$75:$B$79,MATCH("Insufficient &lt;2k",'Scoring Method'!$A$75:$A$79,0))+INDEX('Scoring Method'!$B$343:$B$347,MATCH(X294,'Scoring Method'!$A$343:$A$347,0))+INDEX('Scoring Method'!$B$25:$B$27,MATCH(P294,'Scoring Method'!$A$25:$A$27,0))</f>
        <v/>
      </c>
      <c r="AG294" s="96">
        <f>AF294*U294/100</f>
        <v/>
      </c>
      <c r="AH294" s="92" t="inlineStr">
        <is>
          <t>LINK-GIS only</t>
        </is>
      </c>
      <c r="AI294" s="99" t="n">
        <v>39.07645</v>
      </c>
      <c r="AJ294" s="99" t="n">
        <v>-84.51449</v>
      </c>
      <c r="AK294" s="94" t="n">
        <v>0.58</v>
      </c>
      <c r="AL294" s="94" t="n">
        <v>1.05</v>
      </c>
      <c r="AM294" s="94" t="n">
        <v>1.73</v>
      </c>
      <c r="AN294" s="94" t="n">
        <v>0.55</v>
      </c>
      <c r="AO294" s="92" t="inlineStr">
        <is>
          <t>Near 0.35-0.75mi</t>
        </is>
      </c>
      <c r="AP294" s="92" t="inlineStr">
        <is>
          <t>Office/institutional</t>
        </is>
      </c>
      <c r="AQ294" s="92" t="inlineStr">
        <is>
          <t>Insufficient &lt;2k</t>
        </is>
      </c>
      <c r="AR294" s="100" t="n"/>
      <c r="AS294" s="96">
        <f>ROUND(INDEX('Scoring Method'!$B$63:$B$70,MATCH(AE294,'Scoring Method'!$A$63:$A$70,0))*0.625+INDEX('Scoring Method'!$B$105:$B$113,MATCH(AP294,'Scoring Method'!$A$105:$A$113,0))+INDEX('Scoring Method'!$B$74:$B$78,MATCH(AQ294,'Scoring Method'!$A$74:$A$78,0))*0.6667+INDEX('Scoring Method'!$B$96:$B$101,MATCH(AO294,'Scoring Method'!$A$96:$A$101,0))+INDEX('Scoring Method'!$B$343:$B$347,MATCH(X294,'Scoring Method'!$A$343:$A$347,0))*0.3333+INDEX('Scoring Method'!$B$25:$B$27,MATCH(P294,'Scoring Method'!$A$25:$A$27,0))*0.3333,1)</f>
        <v/>
      </c>
      <c r="AT294" s="96">
        <f>AS294*U294/100</f>
        <v/>
      </c>
      <c r="AU294" s="92" t="inlineStr">
        <is>
          <t>Old Seminary Square</t>
        </is>
      </c>
      <c r="AV294" s="92" t="n">
        <v>35</v>
      </c>
      <c r="AW294" s="101" t="inlineStr">
        <is>
          <t>ESTIMATED</t>
        </is>
      </c>
      <c r="AX294" s="92" t="inlineStr">
        <is>
          <t>Elevated 35-44</t>
        </is>
      </c>
      <c r="AY294" s="96">
        <f>ROUND(INDEX('Scoring Method'!$B$132:$B$140,MATCH(AE294,'Scoring Method'!$A$132:$A$140,0))+INDEX('Scoring Method'!$B$144:$B$152,MATCH(AP294,'Scoring Method'!$A$144:$A$152,0))+INDEX('Scoring Method'!$B$156:$B$160,MATCH(AQ294,'Scoring Method'!$A$156:$A$160,0))+INDEX('Scoring Method'!$B$164:$B$169,MATCH(AO294,'Scoring Method'!$A$164:$A$169,0))+INDEX('Scoring Method'!$B$173:$B$178,MATCH(AX294,'Scoring Method'!$A$173:$A$178,0))+INDEX('Scoring Method'!$B$349:$B$353,MATCH(X294,'Scoring Method'!$A$349:$A$353,0))+INDEX('Scoring Method'!$B$188:$B$190,MATCH(P294,'Scoring Method'!$A$188:$A$190,0)),1)</f>
        <v/>
      </c>
      <c r="AZ294" s="96">
        <f>AY294*U294/100</f>
        <v/>
      </c>
      <c r="BA294" s="92" t="inlineStr">
        <is>
          <t>Owner-occupied operator</t>
        </is>
      </c>
      <c r="BB294" s="94" t="n">
        <v>0.8</v>
      </c>
      <c r="BC294" s="103" t="inlineStr">
        <is>
          <t>Extra small 0.15-0.25 AC</t>
        </is>
      </c>
      <c r="BD294" s="94" t="n">
        <v>0.8</v>
      </c>
      <c r="BE294" s="96">
        <f>ROUND(INDEX('Scoring Method'!$B$268:$B$276,MATCH(AE294,'Scoring Method'!$A$268:$A$276,0))+INDEX('Scoring Method'!$B$280:$B$288,MATCH(AP294,'Scoring Method'!$A$280:$A$288,0))+INDEX('Scoring Method'!$B$292:$B$296,MATCH(AQ294,'Scoring Method'!$A$292:$A$296,0))+INDEX('Scoring Method'!$B$300:$B$305,MATCH(AO294,'Scoring Method'!$A$300:$A$305,0))+INDEX('Scoring Method'!$B$309:$B$314,MATCH(AX294,'Scoring Method'!$A$309:$A$314,0))+INDEX('Scoring Method'!$B$337:$B$341,MATCH(X294,'Scoring Method'!$A$337:$A$341,0))+INDEX('Scoring Method'!$B$324:$B$326,MATCH(P294,'Scoring Method'!$A$324:$A$326,0)),1)</f>
        <v/>
      </c>
      <c r="BF294" s="96">
        <f>ROUND(INDEX('Scoring Method'!$B$268:$B$276,MATCH(AE294,'Scoring Method'!$A$268:$A$276,0))*BB294*BD294+INDEX('Scoring Method'!$B$280:$B$288,MATCH(AP294,'Scoring Method'!$A$280:$A$288,0))*BM294*BB294*BD294+INDEX('Scoring Method'!$B$292:$B$296,MATCH(AQ294,'Scoring Method'!$A$292:$A$296,0))*BD294+INDEX('Scoring Method'!$B$300:$B$305,MATCH(AO294,'Scoring Method'!$A$300:$A$305,0))*BM294*BB294+INDEX('Scoring Method'!$B$309:$B$314,MATCH(AX294,'Scoring Method'!$A$309:$A$314,0))+INDEX('Scoring Method'!$B$337:$B$341,MATCH(X294,'Scoring Method'!$A$337:$A$341,0))+INDEX('Scoring Method'!$B$324:$B$326,MATCH(P294,'Scoring Method'!$A$324:$A$326,0)),1)</f>
        <v/>
      </c>
      <c r="BG294" s="92" t="inlineStr">
        <is>
          <t>Fits (~$6,400/mo)</t>
        </is>
      </c>
      <c r="BH294" s="61" t="inlineStr">
        <is>
          <t>TUMU (TS)</t>
        </is>
      </c>
      <c r="BI294" s="61" t="inlineStr">
        <is>
          <t>Traditional Urban Mixed Use</t>
        </is>
      </c>
      <c r="BJ294" s="61" t="inlineStr"/>
      <c r="BK294" s="61" t="inlineStr">
        <is>
          <t>Yes</t>
        </is>
      </c>
      <c r="BL294" s="61" t="inlineStr">
        <is>
          <t>Bar permitted</t>
        </is>
      </c>
      <c r="BM294" s="61">
        <f>INDEX('Scoring Method'!$B$358:$B$363,MATCH(BL294,'Scoring Method'!$A$358:$A$363,0))</f>
        <v/>
      </c>
    </row>
    <row r="295" ht="15" customHeight="1" s="62">
      <c r="A295" s="92" t="n">
        <v>294</v>
      </c>
      <c r="B295" s="92" t="inlineStr">
        <is>
          <t>055-13-08-021.00</t>
        </is>
      </c>
      <c r="C295" s="92" t="inlineStr">
        <is>
          <t>1432 MADISON AVE</t>
        </is>
      </c>
      <c r="D295" s="92" t="inlineStr">
        <is>
          <t>AMBROCIO ANDY CRISTOFER A &amp;</t>
        </is>
      </c>
      <c r="E295" s="92" t="inlineStr">
        <is>
          <t>1432 MADISON AVE</t>
        </is>
      </c>
      <c r="F295" s="92" t="inlineStr">
        <is>
          <t>COVINGTON</t>
        </is>
      </c>
      <c r="G295" s="92" t="inlineStr">
        <is>
          <t>KY</t>
        </is>
      </c>
      <c r="H295" s="92" t="inlineStr">
        <is>
          <t>RETAIL W/APARTMENTS</t>
        </is>
      </c>
      <c r="I295" s="93" t="n">
        <v>8631</v>
      </c>
      <c r="J295" s="94">
        <f>I295/43560</f>
        <v/>
      </c>
      <c r="K295" s="93" t="n">
        <v>387</v>
      </c>
      <c r="L295" s="95">
        <f>I295/(K295^2)</f>
        <v/>
      </c>
      <c r="M295" s="92" t="inlineStr">
        <is>
          <t>Poor &lt;10k/&gt;60k</t>
        </is>
      </c>
      <c r="N295" s="92" t="inlineStr">
        <is>
          <t>E</t>
        </is>
      </c>
      <c r="O295" s="92" t="inlineStr">
        <is>
          <t>Compact &gt;=.055</t>
        </is>
      </c>
      <c r="P295" s="92" t="inlineStr">
        <is>
          <t>Low</t>
        </is>
      </c>
      <c r="Q295" s="92" t="inlineStr">
        <is>
          <t>Owner-occupied</t>
        </is>
      </c>
      <c r="R295" s="92" t="inlineStr">
        <is>
          <t>Individual</t>
        </is>
      </c>
      <c r="S295" s="92" t="n">
        <v>1</v>
      </c>
      <c r="T295" s="96">
        <f>INDEX('Scoring Method'!$B$6:$B$9,MATCH(M295,'Scoring Method'!$A$6:$A$9,0))+INDEX('Scoring Method'!$B$12:$B$16,MATCH(N295,'Scoring Method'!$A$12:$A$16,0))+INDEX('Scoring Method'!$B$19:$B$22,MATCH(O295,'Scoring Method'!$A$19:$A$22,0))+INDEX('Scoring Method'!$B$25:$B$27,MATCH(P295,'Scoring Method'!$A$25:$A$27,0))</f>
        <v/>
      </c>
      <c r="U295" s="96">
        <f>(INDEX('Scoring Method'!$B$30:$B$33,MATCH(Q295,'Scoring Method'!$A$30:$A$33,0))+INDEX('Scoring Method'!$B$36:$B$42,MATCH(R295,'Scoring Method'!$A$36:$A$42,0))+INDEX('Scoring Method'!$B$45:$B$47,MATCH(IF(S295=1,"1",IF(S295=2,"2","3+")),'Scoring Method'!$A$45:$A$47,0)))/90*100</f>
        <v/>
      </c>
      <c r="V295" s="96">
        <f>T295*U295/100</f>
        <v/>
      </c>
      <c r="W295" s="93" t="n">
        <v>4100</v>
      </c>
      <c r="X295" s="92" t="inlineStr">
        <is>
          <t>X (minimal hazard)</t>
        </is>
      </c>
      <c r="Y295" s="93" t="n">
        <v>4700</v>
      </c>
      <c r="Z295" s="97" t="n"/>
      <c r="AA295" s="98">
        <f>MAX(0,(Y295-5000)/300)</f>
        <v/>
      </c>
      <c r="AB295" s="92" t="n"/>
      <c r="AC295" s="92" t="n"/>
      <c r="AD295" s="92" t="n"/>
      <c r="AE295" s="92" t="inlineStr">
        <is>
          <t>Large 4-6k</t>
        </is>
      </c>
      <c r="AF295" s="96">
        <f>INDEX('Scoring Method'!$B$63:$B$71,MATCH(AE295,'Scoring Method'!$A$63:$A$71,0))+INDEX('Scoring Method'!$B$75:$B$79,MATCH("Tight 2-5k",'Scoring Method'!$A$75:$A$79,0))+INDEX('Scoring Method'!$B$343:$B$347,MATCH(X295,'Scoring Method'!$A$343:$A$347,0))+INDEX('Scoring Method'!$B$25:$B$27,MATCH(P295,'Scoring Method'!$A$25:$A$27,0))</f>
        <v/>
      </c>
      <c r="AG295" s="96">
        <f>AF295*U295/100</f>
        <v/>
      </c>
      <c r="AH295" s="92" t="inlineStr">
        <is>
          <t>LINK-GIS + LoopNet (2026-08-03)</t>
        </is>
      </c>
      <c r="AI295" s="99" t="n">
        <v>39.07422</v>
      </c>
      <c r="AJ295" s="99" t="n">
        <v>-84.50732000000001</v>
      </c>
      <c r="AK295" s="94" t="n">
        <v>0.9</v>
      </c>
      <c r="AL295" s="94" t="n">
        <v>1.15</v>
      </c>
      <c r="AM295" s="94" t="n">
        <v>1.9</v>
      </c>
      <c r="AN295" s="94" t="n">
        <v>0.7</v>
      </c>
      <c r="AO295" s="92" t="inlineStr">
        <is>
          <t>Near 0.35-0.75mi</t>
        </is>
      </c>
      <c r="AP295" s="92" t="inlineStr">
        <is>
          <t>Cellular</t>
        </is>
      </c>
      <c r="AQ295" s="92" t="inlineStr">
        <is>
          <t>Tight 2-5k</t>
        </is>
      </c>
      <c r="AR295" s="100" t="n"/>
      <c r="AS295" s="96">
        <f>ROUND(INDEX('Scoring Method'!$B$63:$B$70,MATCH(AE295,'Scoring Method'!$A$63:$A$70,0))*0.625+INDEX('Scoring Method'!$B$105:$B$113,MATCH(AP295,'Scoring Method'!$A$105:$A$113,0))+INDEX('Scoring Method'!$B$74:$B$78,MATCH(AQ295,'Scoring Method'!$A$74:$A$78,0))*0.6667+INDEX('Scoring Method'!$B$96:$B$101,MATCH(AO295,'Scoring Method'!$A$96:$A$101,0))+INDEX('Scoring Method'!$B$343:$B$347,MATCH(X295,'Scoring Method'!$A$343:$A$347,0))*0.3333+INDEX('Scoring Method'!$B$25:$B$27,MATCH(P295,'Scoring Method'!$A$25:$A$27,0))*0.3333,1)</f>
        <v/>
      </c>
      <c r="AT295" s="96">
        <f>AS295*U295/100</f>
        <v/>
      </c>
      <c r="AU295" s="92" t="inlineStr">
        <is>
          <t>Eastside</t>
        </is>
      </c>
      <c r="AV295" s="92" t="n">
        <v>28</v>
      </c>
      <c r="AW295" s="101" t="inlineStr">
        <is>
          <t>ESTIMATED</t>
        </is>
      </c>
      <c r="AX295" s="92" t="inlineStr">
        <is>
          <t>High &lt;35</t>
        </is>
      </c>
      <c r="AY295" s="96">
        <f>ROUND(INDEX('Scoring Method'!$B$132:$B$140,MATCH(AE295,'Scoring Method'!$A$132:$A$140,0))+INDEX('Scoring Method'!$B$144:$B$152,MATCH(AP295,'Scoring Method'!$A$144:$A$152,0))+INDEX('Scoring Method'!$B$156:$B$160,MATCH(AQ295,'Scoring Method'!$A$156:$A$160,0))+INDEX('Scoring Method'!$B$164:$B$169,MATCH(AO295,'Scoring Method'!$A$164:$A$169,0))+INDEX('Scoring Method'!$B$173:$B$178,MATCH(AX295,'Scoring Method'!$A$173:$A$178,0))+INDEX('Scoring Method'!$B$349:$B$353,MATCH(X295,'Scoring Method'!$A$349:$A$353,0))+INDEX('Scoring Method'!$B$188:$B$190,MATCH(P295,'Scoring Method'!$A$188:$A$190,0)),1)</f>
        <v/>
      </c>
      <c r="AZ295" s="96">
        <f>AY295*U295/100</f>
        <v/>
      </c>
      <c r="BA295" s="92" t="inlineStr">
        <is>
          <t>Owner-occupied operator</t>
        </is>
      </c>
      <c r="BB295" s="94" t="n">
        <v>0.8</v>
      </c>
      <c r="BC295" s="103" t="inlineStr">
        <is>
          <t>Extra small 0.15-0.25 AC</t>
        </is>
      </c>
      <c r="BD295" s="94" t="n">
        <v>0.8</v>
      </c>
      <c r="BE295" s="96">
        <f>ROUND(INDEX('Scoring Method'!$B$268:$B$276,MATCH(AE295,'Scoring Method'!$A$268:$A$276,0))+INDEX('Scoring Method'!$B$280:$B$288,MATCH(AP295,'Scoring Method'!$A$280:$A$288,0))+INDEX('Scoring Method'!$B$292:$B$296,MATCH(AQ295,'Scoring Method'!$A$292:$A$296,0))+INDEX('Scoring Method'!$B$300:$B$305,MATCH(AO295,'Scoring Method'!$A$300:$A$305,0))+INDEX('Scoring Method'!$B$309:$B$314,MATCH(AX295,'Scoring Method'!$A$309:$A$314,0))+INDEX('Scoring Method'!$B$337:$B$341,MATCH(X295,'Scoring Method'!$A$337:$A$341,0))+INDEX('Scoring Method'!$B$324:$B$326,MATCH(P295,'Scoring Method'!$A$324:$A$326,0)),1)</f>
        <v/>
      </c>
      <c r="BF295" s="96">
        <f>ROUND(INDEX('Scoring Method'!$B$268:$B$276,MATCH(AE295,'Scoring Method'!$A$268:$A$276,0))*BB295*BD295+INDEX('Scoring Method'!$B$280:$B$288,MATCH(AP295,'Scoring Method'!$A$280:$A$288,0))*BM295*BB295*BD295+INDEX('Scoring Method'!$B$292:$B$296,MATCH(AQ295,'Scoring Method'!$A$292:$A$296,0))*BD295+INDEX('Scoring Method'!$B$300:$B$305,MATCH(AO295,'Scoring Method'!$A$300:$A$305,0))*BM295*BB295+INDEX('Scoring Method'!$B$309:$B$314,MATCH(AX295,'Scoring Method'!$A$309:$A$314,0))+INDEX('Scoring Method'!$B$337:$B$341,MATCH(X295,'Scoring Method'!$A$337:$A$341,0))+INDEX('Scoring Method'!$B$324:$B$326,MATCH(P295,'Scoring Method'!$A$324:$A$326,0)),1)</f>
        <v/>
      </c>
      <c r="BG295" s="92" t="inlineStr">
        <is>
          <t>Fits (~$3,758/mo)</t>
        </is>
      </c>
      <c r="BH295" s="61" t="inlineStr">
        <is>
          <t>DTC</t>
        </is>
      </c>
      <c r="BI295" s="61" t="inlineStr">
        <is>
          <t>Downtown Core</t>
        </is>
      </c>
      <c r="BJ295" s="61" t="inlineStr"/>
      <c r="BK295" s="61" t="inlineStr"/>
      <c r="BL295" s="61" t="inlineStr">
        <is>
          <t>Bar permitted</t>
        </is>
      </c>
      <c r="BM295" s="61">
        <f>INDEX('Scoring Method'!$B$358:$B$363,MATCH(BL295,'Scoring Method'!$A$358:$A$363,0))</f>
        <v/>
      </c>
    </row>
    <row r="296" ht="15" customHeight="1" s="62">
      <c r="A296" s="92" t="n">
        <v>295</v>
      </c>
      <c r="B296" s="92" t="inlineStr">
        <is>
          <t>056-20-00-062.00</t>
        </is>
      </c>
      <c r="C296" s="92" t="inlineStr">
        <is>
          <t>4300 BORON AVE</t>
        </is>
      </c>
      <c r="D296" s="92" t="inlineStr">
        <is>
          <t>319 MADISON LLC</t>
        </is>
      </c>
      <c r="E296" s="92" t="inlineStr">
        <is>
          <t>10180 DESMOND CT</t>
        </is>
      </c>
      <c r="F296" s="92" t="inlineStr">
        <is>
          <t>COVINGTON</t>
        </is>
      </c>
      <c r="G296" s="92" t="inlineStr">
        <is>
          <t>KY</t>
        </is>
      </c>
      <c r="H296" s="92" t="inlineStr">
        <is>
          <t>WAREHOUSE 20001 - 100000 SQ FT</t>
        </is>
      </c>
      <c r="I296" s="93" t="n">
        <v>60118</v>
      </c>
      <c r="J296" s="94">
        <f>I296/43560</f>
        <v/>
      </c>
      <c r="K296" s="93" t="n">
        <v>1203</v>
      </c>
      <c r="L296" s="95">
        <f>I296/(K296^2)</f>
        <v/>
      </c>
      <c r="M296" s="92" t="inlineStr">
        <is>
          <t>Poor &lt;10k/&gt;60k</t>
        </is>
      </c>
      <c r="N296" s="92" t="inlineStr">
        <is>
          <t>B</t>
        </is>
      </c>
      <c r="O296" s="92" t="inlineStr">
        <is>
          <t>Elongated .035-.045</t>
        </is>
      </c>
      <c r="P296" s="92" t="inlineStr">
        <is>
          <t>Low</t>
        </is>
      </c>
      <c r="Q296" s="92" t="inlineStr">
        <is>
          <t>Local absentee</t>
        </is>
      </c>
      <c r="R296" s="92" t="inlineStr">
        <is>
          <t>Operating entity</t>
        </is>
      </c>
      <c r="S296" s="92" t="n">
        <v>1</v>
      </c>
      <c r="T296" s="96">
        <f>INDEX('Scoring Method'!$B$6:$B$9,MATCH(M296,'Scoring Method'!$A$6:$A$9,0))+INDEX('Scoring Method'!$B$12:$B$16,MATCH(N296,'Scoring Method'!$A$12:$A$16,0))+INDEX('Scoring Method'!$B$19:$B$22,MATCH(O296,'Scoring Method'!$A$19:$A$22,0))+INDEX('Scoring Method'!$B$25:$B$27,MATCH(P296,'Scoring Method'!$A$25:$A$27,0))</f>
        <v/>
      </c>
      <c r="U296" s="96">
        <f>(INDEX('Scoring Method'!$B$30:$B$33,MATCH(Q296,'Scoring Method'!$A$30:$A$33,0))+INDEX('Scoring Method'!$B$36:$B$42,MATCH(R296,'Scoring Method'!$A$36:$A$42,0))+INDEX('Scoring Method'!$B$45:$B$47,MATCH(IF(S296=1,"1",IF(S296=2,"2","3+")),'Scoring Method'!$A$45:$A$47,0)))/90*100</f>
        <v/>
      </c>
      <c r="V296" s="96">
        <f>T296*U296/100</f>
        <v/>
      </c>
      <c r="W296" s="93" t="n">
        <v>21720</v>
      </c>
      <c r="X296" s="92" t="inlineStr">
        <is>
          <t>X (minimal hazard)</t>
        </is>
      </c>
      <c r="Y296" s="93" t="n">
        <v>37800</v>
      </c>
      <c r="Z296" s="97">
        <f>W296/I296</f>
        <v/>
      </c>
      <c r="AA296" s="98">
        <f>MAX(0,(Y296-5000)/300)</f>
        <v/>
      </c>
      <c r="AB296" s="92" t="n"/>
      <c r="AC296" s="92" t="n">
        <v>1.38</v>
      </c>
      <c r="AD296" s="92" t="inlineStr">
        <is>
          <t>ok</t>
        </is>
      </c>
      <c r="AE296" s="92" t="inlineStr">
        <is>
          <t>Far oversize &gt;12k</t>
        </is>
      </c>
      <c r="AF296" s="96">
        <f>INDEX('Scoring Method'!$B$63:$B$71,MATCH(AE296,'Scoring Method'!$A$63:$A$71,0))+INDEX('Scoring Method'!$B$75:$B$79,MATCH("Ample &gt;=15k",'Scoring Method'!$A$75:$A$79,0))+INDEX('Scoring Method'!$B$343:$B$347,MATCH(X296,'Scoring Method'!$A$343:$A$347,0))+INDEX('Scoring Method'!$B$25:$B$27,MATCH(P296,'Scoring Method'!$A$25:$A$27,0))</f>
        <v/>
      </c>
      <c r="AG296" s="96">
        <f>AF296*U296/100</f>
        <v/>
      </c>
      <c r="AH296" s="92" t="inlineStr">
        <is>
          <t>LINK-GIS + LoopNet</t>
        </is>
      </c>
      <c r="AI296" s="99" t="n">
        <v>39.04216</v>
      </c>
      <c r="AJ296" s="99" t="n">
        <v>-84.51018999999999</v>
      </c>
      <c r="AK296" s="94" t="n">
        <v>2.95</v>
      </c>
      <c r="AL296" s="94" t="n">
        <v>3.37</v>
      </c>
      <c r="AM296" s="94" t="n">
        <v>4.1</v>
      </c>
      <c r="AN296" s="94" t="n">
        <v>2.89</v>
      </c>
      <c r="AO296" s="92" t="inlineStr">
        <is>
          <t>Distant 2-3mi</t>
        </is>
      </c>
      <c r="AP296" s="92" t="inlineStr">
        <is>
          <t>Open span</t>
        </is>
      </c>
      <c r="AQ296" s="92" t="inlineStr">
        <is>
          <t>Ample &gt;=15k</t>
        </is>
      </c>
      <c r="AR296" s="100" t="n"/>
      <c r="AS296" s="96">
        <f>ROUND(INDEX('Scoring Method'!$B$63:$B$70,MATCH(AE296,'Scoring Method'!$A$63:$A$70,0))*0.625+INDEX('Scoring Method'!$B$105:$B$113,MATCH(AP296,'Scoring Method'!$A$105:$A$113,0))+INDEX('Scoring Method'!$B$74:$B$78,MATCH(AQ296,'Scoring Method'!$A$74:$A$78,0))*0.6667+INDEX('Scoring Method'!$B$96:$B$101,MATCH(AO296,'Scoring Method'!$A$96:$A$101,0))+INDEX('Scoring Method'!$B$343:$B$347,MATCH(X296,'Scoring Method'!$A$343:$A$347,0))*0.3333+INDEX('Scoring Method'!$B$25:$B$27,MATCH(P296,'Scoring Method'!$A$25:$A$27,0))*0.3333,1)</f>
        <v/>
      </c>
      <c r="AT296" s="96">
        <f>AS296*U296/100</f>
        <v/>
      </c>
      <c r="AU296" s="92" t="inlineStr">
        <is>
          <t>Rittes East / Winston Park</t>
        </is>
      </c>
      <c r="AV296" s="92" t="n">
        <v>82</v>
      </c>
      <c r="AW296" s="92" t="inlineStr">
        <is>
          <t>Sourced</t>
        </is>
      </c>
      <c r="AX296" s="92" t="inlineStr">
        <is>
          <t>Very safe 80+</t>
        </is>
      </c>
      <c r="AY296" s="96">
        <f>ROUND(INDEX('Scoring Method'!$B$132:$B$140,MATCH(AE296,'Scoring Method'!$A$132:$A$140,0))+INDEX('Scoring Method'!$B$144:$B$152,MATCH(AP296,'Scoring Method'!$A$144:$A$152,0))+INDEX('Scoring Method'!$B$156:$B$160,MATCH(AQ296,'Scoring Method'!$A$156:$A$160,0))+INDEX('Scoring Method'!$B$164:$B$169,MATCH(AO296,'Scoring Method'!$A$164:$A$169,0))+INDEX('Scoring Method'!$B$173:$B$178,MATCH(AX296,'Scoring Method'!$A$173:$A$178,0))+INDEX('Scoring Method'!$B$349:$B$353,MATCH(X296,'Scoring Method'!$A$349:$A$353,0))+INDEX('Scoring Method'!$B$188:$B$190,MATCH(P296,'Scoring Method'!$A$188:$A$190,0)),1)</f>
        <v/>
      </c>
      <c r="AZ296" s="96">
        <f>AY296*U296/100</f>
        <v/>
      </c>
      <c r="BA296" s="92" t="inlineStr">
        <is>
          <t>No chain signal</t>
        </is>
      </c>
      <c r="BB296" s="94" t="n">
        <v>1</v>
      </c>
      <c r="BC296" s="103" t="inlineStr">
        <is>
          <t>Oversized &gt;1.25 AC</t>
        </is>
      </c>
      <c r="BD296" s="94" t="n">
        <v>0.65</v>
      </c>
      <c r="BE296" s="96">
        <f>ROUND(INDEX('Scoring Method'!$B$268:$B$276,MATCH(AE296,'Scoring Method'!$A$268:$A$276,0))+INDEX('Scoring Method'!$B$280:$B$288,MATCH(AP296,'Scoring Method'!$A$280:$A$288,0))+INDEX('Scoring Method'!$B$292:$B$296,MATCH(AQ296,'Scoring Method'!$A$292:$A$296,0))+INDEX('Scoring Method'!$B$300:$B$305,MATCH(AO296,'Scoring Method'!$A$300:$A$305,0))+INDEX('Scoring Method'!$B$309:$B$314,MATCH(AX296,'Scoring Method'!$A$309:$A$314,0))+INDEX('Scoring Method'!$B$337:$B$341,MATCH(X296,'Scoring Method'!$A$337:$A$341,0))+INDEX('Scoring Method'!$B$324:$B$326,MATCH(P296,'Scoring Method'!$A$324:$A$326,0)),1)</f>
        <v/>
      </c>
      <c r="BF296" s="96">
        <f>ROUND(INDEX('Scoring Method'!$B$268:$B$276,MATCH(AE296,'Scoring Method'!$A$268:$A$276,0))*BB296*BD296+INDEX('Scoring Method'!$B$280:$B$288,MATCH(AP296,'Scoring Method'!$A$280:$A$288,0))*BM296*BB296*BD296+INDEX('Scoring Method'!$B$292:$B$296,MATCH(AQ296,'Scoring Method'!$A$292:$A$296,0))*BD296+INDEX('Scoring Method'!$B$300:$B$305,MATCH(AO296,'Scoring Method'!$A$300:$A$305,0))*BM296*BB296+INDEX('Scoring Method'!$B$309:$B$314,MATCH(AX296,'Scoring Method'!$A$309:$A$314,0))+INDEX('Scoring Method'!$B$337:$B$341,MATCH(X296,'Scoring Method'!$A$337:$A$341,0))+INDEX('Scoring Method'!$B$324:$B$326,MATCH(P296,'Scoring Method'!$A$324:$A$326,0)),1)</f>
        <v/>
      </c>
      <c r="BG296" s="102" t="inlineStr">
        <is>
          <t>Over (~$19,910/mo)</t>
        </is>
      </c>
      <c r="BH296" s="61" t="inlineStr">
        <is>
          <t>SI</t>
        </is>
      </c>
      <c r="BI296" s="61" t="inlineStr">
        <is>
          <t>Suburban Industrial</t>
        </is>
      </c>
      <c r="BJ296" s="61" t="inlineStr"/>
      <c r="BK296" s="61" t="inlineStr"/>
      <c r="BL296" s="61" t="inlineStr">
        <is>
          <t>Bar permitted</t>
        </is>
      </c>
      <c r="BM296" s="61">
        <f>INDEX('Scoring Method'!$B$358:$B$363,MATCH(BL296,'Scoring Method'!$A$358:$A$363,0))</f>
        <v/>
      </c>
    </row>
    <row r="297" ht="15" customHeight="1" s="62">
      <c r="A297" s="92" t="n">
        <v>296</v>
      </c>
      <c r="B297" s="92" t="inlineStr">
        <is>
          <t>055-31-03-014.00</t>
        </is>
      </c>
      <c r="C297" s="92" t="inlineStr">
        <is>
          <t>339 PLEASANT ST</t>
        </is>
      </c>
      <c r="D297" s="92" t="inlineStr">
        <is>
          <t>ELECTRICMASTERS INC</t>
        </is>
      </c>
      <c r="E297" s="92" t="inlineStr">
        <is>
          <t>339 PLEASANT ST</t>
        </is>
      </c>
      <c r="F297" s="92" t="inlineStr">
        <is>
          <t>COVINGTON</t>
        </is>
      </c>
      <c r="G297" s="92" t="inlineStr">
        <is>
          <t>KY</t>
        </is>
      </c>
      <c r="H297" s="92" t="inlineStr">
        <is>
          <t>SMALL SHOP</t>
        </is>
      </c>
      <c r="I297" s="93" t="n">
        <v>12797</v>
      </c>
      <c r="J297" s="94">
        <f>I297/43560</f>
        <v/>
      </c>
      <c r="K297" s="93" t="n">
        <v>455.9</v>
      </c>
      <c r="L297" s="95">
        <f>I297/(K297^2)</f>
        <v/>
      </c>
      <c r="M297" s="92" t="inlineStr">
        <is>
          <t>Marginal 10-14k/45-60k</t>
        </is>
      </c>
      <c r="N297" s="92" t="inlineStr">
        <is>
          <t>A</t>
        </is>
      </c>
      <c r="O297" s="92" t="inlineStr">
        <is>
          <t>Compact &gt;=.055</t>
        </is>
      </c>
      <c r="P297" s="92" t="inlineStr">
        <is>
          <t>Low</t>
        </is>
      </c>
      <c r="Q297" s="92" t="inlineStr">
        <is>
          <t>Owner-occupied</t>
        </is>
      </c>
      <c r="R297" s="92" t="inlineStr">
        <is>
          <t>Operating entity</t>
        </is>
      </c>
      <c r="S297" s="92" t="n">
        <v>1</v>
      </c>
      <c r="T297" s="96">
        <f>INDEX('Scoring Method'!$B$6:$B$9,MATCH(M297,'Scoring Method'!$A$6:$A$9,0))+INDEX('Scoring Method'!$B$12:$B$16,MATCH(N297,'Scoring Method'!$A$12:$A$16,0))+INDEX('Scoring Method'!$B$19:$B$22,MATCH(O297,'Scoring Method'!$A$19:$A$22,0))+INDEX('Scoring Method'!$B$25:$B$27,MATCH(P297,'Scoring Method'!$A$25:$A$27,0))</f>
        <v/>
      </c>
      <c r="U297" s="96">
        <f>(INDEX('Scoring Method'!$B$30:$B$33,MATCH(Q297,'Scoring Method'!$A$30:$A$33,0))+INDEX('Scoring Method'!$B$36:$B$42,MATCH(R297,'Scoring Method'!$A$36:$A$42,0))+INDEX('Scoring Method'!$B$45:$B$47,MATCH(IF(S297=1,"1",IF(S297=2,"2","3+")),'Scoring Method'!$A$45:$A$47,0)))/90*100</f>
        <v/>
      </c>
      <c r="V297" s="96">
        <f>T297*U297/100</f>
        <v/>
      </c>
      <c r="W297" s="93" t="n">
        <v>4500</v>
      </c>
      <c r="X297" s="92" t="inlineStr">
        <is>
          <t>X (levee-protected)</t>
        </is>
      </c>
      <c r="Y297" s="93" t="n">
        <v>6575</v>
      </c>
      <c r="Z297" s="97" t="n"/>
      <c r="AA297" s="98">
        <f>MAX(0,(Y297-5000)/300)</f>
        <v/>
      </c>
      <c r="AB297" s="92" t="n"/>
      <c r="AC297" s="92" t="n"/>
      <c r="AD297" s="92" t="n"/>
      <c r="AE297" s="92" t="inlineStr">
        <is>
          <t>Large 4-6k</t>
        </is>
      </c>
      <c r="AF297" s="96">
        <f>INDEX('Scoring Method'!$B$63:$B$71,MATCH(AE297,'Scoring Method'!$A$63:$A$71,0))+INDEX('Scoring Method'!$B$75:$B$79,MATCH("Adequate 5-8k",'Scoring Method'!$A$75:$A$79,0))+INDEX('Scoring Method'!$B$343:$B$347,MATCH(X297,'Scoring Method'!$A$343:$A$347,0))+INDEX('Scoring Method'!$B$25:$B$27,MATCH(P297,'Scoring Method'!$A$25:$A$27,0))</f>
        <v/>
      </c>
      <c r="AG297" s="96">
        <f>AF297*U297/100</f>
        <v/>
      </c>
      <c r="AH297" s="92" t="inlineStr">
        <is>
          <t>LINK-GIS + LoopNet (2026-08-02)</t>
        </is>
      </c>
      <c r="AI297" s="99" t="n">
        <v>39.07674</v>
      </c>
      <c r="AJ297" s="99" t="n">
        <v>-84.50135</v>
      </c>
      <c r="AK297" s="94" t="n">
        <v>1.03</v>
      </c>
      <c r="AL297" s="94" t="n">
        <v>1.05</v>
      </c>
      <c r="AM297" s="94" t="n">
        <v>1.81</v>
      </c>
      <c r="AN297" s="94" t="n">
        <v>0.72</v>
      </c>
      <c r="AO297" s="92" t="inlineStr">
        <is>
          <t>Near 0.35-0.75mi</t>
        </is>
      </c>
      <c r="AP297" s="92" t="inlineStr">
        <is>
          <t>Open span</t>
        </is>
      </c>
      <c r="AQ297" s="92" t="inlineStr">
        <is>
          <t>Adequate 5-8k</t>
        </is>
      </c>
      <c r="AR297" s="100" t="n"/>
      <c r="AS297" s="96">
        <f>ROUND(INDEX('Scoring Method'!$B$63:$B$70,MATCH(AE297,'Scoring Method'!$A$63:$A$70,0))*0.625+INDEX('Scoring Method'!$B$105:$B$113,MATCH(AP297,'Scoring Method'!$A$105:$A$113,0))+INDEX('Scoring Method'!$B$74:$B$78,MATCH(AQ297,'Scoring Method'!$A$74:$A$78,0))*0.6667+INDEX('Scoring Method'!$B$96:$B$101,MATCH(AO297,'Scoring Method'!$A$96:$A$101,0))+INDEX('Scoring Method'!$B$343:$B$347,MATCH(X297,'Scoring Method'!$A$343:$A$347,0))*0.3333+INDEX('Scoring Method'!$B$25:$B$27,MATCH(P297,'Scoring Method'!$A$25:$A$27,0))*0.3333,1)</f>
        <v/>
      </c>
      <c r="AT297" s="96">
        <f>AS297*U297/100</f>
        <v/>
      </c>
      <c r="AU297" s="92" t="inlineStr">
        <is>
          <t>Austinburg</t>
        </is>
      </c>
      <c r="AV297" s="92" t="n">
        <v>32</v>
      </c>
      <c r="AW297" s="101" t="inlineStr">
        <is>
          <t>ESTIMATED</t>
        </is>
      </c>
      <c r="AX297" s="92" t="inlineStr">
        <is>
          <t>High &lt;35</t>
        </is>
      </c>
      <c r="AY297" s="96">
        <f>ROUND(INDEX('Scoring Method'!$B$132:$B$140,MATCH(AE297,'Scoring Method'!$A$132:$A$140,0))+INDEX('Scoring Method'!$B$144:$B$152,MATCH(AP297,'Scoring Method'!$A$144:$A$152,0))+INDEX('Scoring Method'!$B$156:$B$160,MATCH(AQ297,'Scoring Method'!$A$156:$A$160,0))+INDEX('Scoring Method'!$B$164:$B$169,MATCH(AO297,'Scoring Method'!$A$164:$A$169,0))+INDEX('Scoring Method'!$B$173:$B$178,MATCH(AX297,'Scoring Method'!$A$173:$A$178,0))+INDEX('Scoring Method'!$B$349:$B$353,MATCH(X297,'Scoring Method'!$A$349:$A$353,0))+INDEX('Scoring Method'!$B$188:$B$190,MATCH(P297,'Scoring Method'!$A$188:$A$190,0)),1)</f>
        <v/>
      </c>
      <c r="AZ297" s="96">
        <f>AY297*U297/100</f>
        <v/>
      </c>
      <c r="BA297" s="92" t="inlineStr">
        <is>
          <t>Owner-occupied operator</t>
        </is>
      </c>
      <c r="BB297" s="94" t="n">
        <v>0.8</v>
      </c>
      <c r="BC297" s="102" t="inlineStr">
        <is>
          <t>Small 0.25-0.35 AC</t>
        </is>
      </c>
      <c r="BD297" s="94" t="n">
        <v>0.9</v>
      </c>
      <c r="BE297" s="96">
        <f>ROUND(INDEX('Scoring Method'!$B$268:$B$276,MATCH(AE297,'Scoring Method'!$A$268:$A$276,0))+INDEX('Scoring Method'!$B$280:$B$288,MATCH(AP297,'Scoring Method'!$A$280:$A$288,0))+INDEX('Scoring Method'!$B$292:$B$296,MATCH(AQ297,'Scoring Method'!$A$292:$A$296,0))+INDEX('Scoring Method'!$B$300:$B$305,MATCH(AO297,'Scoring Method'!$A$300:$A$305,0))+INDEX('Scoring Method'!$B$309:$B$314,MATCH(AX297,'Scoring Method'!$A$309:$A$314,0))+INDEX('Scoring Method'!$B$337:$B$341,MATCH(X297,'Scoring Method'!$A$337:$A$341,0))+INDEX('Scoring Method'!$B$324:$B$326,MATCH(P297,'Scoring Method'!$A$324:$A$326,0)),1)</f>
        <v/>
      </c>
      <c r="BF297" s="96">
        <f>ROUND(INDEX('Scoring Method'!$B$268:$B$276,MATCH(AE297,'Scoring Method'!$A$268:$A$276,0))*BB297*BD297+INDEX('Scoring Method'!$B$280:$B$288,MATCH(AP297,'Scoring Method'!$A$280:$A$288,0))*BM297*BB297*BD297+INDEX('Scoring Method'!$B$292:$B$296,MATCH(AQ297,'Scoring Method'!$A$292:$A$296,0))*BD297+INDEX('Scoring Method'!$B$300:$B$305,MATCH(AO297,'Scoring Method'!$A$300:$A$305,0))*BM297*BB297+INDEX('Scoring Method'!$B$309:$B$314,MATCH(AX297,'Scoring Method'!$A$309:$A$314,0))+INDEX('Scoring Method'!$B$337:$B$341,MATCH(X297,'Scoring Method'!$A$337:$A$341,0))+INDEX('Scoring Method'!$B$324:$B$326,MATCH(P297,'Scoring Method'!$A$324:$A$326,0)),1)</f>
        <v/>
      </c>
      <c r="BG297" s="92" t="inlineStr">
        <is>
          <t>Fits (~$4,125/mo)</t>
        </is>
      </c>
      <c r="BH297" s="61" t="inlineStr">
        <is>
          <t>CMU</t>
        </is>
      </c>
      <c r="BI297" s="61" t="inlineStr">
        <is>
          <t>Commercial Mixed Use</t>
        </is>
      </c>
      <c r="BJ297" s="61" t="inlineStr"/>
      <c r="BK297" s="61" t="inlineStr"/>
      <c r="BL297" s="61" t="inlineStr">
        <is>
          <t>Bar permitted</t>
        </is>
      </c>
      <c r="BM297" s="61">
        <f>INDEX('Scoring Method'!$B$358:$B$363,MATCH(BL297,'Scoring Method'!$A$358:$A$363,0))</f>
        <v/>
      </c>
    </row>
    <row r="298" ht="15" customHeight="1" s="62">
      <c r="A298" s="92" t="n">
        <v>297</v>
      </c>
      <c r="B298" s="92" t="inlineStr">
        <is>
          <t>056-20-00-061.00</t>
        </is>
      </c>
      <c r="C298" s="92" t="inlineStr">
        <is>
          <t>4310 BORON AVE</t>
        </is>
      </c>
      <c r="D298" s="92" t="inlineStr">
        <is>
          <t>CR TRUITT LLC</t>
        </is>
      </c>
      <c r="E298" s="92" t="inlineStr">
        <is>
          <t>4310 BORON DR</t>
        </is>
      </c>
      <c r="F298" s="92" t="inlineStr">
        <is>
          <t>COVINGTON</t>
        </is>
      </c>
      <c r="G298" s="92" t="inlineStr">
        <is>
          <t>KY</t>
        </is>
      </c>
      <c r="H298" s="92" t="inlineStr">
        <is>
          <t>WAREHOUSE 1-20000 SQ FT</t>
        </is>
      </c>
      <c r="I298" s="93" t="n">
        <v>52516</v>
      </c>
      <c r="J298" s="94">
        <f>I298/43560</f>
        <v/>
      </c>
      <c r="K298" s="93" t="n">
        <v>917.8</v>
      </c>
      <c r="L298" s="95">
        <f>I298/(K298^2)</f>
        <v/>
      </c>
      <c r="M298" s="92" t="inlineStr">
        <is>
          <t>Marginal 10-14k/45-60k</t>
        </is>
      </c>
      <c r="N298" s="92" t="inlineStr">
        <is>
          <t>A</t>
        </is>
      </c>
      <c r="O298" s="92" t="inlineStr">
        <is>
          <t>Compact &gt;=.055</t>
        </is>
      </c>
      <c r="P298" s="92" t="inlineStr">
        <is>
          <t>Low</t>
        </is>
      </c>
      <c r="Q298" s="92" t="inlineStr">
        <is>
          <t>Owner-occupied</t>
        </is>
      </c>
      <c r="R298" s="92" t="inlineStr">
        <is>
          <t>Operating entity</t>
        </is>
      </c>
      <c r="S298" s="92" t="n">
        <v>1</v>
      </c>
      <c r="T298" s="96">
        <f>INDEX('Scoring Method'!$B$6:$B$9,MATCH(M298,'Scoring Method'!$A$6:$A$9,0))+INDEX('Scoring Method'!$B$12:$B$16,MATCH(N298,'Scoring Method'!$A$12:$A$16,0))+INDEX('Scoring Method'!$B$19:$B$22,MATCH(O298,'Scoring Method'!$A$19:$A$22,0))+INDEX('Scoring Method'!$B$25:$B$27,MATCH(P298,'Scoring Method'!$A$25:$A$27,0))</f>
        <v/>
      </c>
      <c r="U298" s="96">
        <f>(INDEX('Scoring Method'!$B$30:$B$33,MATCH(Q298,'Scoring Method'!$A$30:$A$33,0))+INDEX('Scoring Method'!$B$36:$B$42,MATCH(R298,'Scoring Method'!$A$36:$A$42,0))+INDEX('Scoring Method'!$B$45:$B$47,MATCH(IF(S298=1,"1",IF(S298=2,"2","3+")),'Scoring Method'!$A$45:$A$47,0)))/90*100</f>
        <v/>
      </c>
      <c r="V298" s="96">
        <f>T298*U298/100</f>
        <v/>
      </c>
      <c r="W298" s="93" t="n">
        <v>9250</v>
      </c>
      <c r="X298" s="92" t="inlineStr">
        <is>
          <t>X (minimal hazard)</t>
        </is>
      </c>
      <c r="Y298" s="93" t="n">
        <v>38250</v>
      </c>
      <c r="Z298" s="97" t="n"/>
      <c r="AA298" s="98">
        <f>MAX(0,(Y298-5000)/300)</f>
        <v/>
      </c>
      <c r="AB298" s="92" t="n"/>
      <c r="AC298" s="92" t="n"/>
      <c r="AD298" s="92" t="n"/>
      <c r="AE298" s="92" t="inlineStr">
        <is>
          <t>Oversize 6-12k</t>
        </is>
      </c>
      <c r="AF298" s="96">
        <f>INDEX('Scoring Method'!$B$63:$B$71,MATCH(AE298,'Scoring Method'!$A$63:$A$71,0))+INDEX('Scoring Method'!$B$75:$B$79,MATCH("Ample &gt;=15k",'Scoring Method'!$A$75:$A$79,0))+INDEX('Scoring Method'!$B$343:$B$347,MATCH(X298,'Scoring Method'!$A$343:$A$347,0))+INDEX('Scoring Method'!$B$25:$B$27,MATCH(P298,'Scoring Method'!$A$25:$A$27,0))</f>
        <v/>
      </c>
      <c r="AG298" s="96">
        <f>AF298*U298/100</f>
        <v/>
      </c>
      <c r="AH298" s="92" t="inlineStr">
        <is>
          <t>LINK-GIS + LoopNet (2026-08-02)</t>
        </is>
      </c>
      <c r="AI298" s="99" t="n">
        <v>39.04068</v>
      </c>
      <c r="AJ298" s="99" t="n">
        <v>-84.51237999999999</v>
      </c>
      <c r="AK298" s="94" t="n">
        <v>3.04</v>
      </c>
      <c r="AL298" s="94" t="n">
        <v>3.47</v>
      </c>
      <c r="AM298" s="94" t="n">
        <v>4.2</v>
      </c>
      <c r="AN298" s="94" t="n">
        <v>2.99</v>
      </c>
      <c r="AO298" s="92" t="inlineStr">
        <is>
          <t>Distant 2-3mi</t>
        </is>
      </c>
      <c r="AP298" s="92" t="inlineStr">
        <is>
          <t>Open span</t>
        </is>
      </c>
      <c r="AQ298" s="92" t="inlineStr">
        <is>
          <t>Ample &gt;=15k</t>
        </is>
      </c>
      <c r="AR298" s="100" t="n"/>
      <c r="AS298" s="96">
        <f>ROUND(INDEX('Scoring Method'!$B$63:$B$70,MATCH(AE298,'Scoring Method'!$A$63:$A$70,0))*0.625+INDEX('Scoring Method'!$B$105:$B$113,MATCH(AP298,'Scoring Method'!$A$105:$A$113,0))+INDEX('Scoring Method'!$B$74:$B$78,MATCH(AQ298,'Scoring Method'!$A$74:$A$78,0))*0.6667+INDEX('Scoring Method'!$B$96:$B$101,MATCH(AO298,'Scoring Method'!$A$96:$A$101,0))+INDEX('Scoring Method'!$B$343:$B$347,MATCH(X298,'Scoring Method'!$A$343:$A$347,0))*0.3333+INDEX('Scoring Method'!$B$25:$B$27,MATCH(P298,'Scoring Method'!$A$25:$A$27,0))*0.3333,1)</f>
        <v/>
      </c>
      <c r="AT298" s="96">
        <f>AS298*U298/100</f>
        <v/>
      </c>
      <c r="AU298" s="92" t="inlineStr">
        <is>
          <t>Rittes East / Winston Park</t>
        </is>
      </c>
      <c r="AV298" s="92" t="n">
        <v>82</v>
      </c>
      <c r="AW298" s="92" t="inlineStr">
        <is>
          <t>Sourced</t>
        </is>
      </c>
      <c r="AX298" s="92" t="inlineStr">
        <is>
          <t>Very safe 80+</t>
        </is>
      </c>
      <c r="AY298" s="96">
        <f>ROUND(INDEX('Scoring Method'!$B$132:$B$140,MATCH(AE298,'Scoring Method'!$A$132:$A$140,0))+INDEX('Scoring Method'!$B$144:$B$152,MATCH(AP298,'Scoring Method'!$A$144:$A$152,0))+INDEX('Scoring Method'!$B$156:$B$160,MATCH(AQ298,'Scoring Method'!$A$156:$A$160,0))+INDEX('Scoring Method'!$B$164:$B$169,MATCH(AO298,'Scoring Method'!$A$164:$A$169,0))+INDEX('Scoring Method'!$B$173:$B$178,MATCH(AX298,'Scoring Method'!$A$173:$A$178,0))+INDEX('Scoring Method'!$B$349:$B$353,MATCH(X298,'Scoring Method'!$A$349:$A$353,0))+INDEX('Scoring Method'!$B$188:$B$190,MATCH(P298,'Scoring Method'!$A$188:$A$190,0)),1)</f>
        <v/>
      </c>
      <c r="AZ298" s="96">
        <f>AY298*U298/100</f>
        <v/>
      </c>
      <c r="BA298" s="92" t="inlineStr">
        <is>
          <t>Owner-occupied operator</t>
        </is>
      </c>
      <c r="BB298" s="94" t="n">
        <v>0.8</v>
      </c>
      <c r="BC298" s="102" t="inlineStr">
        <is>
          <t>Large 0.75-1.25 AC</t>
        </is>
      </c>
      <c r="BD298" s="94" t="n">
        <v>0.9</v>
      </c>
      <c r="BE298" s="96">
        <f>ROUND(INDEX('Scoring Method'!$B$268:$B$276,MATCH(AE298,'Scoring Method'!$A$268:$A$276,0))+INDEX('Scoring Method'!$B$280:$B$288,MATCH(AP298,'Scoring Method'!$A$280:$A$288,0))+INDEX('Scoring Method'!$B$292:$B$296,MATCH(AQ298,'Scoring Method'!$A$292:$A$296,0))+INDEX('Scoring Method'!$B$300:$B$305,MATCH(AO298,'Scoring Method'!$A$300:$A$305,0))+INDEX('Scoring Method'!$B$309:$B$314,MATCH(AX298,'Scoring Method'!$A$309:$A$314,0))+INDEX('Scoring Method'!$B$337:$B$341,MATCH(X298,'Scoring Method'!$A$337:$A$341,0))+INDEX('Scoring Method'!$B$324:$B$326,MATCH(P298,'Scoring Method'!$A$324:$A$326,0)),1)</f>
        <v/>
      </c>
      <c r="BF298" s="96">
        <f>ROUND(INDEX('Scoring Method'!$B$268:$B$276,MATCH(AE298,'Scoring Method'!$A$268:$A$276,0))*BB298*BD298+INDEX('Scoring Method'!$B$280:$B$288,MATCH(AP298,'Scoring Method'!$A$280:$A$288,0))*BM298*BB298*BD298+INDEX('Scoring Method'!$B$292:$B$296,MATCH(AQ298,'Scoring Method'!$A$292:$A$296,0))*BD298+INDEX('Scoring Method'!$B$300:$B$305,MATCH(AO298,'Scoring Method'!$A$300:$A$305,0))*BM298*BB298+INDEX('Scoring Method'!$B$309:$B$314,MATCH(AX298,'Scoring Method'!$A$309:$A$314,0))+INDEX('Scoring Method'!$B$337:$B$341,MATCH(X298,'Scoring Method'!$A$337:$A$341,0))+INDEX('Scoring Method'!$B$324:$B$326,MATCH(P298,'Scoring Method'!$A$324:$A$326,0)),1)</f>
        <v/>
      </c>
      <c r="BG298" s="102" t="inlineStr">
        <is>
          <t>Fits (~$8,479/mo)</t>
        </is>
      </c>
      <c r="BH298" s="61" t="inlineStr">
        <is>
          <t>SI</t>
        </is>
      </c>
      <c r="BI298" s="61" t="inlineStr">
        <is>
          <t>Suburban Industrial</t>
        </is>
      </c>
      <c r="BJ298" s="61" t="inlineStr"/>
      <c r="BK298" s="61" t="inlineStr"/>
      <c r="BL298" s="61" t="inlineStr">
        <is>
          <t>Bar permitted</t>
        </is>
      </c>
      <c r="BM298" s="61">
        <f>INDEX('Scoring Method'!$B$358:$B$363,MATCH(BL298,'Scoring Method'!$A$358:$A$363,0))</f>
        <v/>
      </c>
    </row>
    <row r="299" ht="15" customHeight="1" s="62">
      <c r="A299" s="92" t="n">
        <v>298</v>
      </c>
      <c r="B299" s="92" t="inlineStr">
        <is>
          <t>054-21-21-004.01</t>
        </is>
      </c>
      <c r="C299" s="92" t="inlineStr">
        <is>
          <t>513 MADISON AVE</t>
        </is>
      </c>
      <c r="D299" s="92" t="inlineStr">
        <is>
          <t>NORTHERN KENTUCKY MHMR</t>
        </is>
      </c>
      <c r="E299" s="92" t="inlineStr">
        <is>
          <t>503 FARRELL DR</t>
        </is>
      </c>
      <c r="F299" s="92" t="inlineStr">
        <is>
          <t>COVINGTON</t>
        </is>
      </c>
      <c r="G299" s="92" t="inlineStr">
        <is>
          <t>KY</t>
        </is>
      </c>
      <c r="H299" s="92" t="inlineStr">
        <is>
          <t>OFFICE TOWER - 3 STORY &amp; UP</t>
        </is>
      </c>
      <c r="I299" s="93" t="n">
        <v>9025</v>
      </c>
      <c r="J299" s="94">
        <f>I299/43560</f>
        <v/>
      </c>
      <c r="K299" s="93" t="n">
        <v>475</v>
      </c>
      <c r="L299" s="95">
        <f>I299/(K299^2)</f>
        <v/>
      </c>
      <c r="M299" s="92" t="inlineStr">
        <is>
          <t>Poor &lt;10k/&gt;60k</t>
        </is>
      </c>
      <c r="N299" s="92" t="inlineStr">
        <is>
          <t>E</t>
        </is>
      </c>
      <c r="O299" s="92" t="inlineStr">
        <is>
          <t>Elongated .035-.045</t>
        </is>
      </c>
      <c r="P299" s="92" t="inlineStr">
        <is>
          <t>Low</t>
        </is>
      </c>
      <c r="Q299" s="92" t="inlineStr">
        <is>
          <t>Local absentee</t>
        </is>
      </c>
      <c r="R299" s="92" t="inlineStr">
        <is>
          <t>Individual</t>
        </is>
      </c>
      <c r="S299" s="92" t="n">
        <v>1</v>
      </c>
      <c r="T299" s="96">
        <f>INDEX('Scoring Method'!$B$6:$B$9,MATCH(M299,'Scoring Method'!$A$6:$A$9,0))+INDEX('Scoring Method'!$B$12:$B$16,MATCH(N299,'Scoring Method'!$A$12:$A$16,0))+INDEX('Scoring Method'!$B$19:$B$22,MATCH(O299,'Scoring Method'!$A$19:$A$22,0))+INDEX('Scoring Method'!$B$25:$B$27,MATCH(P299,'Scoring Method'!$A$25:$A$27,0))</f>
        <v/>
      </c>
      <c r="U299" s="96">
        <f>(INDEX('Scoring Method'!$B$30:$B$33,MATCH(Q299,'Scoring Method'!$A$30:$A$33,0))+INDEX('Scoring Method'!$B$36:$B$42,MATCH(R299,'Scoring Method'!$A$36:$A$42,0))+INDEX('Scoring Method'!$B$45:$B$47,MATCH(IF(S299=1,"1",IF(S299=2,"2","3+")),'Scoring Method'!$A$45:$A$47,0)))/90*100</f>
        <v/>
      </c>
      <c r="V299" s="96">
        <f>T299*U299/100</f>
        <v/>
      </c>
      <c r="W299" s="93" t="n">
        <v>8075</v>
      </c>
      <c r="X299" s="92" t="inlineStr">
        <is>
          <t>X (minimal hazard)</t>
        </is>
      </c>
      <c r="Y299" s="93" t="n">
        <v>0</v>
      </c>
      <c r="Z299" s="97" t="n"/>
      <c r="AA299" s="98">
        <f>MAX(0,(Y299-5000)/300)</f>
        <v/>
      </c>
      <c r="AB299" s="92" t="n"/>
      <c r="AC299" s="92" t="n"/>
      <c r="AD299" s="92" t="n"/>
      <c r="AE299" s="92" t="inlineStr">
        <is>
          <t>Office tower 3+ storey</t>
        </is>
      </c>
      <c r="AF299" s="96">
        <f>INDEX('Scoring Method'!$B$63:$B$71,MATCH(AE299,'Scoring Method'!$A$63:$A$71,0))+INDEX('Scoring Method'!$B$75:$B$79,MATCH("Insufficient &lt;2k",'Scoring Method'!$A$75:$A$79,0))+INDEX('Scoring Method'!$B$343:$B$347,MATCH(X299,'Scoring Method'!$A$343:$A$347,0))+INDEX('Scoring Method'!$B$25:$B$27,MATCH(P299,'Scoring Method'!$A$25:$A$27,0))</f>
        <v/>
      </c>
      <c r="AG299" s="96">
        <f>AF299*U299/100</f>
        <v/>
      </c>
      <c r="AH299" s="92" t="inlineStr">
        <is>
          <t>LINK-GIS only</t>
        </is>
      </c>
      <c r="AI299" s="99" t="n">
        <v>39.0854</v>
      </c>
      <c r="AJ299" s="99" t="n">
        <v>-84.511</v>
      </c>
      <c r="AK299" s="94" t="n">
        <v>0.37</v>
      </c>
      <c r="AL299" s="94" t="n">
        <v>0.4</v>
      </c>
      <c r="AM299" s="94" t="n">
        <v>1.11</v>
      </c>
      <c r="AN299" s="94" t="n">
        <v>0.1</v>
      </c>
      <c r="AO299" s="92" t="inlineStr">
        <is>
          <t>Core &lt;=0.35mi</t>
        </is>
      </c>
      <c r="AP299" s="92" t="inlineStr">
        <is>
          <t>Office tower 3+ storey</t>
        </is>
      </c>
      <c r="AQ299" s="92" t="inlineStr">
        <is>
          <t>Insufficient &lt;2k</t>
        </is>
      </c>
      <c r="AR299" s="100" t="n"/>
      <c r="AS299" s="96">
        <f>ROUND(INDEX('Scoring Method'!$B$63:$B$70,MATCH(AE299,'Scoring Method'!$A$63:$A$70,0))*0.625+INDEX('Scoring Method'!$B$105:$B$113,MATCH(AP299,'Scoring Method'!$A$105:$A$113,0))+INDEX('Scoring Method'!$B$74:$B$78,MATCH(AQ299,'Scoring Method'!$A$74:$A$78,0))*0.6667+INDEX('Scoring Method'!$B$96:$B$101,MATCH(AO299,'Scoring Method'!$A$96:$A$101,0))+INDEX('Scoring Method'!$B$343:$B$347,MATCH(X299,'Scoring Method'!$A$343:$A$347,0))*0.3333+INDEX('Scoring Method'!$B$25:$B$27,MATCH(P299,'Scoring Method'!$A$25:$A$27,0))*0.3333,1)</f>
        <v/>
      </c>
      <c r="AT299" s="96">
        <f>AS299*U299/100</f>
        <v/>
      </c>
      <c r="AU299" s="92" t="inlineStr">
        <is>
          <t>Central Business District</t>
        </is>
      </c>
      <c r="AV299" s="92" t="n">
        <v>48</v>
      </c>
      <c r="AW299" s="101" t="inlineStr">
        <is>
          <t>ESTIMATED</t>
        </is>
      </c>
      <c r="AX299" s="92" t="inlineStr">
        <is>
          <t>Mixed 45-59</t>
        </is>
      </c>
      <c r="AY299" s="96">
        <f>ROUND(INDEX('Scoring Method'!$B$132:$B$140,MATCH(AE299,'Scoring Method'!$A$132:$A$140,0))+INDEX('Scoring Method'!$B$144:$B$152,MATCH(AP299,'Scoring Method'!$A$144:$A$152,0))+INDEX('Scoring Method'!$B$156:$B$160,MATCH(AQ299,'Scoring Method'!$A$156:$A$160,0))+INDEX('Scoring Method'!$B$164:$B$169,MATCH(AO299,'Scoring Method'!$A$164:$A$169,0))+INDEX('Scoring Method'!$B$173:$B$178,MATCH(AX299,'Scoring Method'!$A$173:$A$178,0))+INDEX('Scoring Method'!$B$349:$B$353,MATCH(X299,'Scoring Method'!$A$349:$A$353,0))+INDEX('Scoring Method'!$B$188:$B$190,MATCH(P299,'Scoring Method'!$A$188:$A$190,0)),1)</f>
        <v/>
      </c>
      <c r="AZ299" s="96">
        <f>AY299*U299/100</f>
        <v/>
      </c>
      <c r="BA299" s="92" t="inlineStr">
        <is>
          <t>No chain signal</t>
        </is>
      </c>
      <c r="BB299" s="94" t="n">
        <v>1</v>
      </c>
      <c r="BC299" s="103" t="inlineStr">
        <is>
          <t>Extra small 0.15-0.25 AC</t>
        </is>
      </c>
      <c r="BD299" s="94" t="n">
        <v>0.8</v>
      </c>
      <c r="BE299" s="96">
        <f>ROUND(INDEX('Scoring Method'!$B$268:$B$276,MATCH(AE299,'Scoring Method'!$A$268:$A$276,0))+INDEX('Scoring Method'!$B$280:$B$288,MATCH(AP299,'Scoring Method'!$A$280:$A$288,0))+INDEX('Scoring Method'!$B$292:$B$296,MATCH(AQ299,'Scoring Method'!$A$292:$A$296,0))+INDEX('Scoring Method'!$B$300:$B$305,MATCH(AO299,'Scoring Method'!$A$300:$A$305,0))+INDEX('Scoring Method'!$B$309:$B$314,MATCH(AX299,'Scoring Method'!$A$309:$A$314,0))+INDEX('Scoring Method'!$B$337:$B$341,MATCH(X299,'Scoring Method'!$A$337:$A$341,0))+INDEX('Scoring Method'!$B$324:$B$326,MATCH(P299,'Scoring Method'!$A$324:$A$326,0)),1)</f>
        <v/>
      </c>
      <c r="BF299" s="96">
        <f>ROUND(INDEX('Scoring Method'!$B$268:$B$276,MATCH(AE299,'Scoring Method'!$A$268:$A$276,0))*BB299*BD299+INDEX('Scoring Method'!$B$280:$B$288,MATCH(AP299,'Scoring Method'!$A$280:$A$288,0))*BM299*BB299*BD299+INDEX('Scoring Method'!$B$292:$B$296,MATCH(AQ299,'Scoring Method'!$A$292:$A$296,0))*BD299+INDEX('Scoring Method'!$B$300:$B$305,MATCH(AO299,'Scoring Method'!$A$300:$A$305,0))*BM299*BB299+INDEX('Scoring Method'!$B$309:$B$314,MATCH(AX299,'Scoring Method'!$A$309:$A$314,0))+INDEX('Scoring Method'!$B$337:$B$341,MATCH(X299,'Scoring Method'!$A$337:$A$341,0))+INDEX('Scoring Method'!$B$324:$B$326,MATCH(P299,'Scoring Method'!$A$324:$A$326,0)),1)</f>
        <v/>
      </c>
      <c r="BG299" s="92" t="inlineStr">
        <is>
          <t>Fits (~$7,402/mo)</t>
        </is>
      </c>
      <c r="BH299" s="61" t="inlineStr">
        <is>
          <t>DTC (HP)</t>
        </is>
      </c>
      <c r="BI299" s="61" t="inlineStr">
        <is>
          <t>Downtown Core</t>
        </is>
      </c>
      <c r="BJ299" s="61" t="inlineStr">
        <is>
          <t>HP</t>
        </is>
      </c>
      <c r="BK299" s="61" t="inlineStr"/>
      <c r="BL299" s="61" t="inlineStr">
        <is>
          <t>Bar permitted</t>
        </is>
      </c>
      <c r="BM299" s="61">
        <f>INDEX('Scoring Method'!$B$358:$B$363,MATCH(BL299,'Scoring Method'!$A$358:$A$363,0))</f>
        <v/>
      </c>
    </row>
    <row r="300" ht="15" customHeight="1" s="62">
      <c r="A300" s="92" t="n">
        <v>299</v>
      </c>
      <c r="B300" s="92" t="inlineStr">
        <is>
          <t>055-13-11-038.01</t>
        </is>
      </c>
      <c r="C300" s="92" t="inlineStr">
        <is>
          <t>1348 SCOTT ST</t>
        </is>
      </c>
      <c r="D300" s="92" t="inlineStr">
        <is>
          <t>BULLDOG CONSTRUCTION</t>
        </is>
      </c>
      <c r="E300" s="92" t="inlineStr">
        <is>
          <t>902 CLAYTON CT</t>
        </is>
      </c>
      <c r="F300" s="92" t="inlineStr">
        <is>
          <t>BELLEVUE</t>
        </is>
      </c>
      <c r="G300" s="92" t="inlineStr">
        <is>
          <t>KY</t>
        </is>
      </c>
      <c r="H300" s="92" t="inlineStr">
        <is>
          <t>OTHER RETAIL</t>
        </is>
      </c>
      <c r="I300" s="93" t="n">
        <v>8866</v>
      </c>
      <c r="J300" s="94">
        <f>I300/43560</f>
        <v/>
      </c>
      <c r="K300" s="93" t="n">
        <v>517.6</v>
      </c>
      <c r="L300" s="95">
        <f>I300/(K300^2)</f>
        <v/>
      </c>
      <c r="M300" s="92" t="inlineStr">
        <is>
          <t>Poor &lt;10k/&gt;60k</t>
        </is>
      </c>
      <c r="N300" s="92" t="inlineStr">
        <is>
          <t>C</t>
        </is>
      </c>
      <c r="O300" s="92" t="inlineStr">
        <is>
          <t>Irregular &lt;.035</t>
        </is>
      </c>
      <c r="P300" s="92" t="inlineStr">
        <is>
          <t>Low</t>
        </is>
      </c>
      <c r="Q300" s="92" t="inlineStr">
        <is>
          <t>Out-of-city KY</t>
        </is>
      </c>
      <c r="R300" s="92" t="inlineStr">
        <is>
          <t>Operating entity</t>
        </is>
      </c>
      <c r="S300" s="92" t="n">
        <v>1</v>
      </c>
      <c r="T300" s="96">
        <f>INDEX('Scoring Method'!$B$6:$B$9,MATCH(M300,'Scoring Method'!$A$6:$A$9,0))+INDEX('Scoring Method'!$B$12:$B$16,MATCH(N300,'Scoring Method'!$A$12:$A$16,0))+INDEX('Scoring Method'!$B$19:$B$22,MATCH(O300,'Scoring Method'!$A$19:$A$22,0))+INDEX('Scoring Method'!$B$25:$B$27,MATCH(P300,'Scoring Method'!$A$25:$A$27,0))</f>
        <v/>
      </c>
      <c r="U300" s="96">
        <f>(INDEX('Scoring Method'!$B$30:$B$33,MATCH(Q300,'Scoring Method'!$A$30:$A$33,0))+INDEX('Scoring Method'!$B$36:$B$42,MATCH(R300,'Scoring Method'!$A$36:$A$42,0))+INDEX('Scoring Method'!$B$45:$B$47,MATCH(IF(S300=1,"1",IF(S300=2,"2","3+")),'Scoring Method'!$A$45:$A$47,0)))/90*100</f>
        <v/>
      </c>
      <c r="V300" s="96">
        <f>T300*U300/100</f>
        <v/>
      </c>
      <c r="W300" s="93" t="n">
        <v>1100</v>
      </c>
      <c r="X300" s="92" t="inlineStr">
        <is>
          <t>X (minimal hazard)</t>
        </is>
      </c>
      <c r="Y300" s="93" t="n">
        <v>5350</v>
      </c>
      <c r="Z300" s="97">
        <f>W300/I300</f>
        <v/>
      </c>
      <c r="AA300" s="98">
        <f>MAX(0,(Y300-5000)/300)</f>
        <v/>
      </c>
      <c r="AB300" s="92" t="n"/>
      <c r="AC300" s="92" t="n">
        <v>0.13</v>
      </c>
      <c r="AD300" s="102" t="inlineStr">
        <is>
          <t>CHECK</t>
        </is>
      </c>
      <c r="AE300" s="92" t="inlineStr">
        <is>
          <t>Too small &lt;1.2k</t>
        </is>
      </c>
      <c r="AF300" s="96">
        <f>INDEX('Scoring Method'!$B$63:$B$71,MATCH(AE300,'Scoring Method'!$A$63:$A$71,0))+INDEX('Scoring Method'!$B$75:$B$79,MATCH("Adequate 5-8k",'Scoring Method'!$A$75:$A$79,0))+INDEX('Scoring Method'!$B$343:$B$347,MATCH(X300,'Scoring Method'!$A$343:$A$347,0))+INDEX('Scoring Method'!$B$25:$B$27,MATCH(P300,'Scoring Method'!$A$25:$A$27,0))</f>
        <v/>
      </c>
      <c r="AG300" s="96">
        <f>AF300*U300/100</f>
        <v/>
      </c>
      <c r="AH300" s="92" t="inlineStr">
        <is>
          <t>LINK-GIS + LoopNet</t>
        </is>
      </c>
      <c r="AI300" s="99" t="n">
        <v>39.07529</v>
      </c>
      <c r="AJ300" s="99" t="n">
        <v>-84.50583</v>
      </c>
      <c r="AK300" s="94" t="n">
        <v>0.9</v>
      </c>
      <c r="AL300" s="94" t="n">
        <v>1.08</v>
      </c>
      <c r="AM300" s="94" t="n">
        <v>1.84</v>
      </c>
      <c r="AN300" s="94" t="n">
        <v>0.66</v>
      </c>
      <c r="AO300" s="92" t="inlineStr">
        <is>
          <t>Near 0.35-0.75mi</t>
        </is>
      </c>
      <c r="AP300" s="92" t="inlineStr">
        <is>
          <t>Retail shell</t>
        </is>
      </c>
      <c r="AQ300" s="92" t="inlineStr">
        <is>
          <t>Adequate 5-8k</t>
        </is>
      </c>
      <c r="AR300" s="100" t="n"/>
      <c r="AS300" s="96">
        <f>ROUND(INDEX('Scoring Method'!$B$63:$B$70,MATCH(AE300,'Scoring Method'!$A$63:$A$70,0))*0.625+INDEX('Scoring Method'!$B$105:$B$113,MATCH(AP300,'Scoring Method'!$A$105:$A$113,0))+INDEX('Scoring Method'!$B$74:$B$78,MATCH(AQ300,'Scoring Method'!$A$74:$A$78,0))*0.6667+INDEX('Scoring Method'!$B$96:$B$101,MATCH(AO300,'Scoring Method'!$A$96:$A$101,0))+INDEX('Scoring Method'!$B$343:$B$347,MATCH(X300,'Scoring Method'!$A$343:$A$347,0))*0.3333+INDEX('Scoring Method'!$B$25:$B$27,MATCH(P300,'Scoring Method'!$A$25:$A$27,0))*0.3333,1)</f>
        <v/>
      </c>
      <c r="AT300" s="96">
        <f>AS300*U300/100</f>
        <v/>
      </c>
      <c r="AU300" s="92" t="inlineStr">
        <is>
          <t>Eastside</t>
        </is>
      </c>
      <c r="AV300" s="92" t="n">
        <v>28</v>
      </c>
      <c r="AW300" s="101" t="inlineStr">
        <is>
          <t>ESTIMATED</t>
        </is>
      </c>
      <c r="AX300" s="92" t="inlineStr">
        <is>
          <t>High &lt;35</t>
        </is>
      </c>
      <c r="AY300" s="96">
        <f>ROUND(INDEX('Scoring Method'!$B$132:$B$140,MATCH(AE300,'Scoring Method'!$A$132:$A$140,0))+INDEX('Scoring Method'!$B$144:$B$152,MATCH(AP300,'Scoring Method'!$A$144:$A$152,0))+INDEX('Scoring Method'!$B$156:$B$160,MATCH(AQ300,'Scoring Method'!$A$156:$A$160,0))+INDEX('Scoring Method'!$B$164:$B$169,MATCH(AO300,'Scoring Method'!$A$164:$A$169,0))+INDEX('Scoring Method'!$B$173:$B$178,MATCH(AX300,'Scoring Method'!$A$173:$A$178,0))+INDEX('Scoring Method'!$B$349:$B$353,MATCH(X300,'Scoring Method'!$A$349:$A$353,0))+INDEX('Scoring Method'!$B$188:$B$190,MATCH(P300,'Scoring Method'!$A$188:$A$190,0)),1)</f>
        <v/>
      </c>
      <c r="AZ300" s="96">
        <f>AY300*U300/100</f>
        <v/>
      </c>
      <c r="BA300" s="92" t="inlineStr">
        <is>
          <t>No chain signal</t>
        </is>
      </c>
      <c r="BB300" s="94" t="n">
        <v>1</v>
      </c>
      <c r="BC300" s="103" t="inlineStr">
        <is>
          <t>Extra small 0.15-0.25 AC</t>
        </is>
      </c>
      <c r="BD300" s="94" t="n">
        <v>0.8</v>
      </c>
      <c r="BE300" s="96">
        <f>ROUND(INDEX('Scoring Method'!$B$268:$B$276,MATCH(AE300,'Scoring Method'!$A$268:$A$276,0))+INDEX('Scoring Method'!$B$280:$B$288,MATCH(AP300,'Scoring Method'!$A$280:$A$288,0))+INDEX('Scoring Method'!$B$292:$B$296,MATCH(AQ300,'Scoring Method'!$A$292:$A$296,0))+INDEX('Scoring Method'!$B$300:$B$305,MATCH(AO300,'Scoring Method'!$A$300:$A$305,0))+INDEX('Scoring Method'!$B$309:$B$314,MATCH(AX300,'Scoring Method'!$A$309:$A$314,0))+INDEX('Scoring Method'!$B$337:$B$341,MATCH(X300,'Scoring Method'!$A$337:$A$341,0))+INDEX('Scoring Method'!$B$324:$B$326,MATCH(P300,'Scoring Method'!$A$324:$A$326,0)),1)</f>
        <v/>
      </c>
      <c r="BF300" s="96">
        <f>ROUND(INDEX('Scoring Method'!$B$268:$B$276,MATCH(AE300,'Scoring Method'!$A$268:$A$276,0))*BB300*BD300+INDEX('Scoring Method'!$B$280:$B$288,MATCH(AP300,'Scoring Method'!$A$280:$A$288,0))*BM300*BB300*BD300+INDEX('Scoring Method'!$B$292:$B$296,MATCH(AQ300,'Scoring Method'!$A$292:$A$296,0))*BD300+INDEX('Scoring Method'!$B$300:$B$305,MATCH(AO300,'Scoring Method'!$A$300:$A$305,0))*BM300*BB300+INDEX('Scoring Method'!$B$309:$B$314,MATCH(AX300,'Scoring Method'!$A$309:$A$314,0))+INDEX('Scoring Method'!$B$337:$B$341,MATCH(X300,'Scoring Method'!$A$337:$A$341,0))+INDEX('Scoring Method'!$B$324:$B$326,MATCH(P300,'Scoring Method'!$A$324:$A$326,0)),1)</f>
        <v/>
      </c>
      <c r="BG300" s="92" t="inlineStr">
        <is>
          <t>Fits (~$1,008/mo)</t>
        </is>
      </c>
      <c r="BH300" s="61" t="inlineStr">
        <is>
          <t>SU</t>
        </is>
      </c>
      <c r="BI300" s="61" t="inlineStr">
        <is>
          <t>Semi-Urban Residential</t>
        </is>
      </c>
      <c r="BJ300" s="61" t="inlineStr"/>
      <c r="BK300" s="61" t="inlineStr"/>
      <c r="BL300" s="61" t="inlineStr">
        <is>
          <t>SU corner unverified</t>
        </is>
      </c>
      <c r="BM300" s="61">
        <f>INDEX('Scoring Method'!$B$358:$B$363,MATCH(BL300,'Scoring Method'!$A$358:$A$363,0))</f>
        <v/>
      </c>
    </row>
    <row r="301" ht="15" customHeight="1" s="62">
      <c r="A301" s="92" t="n">
        <v>300</v>
      </c>
      <c r="B301" s="92" t="inlineStr">
        <is>
          <t>054-23-18-014.00</t>
        </is>
      </c>
      <c r="C301" s="92" t="inlineStr">
        <is>
          <t>600 GREENUP ST</t>
        </is>
      </c>
      <c r="D301" s="92" t="inlineStr">
        <is>
          <t>DDMTURNER PROPERTIES LLC</t>
        </is>
      </c>
      <c r="E301" s="92" t="inlineStr">
        <is>
          <t>600 GREENUP ST</t>
        </is>
      </c>
      <c r="F301" s="92" t="inlineStr">
        <is>
          <t>COVINGTON</t>
        </is>
      </c>
      <c r="G301" s="92" t="inlineStr">
        <is>
          <t>KY</t>
        </is>
      </c>
      <c r="H301" s="92" t="inlineStr">
        <is>
          <t>OFFICE BLDG 1 OR 2 STORY</t>
        </is>
      </c>
      <c r="I301" s="93" t="n">
        <v>11581</v>
      </c>
      <c r="J301" s="94">
        <f>I301/43560</f>
        <v/>
      </c>
      <c r="K301" s="93" t="n">
        <v>502</v>
      </c>
      <c r="L301" s="95">
        <f>I301/(K301^2)</f>
        <v/>
      </c>
      <c r="M301" s="92" t="inlineStr">
        <is>
          <t>Marginal 10-14k/45-60k</t>
        </is>
      </c>
      <c r="N301" s="92" t="inlineStr">
        <is>
          <t>E</t>
        </is>
      </c>
      <c r="O301" s="92" t="inlineStr">
        <is>
          <t>Regular .045-.055</t>
        </is>
      </c>
      <c r="P301" s="92" t="inlineStr">
        <is>
          <t>Low</t>
        </is>
      </c>
      <c r="Q301" s="92" t="inlineStr">
        <is>
          <t>Owner-occupied</t>
        </is>
      </c>
      <c r="R301" s="92" t="inlineStr">
        <is>
          <t>Passive vehicle</t>
        </is>
      </c>
      <c r="S301" s="92" t="n">
        <v>1</v>
      </c>
      <c r="T301" s="96">
        <f>INDEX('Scoring Method'!$B$6:$B$9,MATCH(M301,'Scoring Method'!$A$6:$A$9,0))+INDEX('Scoring Method'!$B$12:$B$16,MATCH(N301,'Scoring Method'!$A$12:$A$16,0))+INDEX('Scoring Method'!$B$19:$B$22,MATCH(O301,'Scoring Method'!$A$19:$A$22,0))+INDEX('Scoring Method'!$B$25:$B$27,MATCH(P301,'Scoring Method'!$A$25:$A$27,0))</f>
        <v/>
      </c>
      <c r="U301" s="96">
        <f>(INDEX('Scoring Method'!$B$30:$B$33,MATCH(Q301,'Scoring Method'!$A$30:$A$33,0))+INDEX('Scoring Method'!$B$36:$B$42,MATCH(R301,'Scoring Method'!$A$36:$A$42,0))+INDEX('Scoring Method'!$B$45:$B$47,MATCH(IF(S301=1,"1",IF(S301=2,"2","3+")),'Scoring Method'!$A$45:$A$47,0)))/90*100</f>
        <v/>
      </c>
      <c r="V301" s="96">
        <f>T301*U301/100</f>
        <v/>
      </c>
      <c r="W301" s="93" t="n">
        <v>9505</v>
      </c>
      <c r="X301" s="92" t="inlineStr">
        <is>
          <t>X (minimal hazard)</t>
        </is>
      </c>
      <c r="Y301" s="93" t="n">
        <v>4250</v>
      </c>
      <c r="Z301" s="97" t="n"/>
      <c r="AA301" s="98">
        <f>MAX(0,(Y301-5000)/300)</f>
        <v/>
      </c>
      <c r="AB301" s="92" t="n"/>
      <c r="AC301" s="92" t="n"/>
      <c r="AD301" s="92" t="n"/>
      <c r="AE301" s="92" t="inlineStr">
        <is>
          <t>Oversize 6-12k</t>
        </is>
      </c>
      <c r="AF301" s="96">
        <f>INDEX('Scoring Method'!$B$63:$B$71,MATCH(AE301,'Scoring Method'!$A$63:$A$71,0))+INDEX('Scoring Method'!$B$75:$B$79,MATCH("Tight 2-5k",'Scoring Method'!$A$75:$A$79,0))+INDEX('Scoring Method'!$B$343:$B$347,MATCH(X301,'Scoring Method'!$A$343:$A$347,0))+INDEX('Scoring Method'!$B$25:$B$27,MATCH(P301,'Scoring Method'!$A$25:$A$27,0))</f>
        <v/>
      </c>
      <c r="AG301" s="96">
        <f>AF301*U301/100</f>
        <v/>
      </c>
      <c r="AH301" s="92" t="inlineStr">
        <is>
          <t>LINK-GIS + LoopNet (2026-08-03)</t>
        </is>
      </c>
      <c r="AI301" s="99" t="n">
        <v>39.08522</v>
      </c>
      <c r="AJ301" s="99" t="n">
        <v>-84.5067</v>
      </c>
      <c r="AK301" s="94" t="n">
        <v>0.6</v>
      </c>
      <c r="AL301" s="94" t="n">
        <v>0.4</v>
      </c>
      <c r="AM301" s="94" t="n">
        <v>1.17</v>
      </c>
      <c r="AN301" s="94" t="n">
        <v>0.25</v>
      </c>
      <c r="AO301" s="92" t="inlineStr">
        <is>
          <t>Core &lt;=0.35mi</t>
        </is>
      </c>
      <c r="AP301" s="92" t="inlineStr">
        <is>
          <t>Office/institutional</t>
        </is>
      </c>
      <c r="AQ301" s="92" t="inlineStr">
        <is>
          <t>Tight 2-5k</t>
        </is>
      </c>
      <c r="AR301" s="100" t="n"/>
      <c r="AS301" s="96">
        <f>ROUND(INDEX('Scoring Method'!$B$63:$B$70,MATCH(AE301,'Scoring Method'!$A$63:$A$70,0))*0.625+INDEX('Scoring Method'!$B$105:$B$113,MATCH(AP301,'Scoring Method'!$A$105:$A$113,0))+INDEX('Scoring Method'!$B$74:$B$78,MATCH(AQ301,'Scoring Method'!$A$74:$A$78,0))*0.6667+INDEX('Scoring Method'!$B$96:$B$101,MATCH(AO301,'Scoring Method'!$A$96:$A$101,0))+INDEX('Scoring Method'!$B$343:$B$347,MATCH(X301,'Scoring Method'!$A$343:$A$347,0))*0.3333+INDEX('Scoring Method'!$B$25:$B$27,MATCH(P301,'Scoring Method'!$A$25:$A$27,0))*0.3333,1)</f>
        <v/>
      </c>
      <c r="AT301" s="96">
        <f>AS301*U301/100</f>
        <v/>
      </c>
      <c r="AU301" s="92" t="inlineStr">
        <is>
          <t>Central Business District</t>
        </is>
      </c>
      <c r="AV301" s="92" t="n">
        <v>48</v>
      </c>
      <c r="AW301" s="101" t="inlineStr">
        <is>
          <t>ESTIMATED</t>
        </is>
      </c>
      <c r="AX301" s="92" t="inlineStr">
        <is>
          <t>Mixed 45-59</t>
        </is>
      </c>
      <c r="AY301" s="96">
        <f>ROUND(INDEX('Scoring Method'!$B$132:$B$140,MATCH(AE301,'Scoring Method'!$A$132:$A$140,0))+INDEX('Scoring Method'!$B$144:$B$152,MATCH(AP301,'Scoring Method'!$A$144:$A$152,0))+INDEX('Scoring Method'!$B$156:$B$160,MATCH(AQ301,'Scoring Method'!$A$156:$A$160,0))+INDEX('Scoring Method'!$B$164:$B$169,MATCH(AO301,'Scoring Method'!$A$164:$A$169,0))+INDEX('Scoring Method'!$B$173:$B$178,MATCH(AX301,'Scoring Method'!$A$173:$A$178,0))+INDEX('Scoring Method'!$B$349:$B$353,MATCH(X301,'Scoring Method'!$A$349:$A$353,0))+INDEX('Scoring Method'!$B$188:$B$190,MATCH(P301,'Scoring Method'!$A$188:$A$190,0)),1)</f>
        <v/>
      </c>
      <c r="AZ301" s="96">
        <f>AY301*U301/100</f>
        <v/>
      </c>
      <c r="BA301" s="92" t="inlineStr">
        <is>
          <t>Owner-occupied operator</t>
        </is>
      </c>
      <c r="BB301" s="94" t="n">
        <v>0.8</v>
      </c>
      <c r="BC301" s="102" t="inlineStr">
        <is>
          <t>Small 0.25-0.35 AC</t>
        </is>
      </c>
      <c r="BD301" s="94" t="n">
        <v>0.9</v>
      </c>
      <c r="BE301" s="96">
        <f>ROUND(INDEX('Scoring Method'!$B$268:$B$276,MATCH(AE301,'Scoring Method'!$A$268:$A$276,0))+INDEX('Scoring Method'!$B$280:$B$288,MATCH(AP301,'Scoring Method'!$A$280:$A$288,0))+INDEX('Scoring Method'!$B$292:$B$296,MATCH(AQ301,'Scoring Method'!$A$292:$A$296,0))+INDEX('Scoring Method'!$B$300:$B$305,MATCH(AO301,'Scoring Method'!$A$300:$A$305,0))+INDEX('Scoring Method'!$B$309:$B$314,MATCH(AX301,'Scoring Method'!$A$309:$A$314,0))+INDEX('Scoring Method'!$B$337:$B$341,MATCH(X301,'Scoring Method'!$A$337:$A$341,0))+INDEX('Scoring Method'!$B$324:$B$326,MATCH(P301,'Scoring Method'!$A$324:$A$326,0)),1)</f>
        <v/>
      </c>
      <c r="BF301" s="96">
        <f>ROUND(INDEX('Scoring Method'!$B$268:$B$276,MATCH(AE301,'Scoring Method'!$A$268:$A$276,0))*BB301*BD301+INDEX('Scoring Method'!$B$280:$B$288,MATCH(AP301,'Scoring Method'!$A$280:$A$288,0))*BM301*BB301*BD301+INDEX('Scoring Method'!$B$292:$B$296,MATCH(AQ301,'Scoring Method'!$A$292:$A$296,0))*BD301+INDEX('Scoring Method'!$B$300:$B$305,MATCH(AO301,'Scoring Method'!$A$300:$A$305,0))*BM301*BB301+INDEX('Scoring Method'!$B$309:$B$314,MATCH(AX301,'Scoring Method'!$A$309:$A$314,0))+INDEX('Scoring Method'!$B$337:$B$341,MATCH(X301,'Scoring Method'!$A$337:$A$341,0))+INDEX('Scoring Method'!$B$324:$B$326,MATCH(P301,'Scoring Method'!$A$324:$A$326,0)),1)</f>
        <v/>
      </c>
      <c r="BG301" s="92" t="inlineStr">
        <is>
          <t>Fits (~$8,713/mo)</t>
        </is>
      </c>
      <c r="BH301" s="61" t="inlineStr">
        <is>
          <t>TUR (HP)</t>
        </is>
      </c>
      <c r="BI301" s="61" t="inlineStr">
        <is>
          <t>Traditional Urban Residential</t>
        </is>
      </c>
      <c r="BJ301" s="61" t="inlineStr">
        <is>
          <t>HP</t>
        </is>
      </c>
      <c r="BK301" s="61" t="inlineStr"/>
      <c r="BL301" s="61" t="inlineStr">
        <is>
          <t>Bar prohibited, alt-path</t>
        </is>
      </c>
      <c r="BM301" s="61">
        <f>INDEX('Scoring Method'!$B$358:$B$363,MATCH(BL301,'Scoring Method'!$A$358:$A$363,0))</f>
        <v/>
      </c>
    </row>
    <row r="302" ht="15" customHeight="1" s="62">
      <c r="A302" s="92" t="n">
        <v>301</v>
      </c>
      <c r="B302" s="92" t="inlineStr">
        <is>
          <t>055-14-09-001.02</t>
        </is>
      </c>
      <c r="C302" s="92" t="inlineStr">
        <is>
          <t>20 W 18TH ST</t>
        </is>
      </c>
      <c r="D302" s="92" t="inlineStr">
        <is>
          <t>REBELAWN REALTY CO</t>
        </is>
      </c>
      <c r="E302" s="92" t="inlineStr">
        <is>
          <t>20 W 18TH ST</t>
        </is>
      </c>
      <c r="F302" s="92" t="inlineStr">
        <is>
          <t>COVINGTON</t>
        </is>
      </c>
      <c r="G302" s="92" t="inlineStr">
        <is>
          <t>KY</t>
        </is>
      </c>
      <c r="H302" s="92" t="inlineStr">
        <is>
          <t>OFFICE TOWER - 3 STORY &amp; UP</t>
        </is>
      </c>
      <c r="I302" s="93" t="n">
        <v>38236</v>
      </c>
      <c r="J302" s="94">
        <f>I302/43560</f>
        <v/>
      </c>
      <c r="K302" s="93" t="n">
        <v>1067</v>
      </c>
      <c r="L302" s="95">
        <f>I302/(K302^2)</f>
        <v/>
      </c>
      <c r="M302" s="92" t="inlineStr">
        <is>
          <t>Near 14-18k/32-45k</t>
        </is>
      </c>
      <c r="N302" s="92" t="inlineStr">
        <is>
          <t>E</t>
        </is>
      </c>
      <c r="O302" s="92" t="inlineStr">
        <is>
          <t>Irregular &lt;.035</t>
        </is>
      </c>
      <c r="P302" s="92" t="inlineStr">
        <is>
          <t>Low</t>
        </is>
      </c>
      <c r="Q302" s="92" t="inlineStr">
        <is>
          <t>Owner-occupied</t>
        </is>
      </c>
      <c r="R302" s="92" t="inlineStr">
        <is>
          <t>Passive vehicle</t>
        </is>
      </c>
      <c r="S302" s="92" t="n">
        <v>1</v>
      </c>
      <c r="T302" s="96">
        <f>INDEX('Scoring Method'!$B$6:$B$9,MATCH(M302,'Scoring Method'!$A$6:$A$9,0))+INDEX('Scoring Method'!$B$12:$B$16,MATCH(N302,'Scoring Method'!$A$12:$A$16,0))+INDEX('Scoring Method'!$B$19:$B$22,MATCH(O302,'Scoring Method'!$A$19:$A$22,0))+INDEX('Scoring Method'!$B$25:$B$27,MATCH(P302,'Scoring Method'!$A$25:$A$27,0))</f>
        <v/>
      </c>
      <c r="U302" s="96">
        <f>(INDEX('Scoring Method'!$B$30:$B$33,MATCH(Q302,'Scoring Method'!$A$30:$A$33,0))+INDEX('Scoring Method'!$B$36:$B$42,MATCH(R302,'Scoring Method'!$A$36:$A$42,0))+INDEX('Scoring Method'!$B$45:$B$47,MATCH(IF(S302=1,"1",IF(S302=2,"2","3+")),'Scoring Method'!$A$45:$A$47,0)))/90*100</f>
        <v/>
      </c>
      <c r="V302" s="96">
        <f>T302*U302/100</f>
        <v/>
      </c>
      <c r="W302" s="93" t="n">
        <v>21386</v>
      </c>
      <c r="X302" s="92" t="inlineStr">
        <is>
          <t>X (minimal hazard)</t>
        </is>
      </c>
      <c r="Y302" s="93" t="n">
        <v>11950</v>
      </c>
      <c r="Z302" s="97" t="n"/>
      <c r="AA302" s="98">
        <f>MAX(0,(Y302-5000)/300)</f>
        <v/>
      </c>
      <c r="AB302" s="92" t="n"/>
      <c r="AC302" s="92" t="n"/>
      <c r="AD302" s="92" t="n"/>
      <c r="AE302" s="92" t="inlineStr">
        <is>
          <t>Office tower 3+ storey</t>
        </is>
      </c>
      <c r="AF302" s="96">
        <f>INDEX('Scoring Method'!$B$63:$B$71,MATCH(AE302,'Scoring Method'!$A$63:$A$71,0))+INDEX('Scoring Method'!$B$75:$B$79,MATCH("Good 8-15k",'Scoring Method'!$A$75:$A$79,0))+INDEX('Scoring Method'!$B$343:$B$347,MATCH(X302,'Scoring Method'!$A$343:$A$347,0))+INDEX('Scoring Method'!$B$25:$B$27,MATCH(P302,'Scoring Method'!$A$25:$A$27,0))</f>
        <v/>
      </c>
      <c r="AG302" s="96">
        <f>AF302*U302/100</f>
        <v/>
      </c>
      <c r="AH302" s="92" t="inlineStr">
        <is>
          <t>LINK-GIS only</t>
        </is>
      </c>
      <c r="AI302" s="99" t="n">
        <v>39.06969</v>
      </c>
      <c r="AJ302" s="99" t="n">
        <v>-84.50779</v>
      </c>
      <c r="AK302" s="94" t="n">
        <v>1.15</v>
      </c>
      <c r="AL302" s="94" t="n">
        <v>1.46</v>
      </c>
      <c r="AM302" s="94" t="n">
        <v>2.21</v>
      </c>
      <c r="AN302" s="94" t="n">
        <v>1</v>
      </c>
      <c r="AO302" s="92" t="inlineStr">
        <is>
          <t>Fringe 0.75-1.25mi</t>
        </is>
      </c>
      <c r="AP302" s="92" t="inlineStr">
        <is>
          <t>Office tower 3+ storey</t>
        </is>
      </c>
      <c r="AQ302" s="92" t="inlineStr">
        <is>
          <t>Good 8-15k</t>
        </is>
      </c>
      <c r="AR302" s="100" t="n"/>
      <c r="AS302" s="96">
        <f>ROUND(INDEX('Scoring Method'!$B$63:$B$70,MATCH(AE302,'Scoring Method'!$A$63:$A$70,0))*0.625+INDEX('Scoring Method'!$B$105:$B$113,MATCH(AP302,'Scoring Method'!$A$105:$A$113,0))+INDEX('Scoring Method'!$B$74:$B$78,MATCH(AQ302,'Scoring Method'!$A$74:$A$78,0))*0.6667+INDEX('Scoring Method'!$B$96:$B$101,MATCH(AO302,'Scoring Method'!$A$96:$A$101,0))+INDEX('Scoring Method'!$B$343:$B$347,MATCH(X302,'Scoring Method'!$A$343:$A$347,0))*0.3333+INDEX('Scoring Method'!$B$25:$B$27,MATCH(P302,'Scoring Method'!$A$25:$A$27,0))*0.3333,1)</f>
        <v/>
      </c>
      <c r="AT302" s="96">
        <f>AS302*U302/100</f>
        <v/>
      </c>
      <c r="AU302" s="92" t="inlineStr">
        <is>
          <t>Levassor Park</t>
        </is>
      </c>
      <c r="AV302" s="92" t="n">
        <v>42</v>
      </c>
      <c r="AW302" s="101" t="inlineStr">
        <is>
          <t>ESTIMATED</t>
        </is>
      </c>
      <c r="AX302" s="92" t="inlineStr">
        <is>
          <t>Elevated 35-44</t>
        </is>
      </c>
      <c r="AY302" s="96">
        <f>ROUND(INDEX('Scoring Method'!$B$132:$B$140,MATCH(AE302,'Scoring Method'!$A$132:$A$140,0))+INDEX('Scoring Method'!$B$144:$B$152,MATCH(AP302,'Scoring Method'!$A$144:$A$152,0))+INDEX('Scoring Method'!$B$156:$B$160,MATCH(AQ302,'Scoring Method'!$A$156:$A$160,0))+INDEX('Scoring Method'!$B$164:$B$169,MATCH(AO302,'Scoring Method'!$A$164:$A$169,0))+INDEX('Scoring Method'!$B$173:$B$178,MATCH(AX302,'Scoring Method'!$A$173:$A$178,0))+INDEX('Scoring Method'!$B$349:$B$353,MATCH(X302,'Scoring Method'!$A$349:$A$353,0))+INDEX('Scoring Method'!$B$188:$B$190,MATCH(P302,'Scoring Method'!$A$188:$A$190,0)),1)</f>
        <v/>
      </c>
      <c r="AZ302" s="96">
        <f>AY302*U302/100</f>
        <v/>
      </c>
      <c r="BA302" s="92" t="inlineStr">
        <is>
          <t>Owner-occupied operator</t>
        </is>
      </c>
      <c r="BB302" s="94" t="n">
        <v>0.8</v>
      </c>
      <c r="BC302" s="102" t="inlineStr">
        <is>
          <t>Large 0.75-1.25 AC</t>
        </is>
      </c>
      <c r="BD302" s="94" t="n">
        <v>0.9</v>
      </c>
      <c r="BE302" s="96">
        <f>ROUND(INDEX('Scoring Method'!$B$268:$B$276,MATCH(AE302,'Scoring Method'!$A$268:$A$276,0))+INDEX('Scoring Method'!$B$280:$B$288,MATCH(AP302,'Scoring Method'!$A$280:$A$288,0))+INDEX('Scoring Method'!$B$292:$B$296,MATCH(AQ302,'Scoring Method'!$A$292:$A$296,0))+INDEX('Scoring Method'!$B$300:$B$305,MATCH(AO302,'Scoring Method'!$A$300:$A$305,0))+INDEX('Scoring Method'!$B$309:$B$314,MATCH(AX302,'Scoring Method'!$A$309:$A$314,0))+INDEX('Scoring Method'!$B$337:$B$341,MATCH(X302,'Scoring Method'!$A$337:$A$341,0))+INDEX('Scoring Method'!$B$324:$B$326,MATCH(P302,'Scoring Method'!$A$324:$A$326,0)),1)</f>
        <v/>
      </c>
      <c r="BF302" s="96">
        <f>ROUND(INDEX('Scoring Method'!$B$268:$B$276,MATCH(AE302,'Scoring Method'!$A$268:$A$276,0))*BB302*BD302+INDEX('Scoring Method'!$B$280:$B$288,MATCH(AP302,'Scoring Method'!$A$280:$A$288,0))*BM302*BB302*BD302+INDEX('Scoring Method'!$B$292:$B$296,MATCH(AQ302,'Scoring Method'!$A$292:$A$296,0))*BD302+INDEX('Scoring Method'!$B$300:$B$305,MATCH(AO302,'Scoring Method'!$A$300:$A$305,0))*BM302*BB302+INDEX('Scoring Method'!$B$309:$B$314,MATCH(AX302,'Scoring Method'!$A$309:$A$314,0))+INDEX('Scoring Method'!$B$337:$B$341,MATCH(X302,'Scoring Method'!$A$337:$A$341,0))+INDEX('Scoring Method'!$B$324:$B$326,MATCH(P302,'Scoring Method'!$A$324:$A$326,0)),1)</f>
        <v/>
      </c>
      <c r="BG302" s="102" t="inlineStr">
        <is>
          <t>Over (~$19,604/mo)</t>
        </is>
      </c>
      <c r="BH302" s="61" t="inlineStr">
        <is>
          <t>LI</t>
        </is>
      </c>
      <c r="BI302" s="61" t="inlineStr">
        <is>
          <t>Limited Industrial</t>
        </is>
      </c>
      <c r="BJ302" s="61" t="inlineStr"/>
      <c r="BK302" s="61" t="inlineStr"/>
      <c r="BL302" s="61" t="inlineStr">
        <is>
          <t>Bar prohibited, alt-path</t>
        </is>
      </c>
      <c r="BM302" s="61">
        <f>INDEX('Scoring Method'!$B$358:$B$363,MATCH(BL302,'Scoring Method'!$A$358:$A$363,0))</f>
        <v/>
      </c>
    </row>
    <row r="303" ht="15" customHeight="1" s="62">
      <c r="A303" s="92" t="n">
        <v>302</v>
      </c>
      <c r="B303" s="92" t="inlineStr">
        <is>
          <t>055-11-29-008.00</t>
        </is>
      </c>
      <c r="C303" s="92" t="inlineStr">
        <is>
          <t>1320 RUSSELL ST</t>
        </is>
      </c>
      <c r="D303" s="92" t="inlineStr">
        <is>
          <t>INDUSTRIAL ENVIRONMENTS LLC</t>
        </is>
      </c>
      <c r="E303" s="92" t="inlineStr">
        <is>
          <t>1045 META DR</t>
        </is>
      </c>
      <c r="F303" s="92" t="inlineStr">
        <is>
          <t>CINCINNATI</t>
        </is>
      </c>
      <c r="G303" s="92" t="inlineStr">
        <is>
          <t>OH</t>
        </is>
      </c>
      <c r="H303" s="92" t="inlineStr">
        <is>
          <t>MFG/ASSEMBLY 20001-100000 SF</t>
        </is>
      </c>
      <c r="I303" s="93" t="n">
        <v>49165</v>
      </c>
      <c r="J303" s="94">
        <f>I303/43560</f>
        <v/>
      </c>
      <c r="K303" s="93" t="n">
        <v>1180.6</v>
      </c>
      <c r="L303" s="95">
        <f>I303/(K303^2)</f>
        <v/>
      </c>
      <c r="M303" s="92" t="inlineStr">
        <is>
          <t>Marginal 10-14k/45-60k</t>
        </is>
      </c>
      <c r="N303" s="92" t="inlineStr">
        <is>
          <t>E</t>
        </is>
      </c>
      <c r="O303" s="92" t="inlineStr">
        <is>
          <t>Elongated .035-.045</t>
        </is>
      </c>
      <c r="P303" s="92" t="inlineStr">
        <is>
          <t>Moderate</t>
        </is>
      </c>
      <c r="Q303" s="92" t="inlineStr">
        <is>
          <t>Out-of-state</t>
        </is>
      </c>
      <c r="R303" s="92" t="inlineStr">
        <is>
          <t>Operating entity</t>
        </is>
      </c>
      <c r="S303" s="92" t="n">
        <v>1</v>
      </c>
      <c r="T303" s="96">
        <f>INDEX('Scoring Method'!$B$6:$B$9,MATCH(M303,'Scoring Method'!$A$6:$A$9,0))+INDEX('Scoring Method'!$B$12:$B$16,MATCH(N303,'Scoring Method'!$A$12:$A$16,0))+INDEX('Scoring Method'!$B$19:$B$22,MATCH(O303,'Scoring Method'!$A$19:$A$22,0))+INDEX('Scoring Method'!$B$25:$B$27,MATCH(P303,'Scoring Method'!$A$25:$A$27,0))</f>
        <v/>
      </c>
      <c r="U303" s="96">
        <f>(INDEX('Scoring Method'!$B$30:$B$33,MATCH(Q303,'Scoring Method'!$A$30:$A$33,0))+INDEX('Scoring Method'!$B$36:$B$42,MATCH(R303,'Scoring Method'!$A$36:$A$42,0))+INDEX('Scoring Method'!$B$45:$B$47,MATCH(IF(S303=1,"1",IF(S303=2,"2","3+")),'Scoring Method'!$A$45:$A$47,0)))/90*100</f>
        <v/>
      </c>
      <c r="V303" s="96">
        <f>T303*U303/100</f>
        <v/>
      </c>
      <c r="W303" s="93" t="n">
        <v>36000</v>
      </c>
      <c r="X303" s="92" t="inlineStr">
        <is>
          <t>X (minimal hazard)</t>
        </is>
      </c>
      <c r="Y303" s="93" t="n">
        <v>9775</v>
      </c>
      <c r="Z303" s="97">
        <f>W303/I303</f>
        <v/>
      </c>
      <c r="AA303" s="98">
        <f>MAX(0,(Y303-5000)/300)</f>
        <v/>
      </c>
      <c r="AB303" s="92" t="n"/>
      <c r="AC303" s="92" t="n">
        <v>1.1</v>
      </c>
      <c r="AD303" s="92" t="inlineStr">
        <is>
          <t>ok</t>
        </is>
      </c>
      <c r="AE303" s="92" t="inlineStr">
        <is>
          <t>Far oversize &gt;12k</t>
        </is>
      </c>
      <c r="AF303" s="96">
        <f>INDEX('Scoring Method'!$B$63:$B$71,MATCH(AE303,'Scoring Method'!$A$63:$A$71,0))+INDEX('Scoring Method'!$B$75:$B$79,MATCH("Good 8-15k",'Scoring Method'!$A$75:$A$79,0))+INDEX('Scoring Method'!$B$343:$B$347,MATCH(X303,'Scoring Method'!$A$343:$A$347,0))+INDEX('Scoring Method'!$B$25:$B$27,MATCH(P303,'Scoring Method'!$A$25:$A$27,0))</f>
        <v/>
      </c>
      <c r="AG303" s="96">
        <f>AF303*U303/100</f>
        <v/>
      </c>
      <c r="AH303" s="92" t="inlineStr">
        <is>
          <t>LINK-GIS + LoopNet</t>
        </is>
      </c>
      <c r="AI303" s="99" t="n">
        <v>39.07537</v>
      </c>
      <c r="AJ303" s="99" t="n">
        <v>-84.51083</v>
      </c>
      <c r="AK303" s="94" t="n">
        <v>0.73</v>
      </c>
      <c r="AL303" s="94" t="n">
        <v>1.08</v>
      </c>
      <c r="AM303" s="94" t="n">
        <v>1.81</v>
      </c>
      <c r="AN303" s="94" t="n">
        <v>0.59</v>
      </c>
      <c r="AO303" s="92" t="inlineStr">
        <is>
          <t>Near 0.35-0.75mi</t>
        </is>
      </c>
      <c r="AP303" s="92" t="inlineStr">
        <is>
          <t>Open span</t>
        </is>
      </c>
      <c r="AQ303" s="92" t="inlineStr">
        <is>
          <t>Good 8-15k</t>
        </is>
      </c>
      <c r="AR303" s="100" t="n"/>
      <c r="AS303" s="96">
        <f>ROUND(INDEX('Scoring Method'!$B$63:$B$70,MATCH(AE303,'Scoring Method'!$A$63:$A$70,0))*0.625+INDEX('Scoring Method'!$B$105:$B$113,MATCH(AP303,'Scoring Method'!$A$105:$A$113,0))+INDEX('Scoring Method'!$B$74:$B$78,MATCH(AQ303,'Scoring Method'!$A$74:$A$78,0))*0.6667+INDEX('Scoring Method'!$B$96:$B$101,MATCH(AO303,'Scoring Method'!$A$96:$A$101,0))+INDEX('Scoring Method'!$B$343:$B$347,MATCH(X303,'Scoring Method'!$A$343:$A$347,0))*0.3333+INDEX('Scoring Method'!$B$25:$B$27,MATCH(P303,'Scoring Method'!$A$25:$A$27,0))*0.3333,1)</f>
        <v/>
      </c>
      <c r="AT303" s="96">
        <f>AS303*U303/100</f>
        <v/>
      </c>
      <c r="AU303" s="92" t="inlineStr">
        <is>
          <t>Old Seminary Square</t>
        </is>
      </c>
      <c r="AV303" s="92" t="n">
        <v>35</v>
      </c>
      <c r="AW303" s="101" t="inlineStr">
        <is>
          <t>ESTIMATED</t>
        </is>
      </c>
      <c r="AX303" s="92" t="inlineStr">
        <is>
          <t>Elevated 35-44</t>
        </is>
      </c>
      <c r="AY303" s="96">
        <f>ROUND(INDEX('Scoring Method'!$B$132:$B$140,MATCH(AE303,'Scoring Method'!$A$132:$A$140,0))+INDEX('Scoring Method'!$B$144:$B$152,MATCH(AP303,'Scoring Method'!$A$144:$A$152,0))+INDEX('Scoring Method'!$B$156:$B$160,MATCH(AQ303,'Scoring Method'!$A$156:$A$160,0))+INDEX('Scoring Method'!$B$164:$B$169,MATCH(AO303,'Scoring Method'!$A$164:$A$169,0))+INDEX('Scoring Method'!$B$173:$B$178,MATCH(AX303,'Scoring Method'!$A$173:$A$178,0))+INDEX('Scoring Method'!$B$349:$B$353,MATCH(X303,'Scoring Method'!$A$349:$A$353,0))+INDEX('Scoring Method'!$B$188:$B$190,MATCH(P303,'Scoring Method'!$A$188:$A$190,0)),1)</f>
        <v/>
      </c>
      <c r="AZ303" s="96">
        <f>AY303*U303/100</f>
        <v/>
      </c>
      <c r="BA303" s="92" t="inlineStr">
        <is>
          <t>No chain signal</t>
        </is>
      </c>
      <c r="BB303" s="94" t="n">
        <v>1</v>
      </c>
      <c r="BC303" s="102" t="inlineStr">
        <is>
          <t>Large 0.75-1.25 AC</t>
        </is>
      </c>
      <c r="BD303" s="94" t="n">
        <v>0.9</v>
      </c>
      <c r="BE303" s="96">
        <f>ROUND(INDEX('Scoring Method'!$B$268:$B$276,MATCH(AE303,'Scoring Method'!$A$268:$A$276,0))+INDEX('Scoring Method'!$B$280:$B$288,MATCH(AP303,'Scoring Method'!$A$280:$A$288,0))+INDEX('Scoring Method'!$B$292:$B$296,MATCH(AQ303,'Scoring Method'!$A$292:$A$296,0))+INDEX('Scoring Method'!$B$300:$B$305,MATCH(AO303,'Scoring Method'!$A$300:$A$305,0))+INDEX('Scoring Method'!$B$309:$B$314,MATCH(AX303,'Scoring Method'!$A$309:$A$314,0))+INDEX('Scoring Method'!$B$337:$B$341,MATCH(X303,'Scoring Method'!$A$337:$A$341,0))+INDEX('Scoring Method'!$B$324:$B$326,MATCH(P303,'Scoring Method'!$A$324:$A$326,0)),1)</f>
        <v/>
      </c>
      <c r="BF303" s="96">
        <f>ROUND(INDEX('Scoring Method'!$B$268:$B$276,MATCH(AE303,'Scoring Method'!$A$268:$A$276,0))*BB303*BD303+INDEX('Scoring Method'!$B$280:$B$288,MATCH(AP303,'Scoring Method'!$A$280:$A$288,0))*BM303*BB303*BD303+INDEX('Scoring Method'!$B$292:$B$296,MATCH(AQ303,'Scoring Method'!$A$292:$A$296,0))*BD303+INDEX('Scoring Method'!$B$300:$B$305,MATCH(AO303,'Scoring Method'!$A$300:$A$305,0))*BM303*BB303+INDEX('Scoring Method'!$B$309:$B$314,MATCH(AX303,'Scoring Method'!$A$309:$A$314,0))+INDEX('Scoring Method'!$B$337:$B$341,MATCH(X303,'Scoring Method'!$A$337:$A$341,0))+INDEX('Scoring Method'!$B$324:$B$326,MATCH(P303,'Scoring Method'!$A$324:$A$326,0)),1)</f>
        <v/>
      </c>
      <c r="BG303" s="102" t="inlineStr">
        <is>
          <t>Over (~$33,000/mo)</t>
        </is>
      </c>
      <c r="BH303" s="61" t="inlineStr">
        <is>
          <t>LI</t>
        </is>
      </c>
      <c r="BI303" s="61" t="inlineStr">
        <is>
          <t>Limited Industrial</t>
        </is>
      </c>
      <c r="BJ303" s="61" t="inlineStr"/>
      <c r="BK303" s="61" t="inlineStr"/>
      <c r="BL303" s="61" t="inlineStr">
        <is>
          <t>Bar prohibited, alt-path</t>
        </is>
      </c>
      <c r="BM303" s="61">
        <f>INDEX('Scoring Method'!$B$358:$B$363,MATCH(BL303,'Scoring Method'!$A$358:$A$363,0))</f>
        <v/>
      </c>
    </row>
    <row r="304" ht="15" customHeight="1" s="62">
      <c r="A304" s="92" t="n">
        <v>303</v>
      </c>
      <c r="B304" s="92" t="inlineStr">
        <is>
          <t>054-22-08-004.00</t>
        </is>
      </c>
      <c r="C304" s="92" t="inlineStr">
        <is>
          <t>411 W PIKE ST</t>
        </is>
      </c>
      <c r="D304" s="92" t="inlineStr">
        <is>
          <t>RICHARD G KEMPER INC</t>
        </is>
      </c>
      <c r="E304" s="92" t="inlineStr">
        <is>
          <t>411 PIKE ST</t>
        </is>
      </c>
      <c r="F304" s="92" t="inlineStr">
        <is>
          <t>COVINGTON</t>
        </is>
      </c>
      <c r="G304" s="92" t="inlineStr">
        <is>
          <t>KY</t>
        </is>
      </c>
      <c r="H304" s="92" t="inlineStr">
        <is>
          <t>RETAIL W/APARTMENTS</t>
        </is>
      </c>
      <c r="I304" s="93" t="n">
        <v>15754</v>
      </c>
      <c r="J304" s="94">
        <f>I304/43560</f>
        <v/>
      </c>
      <c r="K304" s="93" t="n">
        <v>933</v>
      </c>
      <c r="L304" s="95">
        <f>I304/(K304^2)</f>
        <v/>
      </c>
      <c r="M304" s="92" t="inlineStr">
        <is>
          <t>Near 14-18k/32-45k</t>
        </is>
      </c>
      <c r="N304" s="92" t="inlineStr">
        <is>
          <t>E</t>
        </is>
      </c>
      <c r="O304" s="92" t="inlineStr">
        <is>
          <t>Irregular &lt;.035</t>
        </is>
      </c>
      <c r="P304" s="92" t="inlineStr">
        <is>
          <t>Low</t>
        </is>
      </c>
      <c r="Q304" s="92" t="inlineStr">
        <is>
          <t>Owner-occupied</t>
        </is>
      </c>
      <c r="R304" s="92" t="inlineStr">
        <is>
          <t>Operating entity</t>
        </is>
      </c>
      <c r="S304" s="92" t="n">
        <v>4</v>
      </c>
      <c r="T304" s="96">
        <f>INDEX('Scoring Method'!$B$6:$B$9,MATCH(M304,'Scoring Method'!$A$6:$A$9,0))+INDEX('Scoring Method'!$B$12:$B$16,MATCH(N304,'Scoring Method'!$A$12:$A$16,0))+INDEX('Scoring Method'!$B$19:$B$22,MATCH(O304,'Scoring Method'!$A$19:$A$22,0))+INDEX('Scoring Method'!$B$25:$B$27,MATCH(P304,'Scoring Method'!$A$25:$A$27,0))</f>
        <v/>
      </c>
      <c r="U304" s="96">
        <f>(INDEX('Scoring Method'!$B$30:$B$33,MATCH(Q304,'Scoring Method'!$A$30:$A$33,0))+INDEX('Scoring Method'!$B$36:$B$42,MATCH(R304,'Scoring Method'!$A$36:$A$42,0))+INDEX('Scoring Method'!$B$45:$B$47,MATCH(IF(S304=1,"1",IF(S304=2,"2","3+")),'Scoring Method'!$A$45:$A$47,0)))/90*100</f>
        <v/>
      </c>
      <c r="V304" s="96">
        <f>T304*U304/100</f>
        <v/>
      </c>
      <c r="W304" s="93" t="n">
        <v>11850</v>
      </c>
      <c r="X304" s="92" t="inlineStr">
        <is>
          <t>X (minimal hazard)</t>
        </is>
      </c>
      <c r="Y304" s="93" t="n">
        <v>6850</v>
      </c>
      <c r="Z304" s="97" t="n"/>
      <c r="AA304" s="98">
        <f>MAX(0,(Y304-5000)/300)</f>
        <v/>
      </c>
      <c r="AB304" s="92" t="n"/>
      <c r="AC304" s="92" t="n"/>
      <c r="AD304" s="92" t="n"/>
      <c r="AE304" s="92" t="inlineStr">
        <is>
          <t>Oversize 6-12k</t>
        </is>
      </c>
      <c r="AF304" s="96">
        <f>INDEX('Scoring Method'!$B$63:$B$71,MATCH(AE304,'Scoring Method'!$A$63:$A$71,0))+INDEX('Scoring Method'!$B$75:$B$79,MATCH("Adequate 5-8k",'Scoring Method'!$A$75:$A$79,0))+INDEX('Scoring Method'!$B$343:$B$347,MATCH(X304,'Scoring Method'!$A$343:$A$347,0))+INDEX('Scoring Method'!$B$25:$B$27,MATCH(P304,'Scoring Method'!$A$25:$A$27,0))</f>
        <v/>
      </c>
      <c r="AG304" s="96">
        <f>AF304*U304/100</f>
        <v/>
      </c>
      <c r="AH304" s="92" t="inlineStr">
        <is>
          <t>LINK-GIS + LoopNet (2026-08-03)</t>
        </is>
      </c>
      <c r="AI304" s="99" t="n">
        <v>39.07829</v>
      </c>
      <c r="AJ304" s="99" t="n">
        <v>-84.51624</v>
      </c>
      <c r="AK304" s="94" t="n">
        <v>0.43</v>
      </c>
      <c r="AL304" s="94" t="n">
        <v>0.97</v>
      </c>
      <c r="AM304" s="94" t="n">
        <v>1.62</v>
      </c>
      <c r="AN304" s="94" t="n">
        <v>0.43</v>
      </c>
      <c r="AO304" s="92" t="inlineStr">
        <is>
          <t>Near 0.35-0.75mi</t>
        </is>
      </c>
      <c r="AP304" s="92" t="inlineStr">
        <is>
          <t>Cellular</t>
        </is>
      </c>
      <c r="AQ304" s="92" t="inlineStr">
        <is>
          <t>Adequate 5-8k</t>
        </is>
      </c>
      <c r="AR304" s="100" t="n"/>
      <c r="AS304" s="96">
        <f>ROUND(INDEX('Scoring Method'!$B$63:$B$70,MATCH(AE304,'Scoring Method'!$A$63:$A$70,0))*0.625+INDEX('Scoring Method'!$B$105:$B$113,MATCH(AP304,'Scoring Method'!$A$105:$A$113,0))+INDEX('Scoring Method'!$B$74:$B$78,MATCH(AQ304,'Scoring Method'!$A$74:$A$78,0))*0.6667+INDEX('Scoring Method'!$B$96:$B$101,MATCH(AO304,'Scoring Method'!$A$96:$A$101,0))+INDEX('Scoring Method'!$B$343:$B$347,MATCH(X304,'Scoring Method'!$A$343:$A$347,0))*0.3333+INDEX('Scoring Method'!$B$25:$B$27,MATCH(P304,'Scoring Method'!$A$25:$A$27,0))*0.3333,1)</f>
        <v/>
      </c>
      <c r="AT304" s="96">
        <f>AS304*U304/100</f>
        <v/>
      </c>
      <c r="AU304" s="92" t="inlineStr">
        <is>
          <t>Old Seminary Square</t>
        </is>
      </c>
      <c r="AV304" s="92" t="n">
        <v>35</v>
      </c>
      <c r="AW304" s="101" t="inlineStr">
        <is>
          <t>ESTIMATED</t>
        </is>
      </c>
      <c r="AX304" s="92" t="inlineStr">
        <is>
          <t>Elevated 35-44</t>
        </is>
      </c>
      <c r="AY304" s="96">
        <f>ROUND(INDEX('Scoring Method'!$B$132:$B$140,MATCH(AE304,'Scoring Method'!$A$132:$A$140,0))+INDEX('Scoring Method'!$B$144:$B$152,MATCH(AP304,'Scoring Method'!$A$144:$A$152,0))+INDEX('Scoring Method'!$B$156:$B$160,MATCH(AQ304,'Scoring Method'!$A$156:$A$160,0))+INDEX('Scoring Method'!$B$164:$B$169,MATCH(AO304,'Scoring Method'!$A$164:$A$169,0))+INDEX('Scoring Method'!$B$173:$B$178,MATCH(AX304,'Scoring Method'!$A$173:$A$178,0))+INDEX('Scoring Method'!$B$349:$B$353,MATCH(X304,'Scoring Method'!$A$349:$A$353,0))+INDEX('Scoring Method'!$B$188:$B$190,MATCH(P304,'Scoring Method'!$A$188:$A$190,0)),1)</f>
        <v/>
      </c>
      <c r="AZ304" s="96">
        <f>AY304*U304/100</f>
        <v/>
      </c>
      <c r="BA304" s="92" t="inlineStr">
        <is>
          <t>Owner-occupied operator</t>
        </is>
      </c>
      <c r="BB304" s="94" t="n">
        <v>0.8</v>
      </c>
      <c r="BC304" s="92" t="inlineStr">
        <is>
          <t>Right-sized 0.35-0.75 AC</t>
        </is>
      </c>
      <c r="BD304" s="94" t="n">
        <v>1</v>
      </c>
      <c r="BE304" s="96">
        <f>ROUND(INDEX('Scoring Method'!$B$268:$B$276,MATCH(AE304,'Scoring Method'!$A$268:$A$276,0))+INDEX('Scoring Method'!$B$280:$B$288,MATCH(AP304,'Scoring Method'!$A$280:$A$288,0))+INDEX('Scoring Method'!$B$292:$B$296,MATCH(AQ304,'Scoring Method'!$A$292:$A$296,0))+INDEX('Scoring Method'!$B$300:$B$305,MATCH(AO304,'Scoring Method'!$A$300:$A$305,0))+INDEX('Scoring Method'!$B$309:$B$314,MATCH(AX304,'Scoring Method'!$A$309:$A$314,0))+INDEX('Scoring Method'!$B$337:$B$341,MATCH(X304,'Scoring Method'!$A$337:$A$341,0))+INDEX('Scoring Method'!$B$324:$B$326,MATCH(P304,'Scoring Method'!$A$324:$A$326,0)),1)</f>
        <v/>
      </c>
      <c r="BF304" s="96">
        <f>ROUND(INDEX('Scoring Method'!$B$268:$B$276,MATCH(AE304,'Scoring Method'!$A$268:$A$276,0))*BB304*BD304+INDEX('Scoring Method'!$B$280:$B$288,MATCH(AP304,'Scoring Method'!$A$280:$A$288,0))*BM304*BB304*BD304+INDEX('Scoring Method'!$B$292:$B$296,MATCH(AQ304,'Scoring Method'!$A$292:$A$296,0))*BD304+INDEX('Scoring Method'!$B$300:$B$305,MATCH(AO304,'Scoring Method'!$A$300:$A$305,0))*BM304*BB304+INDEX('Scoring Method'!$B$309:$B$314,MATCH(AX304,'Scoring Method'!$A$309:$A$314,0))+INDEX('Scoring Method'!$B$337:$B$341,MATCH(X304,'Scoring Method'!$A$337:$A$341,0))+INDEX('Scoring Method'!$B$324:$B$326,MATCH(P304,'Scoring Method'!$A$324:$A$326,0)),1)</f>
        <v/>
      </c>
      <c r="BG304" s="92" t="inlineStr">
        <is>
          <t>Fits (~$10,862/mo)</t>
        </is>
      </c>
      <c r="BH304" s="61" t="inlineStr">
        <is>
          <t>TUMU (HP)</t>
        </is>
      </c>
      <c r="BI304" s="61" t="inlineStr">
        <is>
          <t>Traditional Urban Mixed Use</t>
        </is>
      </c>
      <c r="BJ304" s="61" t="inlineStr">
        <is>
          <t>HP</t>
        </is>
      </c>
      <c r="BK304" s="61" t="inlineStr"/>
      <c r="BL304" s="61" t="inlineStr">
        <is>
          <t>Bar permitted</t>
        </is>
      </c>
      <c r="BM304" s="61">
        <f>INDEX('Scoring Method'!$B$358:$B$363,MATCH(BL304,'Scoring Method'!$A$358:$A$363,0))</f>
        <v/>
      </c>
    </row>
    <row r="305" ht="15" customHeight="1" s="62">
      <c r="A305" s="92" t="n">
        <v>304</v>
      </c>
      <c r="B305" s="92" t="inlineStr">
        <is>
          <t>056-31-04-007.00</t>
        </is>
      </c>
      <c r="C305" s="92" t="inlineStr">
        <is>
          <t>3220 DECOURSEY AVE</t>
        </is>
      </c>
      <c r="D305" s="92" t="inlineStr">
        <is>
          <t>LATONIA DAIRY QUEEN INC</t>
        </is>
      </c>
      <c r="E305" s="92" t="inlineStr">
        <is>
          <t>3220 DECOURSEY AVE</t>
        </is>
      </c>
      <c r="F305" s="92" t="inlineStr">
        <is>
          <t>COVINGTON</t>
        </is>
      </c>
      <c r="G305" s="92" t="inlineStr">
        <is>
          <t>KY</t>
        </is>
      </c>
      <c r="H305" s="92" t="inlineStr">
        <is>
          <t>RESTAURANT CAFE/BAR</t>
        </is>
      </c>
      <c r="I305" s="93" t="n">
        <v>14567</v>
      </c>
      <c r="J305" s="94">
        <f>I305/43560</f>
        <v/>
      </c>
      <c r="K305" s="93" t="n">
        <v>494.2</v>
      </c>
      <c r="L305" s="95">
        <f>I305/(K305^2)</f>
        <v/>
      </c>
      <c r="M305" s="92" t="inlineStr">
        <is>
          <t>Near 14-18k/32-45k</t>
        </is>
      </c>
      <c r="N305" s="92" t="inlineStr">
        <is>
          <t>C</t>
        </is>
      </c>
      <c r="O305" s="92" t="inlineStr">
        <is>
          <t>Compact &gt;=.055</t>
        </is>
      </c>
      <c r="P305" s="92" t="inlineStr">
        <is>
          <t>Low</t>
        </is>
      </c>
      <c r="Q305" s="92" t="inlineStr">
        <is>
          <t>Owner-occupied</t>
        </is>
      </c>
      <c r="R305" s="92" t="inlineStr">
        <is>
          <t>Operating entity</t>
        </is>
      </c>
      <c r="S305" s="92" t="n">
        <v>1</v>
      </c>
      <c r="T305" s="96">
        <f>INDEX('Scoring Method'!$B$6:$B$9,MATCH(M305,'Scoring Method'!$A$6:$A$9,0))+INDEX('Scoring Method'!$B$12:$B$16,MATCH(N305,'Scoring Method'!$A$12:$A$16,0))+INDEX('Scoring Method'!$B$19:$B$22,MATCH(O305,'Scoring Method'!$A$19:$A$22,0))+INDEX('Scoring Method'!$B$25:$B$27,MATCH(P305,'Scoring Method'!$A$25:$A$27,0))</f>
        <v/>
      </c>
      <c r="U305" s="96">
        <f>(INDEX('Scoring Method'!$B$30:$B$33,MATCH(Q305,'Scoring Method'!$A$30:$A$33,0))+INDEX('Scoring Method'!$B$36:$B$42,MATCH(R305,'Scoring Method'!$A$36:$A$42,0))+INDEX('Scoring Method'!$B$45:$B$47,MATCH(IF(S305=1,"1",IF(S305=2,"2","3+")),'Scoring Method'!$A$45:$A$47,0)))/90*100</f>
        <v/>
      </c>
      <c r="V305" s="96">
        <f>T305*U305/100</f>
        <v/>
      </c>
      <c r="W305" s="93" t="n">
        <v>1642</v>
      </c>
      <c r="X305" s="92" t="inlineStr">
        <is>
          <t>X (minimal hazard)</t>
        </is>
      </c>
      <c r="Y305" s="93" t="n">
        <v>12150</v>
      </c>
      <c r="Z305" s="97" t="n"/>
      <c r="AA305" s="98">
        <f>MAX(0,(Y305-5000)/300)</f>
        <v/>
      </c>
      <c r="AB305" s="92" t="n"/>
      <c r="AC305" s="92" t="n"/>
      <c r="AD305" s="92" t="n"/>
      <c r="AE305" s="92" t="inlineStr">
        <is>
          <t>Target 1.5-2.5k</t>
        </is>
      </c>
      <c r="AF305" s="96">
        <f>INDEX('Scoring Method'!$B$63:$B$71,MATCH(AE305,'Scoring Method'!$A$63:$A$71,0))+INDEX('Scoring Method'!$B$75:$B$79,MATCH("Good 8-15k",'Scoring Method'!$A$75:$A$79,0))+INDEX('Scoring Method'!$B$343:$B$347,MATCH(X305,'Scoring Method'!$A$343:$A$347,0))+INDEX('Scoring Method'!$B$25:$B$27,MATCH(P305,'Scoring Method'!$A$25:$A$27,0))</f>
        <v/>
      </c>
      <c r="AG305" s="96">
        <f>AF305*U305/100</f>
        <v/>
      </c>
      <c r="AH305" s="92" t="inlineStr">
        <is>
          <t>LINK-GIS only</t>
        </is>
      </c>
      <c r="AI305" s="99" t="n">
        <v>39.05128</v>
      </c>
      <c r="AJ305" s="99" t="n">
        <v>-84.50269</v>
      </c>
      <c r="AK305" s="94" t="n">
        <v>2.43</v>
      </c>
      <c r="AL305" s="94" t="n">
        <v>2.75</v>
      </c>
      <c r="AM305" s="94" t="n">
        <v>3.51</v>
      </c>
      <c r="AN305" s="94" t="n">
        <v>2.3</v>
      </c>
      <c r="AO305" s="92" t="inlineStr">
        <is>
          <t>Distant 2-3mi</t>
        </is>
      </c>
      <c r="AP305" s="92" t="inlineStr">
        <is>
          <t>Built-out kitchen</t>
        </is>
      </c>
      <c r="AQ305" s="92" t="inlineStr">
        <is>
          <t>Good 8-15k</t>
        </is>
      </c>
      <c r="AR305" s="100" t="n"/>
      <c r="AS305" s="96">
        <f>ROUND(INDEX('Scoring Method'!$B$63:$B$70,MATCH(AE305,'Scoring Method'!$A$63:$A$70,0))*0.625+INDEX('Scoring Method'!$B$105:$B$113,MATCH(AP305,'Scoring Method'!$A$105:$A$113,0))+INDEX('Scoring Method'!$B$74:$B$78,MATCH(AQ305,'Scoring Method'!$A$74:$A$78,0))*0.6667+INDEX('Scoring Method'!$B$96:$B$101,MATCH(AO305,'Scoring Method'!$A$96:$A$101,0))+INDEX('Scoring Method'!$B$343:$B$347,MATCH(X305,'Scoring Method'!$A$343:$A$347,0))*0.3333+INDEX('Scoring Method'!$B$25:$B$27,MATCH(P305,'Scoring Method'!$A$25:$A$27,0))*0.3333,1)</f>
        <v/>
      </c>
      <c r="AT305" s="96">
        <f>AS305*U305/100</f>
        <v/>
      </c>
      <c r="AU305" s="92" t="inlineStr">
        <is>
          <t>Latonia</t>
        </is>
      </c>
      <c r="AV305" s="92" t="n">
        <v>78</v>
      </c>
      <c r="AW305" s="92" t="inlineStr">
        <is>
          <t>Sourced</t>
        </is>
      </c>
      <c r="AX305" s="92" t="inlineStr">
        <is>
          <t>Safe 70-79</t>
        </is>
      </c>
      <c r="AY305" s="96">
        <f>ROUND(INDEX('Scoring Method'!$B$132:$B$140,MATCH(AE305,'Scoring Method'!$A$132:$A$140,0))+INDEX('Scoring Method'!$B$144:$B$152,MATCH(AP305,'Scoring Method'!$A$144:$A$152,0))+INDEX('Scoring Method'!$B$156:$B$160,MATCH(AQ305,'Scoring Method'!$A$156:$A$160,0))+INDEX('Scoring Method'!$B$164:$B$169,MATCH(AO305,'Scoring Method'!$A$164:$A$169,0))+INDEX('Scoring Method'!$B$173:$B$178,MATCH(AX305,'Scoring Method'!$A$173:$A$178,0))+INDEX('Scoring Method'!$B$349:$B$353,MATCH(X305,'Scoring Method'!$A$349:$A$353,0))+INDEX('Scoring Method'!$B$188:$B$190,MATCH(P305,'Scoring Method'!$A$188:$A$190,0)),1)</f>
        <v/>
      </c>
      <c r="AZ305" s="96">
        <f>AY305*U305/100</f>
        <v/>
      </c>
      <c r="BA305" s="103" t="inlineStr">
        <is>
          <t>Brand-owned / net lease</t>
        </is>
      </c>
      <c r="BB305" s="94" t="n">
        <v>0.3</v>
      </c>
      <c r="BC305" s="102" t="inlineStr">
        <is>
          <t>Small 0.25-0.35 AC</t>
        </is>
      </c>
      <c r="BD305" s="94" t="n">
        <v>0.9</v>
      </c>
      <c r="BE305" s="96">
        <f>ROUND(INDEX('Scoring Method'!$B$268:$B$276,MATCH(AE305,'Scoring Method'!$A$268:$A$276,0))+INDEX('Scoring Method'!$B$280:$B$288,MATCH(AP305,'Scoring Method'!$A$280:$A$288,0))+INDEX('Scoring Method'!$B$292:$B$296,MATCH(AQ305,'Scoring Method'!$A$292:$A$296,0))+INDEX('Scoring Method'!$B$300:$B$305,MATCH(AO305,'Scoring Method'!$A$300:$A$305,0))+INDEX('Scoring Method'!$B$309:$B$314,MATCH(AX305,'Scoring Method'!$A$309:$A$314,0))+INDEX('Scoring Method'!$B$337:$B$341,MATCH(X305,'Scoring Method'!$A$337:$A$341,0))+INDEX('Scoring Method'!$B$324:$B$326,MATCH(P305,'Scoring Method'!$A$324:$A$326,0)),1)</f>
        <v/>
      </c>
      <c r="BF305" s="96">
        <f>ROUND(INDEX('Scoring Method'!$B$268:$B$276,MATCH(AE305,'Scoring Method'!$A$268:$A$276,0))*BB305*BD305+INDEX('Scoring Method'!$B$280:$B$288,MATCH(AP305,'Scoring Method'!$A$280:$A$288,0))*BM305*BB305*BD305+INDEX('Scoring Method'!$B$292:$B$296,MATCH(AQ305,'Scoring Method'!$A$292:$A$296,0))*BD305+INDEX('Scoring Method'!$B$300:$B$305,MATCH(AO305,'Scoring Method'!$A$300:$A$305,0))*BM305*BB305+INDEX('Scoring Method'!$B$309:$B$314,MATCH(AX305,'Scoring Method'!$A$309:$A$314,0))+INDEX('Scoring Method'!$B$337:$B$341,MATCH(X305,'Scoring Method'!$A$337:$A$341,0))+INDEX('Scoring Method'!$B$324:$B$326,MATCH(P305,'Scoring Method'!$A$324:$A$326,0)),1)</f>
        <v/>
      </c>
      <c r="BG305" s="92" t="inlineStr">
        <is>
          <t>Fits (~$1,505/mo)</t>
        </is>
      </c>
      <c r="BH305" s="61" t="inlineStr">
        <is>
          <t>TUMU</t>
        </is>
      </c>
      <c r="BI305" s="61" t="inlineStr">
        <is>
          <t>Traditional Urban Mixed Use</t>
        </is>
      </c>
      <c r="BJ305" s="61" t="inlineStr"/>
      <c r="BK305" s="61" t="inlineStr"/>
      <c r="BL305" s="61" t="inlineStr">
        <is>
          <t>Bar permitted</t>
        </is>
      </c>
      <c r="BM305" s="61">
        <f>INDEX('Scoring Method'!$B$358:$B$363,MATCH(BL305,'Scoring Method'!$A$358:$A$363,0))</f>
        <v/>
      </c>
    </row>
    <row r="306" ht="15" customHeight="1" s="62">
      <c r="A306" s="92" t="n">
        <v>305</v>
      </c>
      <c r="B306" s="92" t="inlineStr">
        <is>
          <t>040-34-01-001.02</t>
        </is>
      </c>
      <c r="C306" s="92" t="inlineStr">
        <is>
          <t>401 CRESCENT AVE</t>
        </is>
      </c>
      <c r="D306" s="92" t="inlineStr">
        <is>
          <t>401 CRESCENT AVENUE LLC</t>
        </is>
      </c>
      <c r="E306" s="92" t="inlineStr">
        <is>
          <t>100 E RIVERCENTER BLVD</t>
        </is>
      </c>
      <c r="F306" s="92" t="inlineStr">
        <is>
          <t>COVINGTON</t>
        </is>
      </c>
      <c r="G306" s="92" t="inlineStr">
        <is>
          <t>KY</t>
        </is>
      </c>
      <c r="H306" s="92" t="inlineStr">
        <is>
          <t>PAVED LOT</t>
        </is>
      </c>
      <c r="I306" s="93" t="n">
        <v>80425</v>
      </c>
      <c r="J306" s="94">
        <f>I306/43560</f>
        <v/>
      </c>
      <c r="K306" s="93" t="n">
        <v>1416.2</v>
      </c>
      <c r="L306" s="95">
        <f>I306/(K306^2)</f>
        <v/>
      </c>
      <c r="M306" s="92" t="inlineStr">
        <is>
          <t>Poor &lt;10k/&gt;60k</t>
        </is>
      </c>
      <c r="N306" s="92" t="inlineStr">
        <is>
          <t>D</t>
        </is>
      </c>
      <c r="O306" s="92" t="inlineStr">
        <is>
          <t>Elongated .035-.045</t>
        </is>
      </c>
      <c r="P306" s="92" t="inlineStr">
        <is>
          <t>Low</t>
        </is>
      </c>
      <c r="Q306" s="92" t="inlineStr">
        <is>
          <t>Local absentee</t>
        </is>
      </c>
      <c r="R306" s="92" t="inlineStr">
        <is>
          <t>Operating entity</t>
        </is>
      </c>
      <c r="S306" s="92" t="n">
        <v>2</v>
      </c>
      <c r="T306" s="96">
        <f>INDEX('Scoring Method'!$B$6:$B$9,MATCH(M306,'Scoring Method'!$A$6:$A$9,0))+INDEX('Scoring Method'!$B$12:$B$16,MATCH(N306,'Scoring Method'!$A$12:$A$16,0))+INDEX('Scoring Method'!$B$19:$B$22,MATCH(O306,'Scoring Method'!$A$19:$A$22,0))+INDEX('Scoring Method'!$B$25:$B$27,MATCH(P306,'Scoring Method'!$A$25:$A$27,0))</f>
        <v/>
      </c>
      <c r="U306" s="96">
        <f>(INDEX('Scoring Method'!$B$30:$B$33,MATCH(Q306,'Scoring Method'!$A$30:$A$33,0))+INDEX('Scoring Method'!$B$36:$B$42,MATCH(R306,'Scoring Method'!$A$36:$A$42,0))+INDEX('Scoring Method'!$B$45:$B$47,MATCH(IF(S306=1,"1",IF(S306=2,"2","3+")),'Scoring Method'!$A$45:$A$47,0)))/90*100</f>
        <v/>
      </c>
      <c r="V306" s="96">
        <f>T306*U306/100</f>
        <v/>
      </c>
      <c r="W306" s="93" t="n">
        <v>12600</v>
      </c>
      <c r="X306" s="92" t="inlineStr">
        <is>
          <t>X (minimal hazard)</t>
        </is>
      </c>
      <c r="Y306" s="93" t="n">
        <v>63600</v>
      </c>
      <c r="Z306" s="97">
        <f>W306/I306</f>
        <v/>
      </c>
      <c r="AA306" s="98">
        <f>MAX(0,(Y306-5000)/300)</f>
        <v/>
      </c>
      <c r="AB306" s="92" t="n"/>
      <c r="AC306" s="92" t="n">
        <v>1.85</v>
      </c>
      <c r="AD306" s="92" t="inlineStr">
        <is>
          <t>ok</t>
        </is>
      </c>
      <c r="AE306" s="92" t="inlineStr">
        <is>
          <t>Far oversize &gt;12k</t>
        </is>
      </c>
      <c r="AF306" s="96">
        <f>INDEX('Scoring Method'!$B$63:$B$71,MATCH(AE306,'Scoring Method'!$A$63:$A$71,0))+INDEX('Scoring Method'!$B$75:$B$79,MATCH("Ample &gt;=15k",'Scoring Method'!$A$75:$A$79,0))+INDEX('Scoring Method'!$B$343:$B$347,MATCH(X306,'Scoring Method'!$A$343:$A$347,0))+INDEX('Scoring Method'!$B$25:$B$27,MATCH(P306,'Scoring Method'!$A$25:$A$27,0))</f>
        <v/>
      </c>
      <c r="AG306" s="96">
        <f>AF306*U306/100</f>
        <v/>
      </c>
      <c r="AH306" s="92" t="inlineStr">
        <is>
          <t>LINK-GIS + LoopNet</t>
        </is>
      </c>
      <c r="AI306" s="99" t="n">
        <v>39.08595</v>
      </c>
      <c r="AJ306" s="99" t="n">
        <v>-84.52455</v>
      </c>
      <c r="AK306" s="94" t="n">
        <v>0.37</v>
      </c>
      <c r="AL306" s="94" t="n">
        <v>0.93</v>
      </c>
      <c r="AM306" s="94" t="n">
        <v>1.26</v>
      </c>
      <c r="AN306" s="94" t="n">
        <v>0.37</v>
      </c>
      <c r="AO306" s="92" t="inlineStr">
        <is>
          <t>Near 0.35-0.75mi</t>
        </is>
      </c>
      <c r="AP306" s="92" t="inlineStr">
        <is>
          <t>Lot / minimal bldg</t>
        </is>
      </c>
      <c r="AQ306" s="92" t="inlineStr">
        <is>
          <t>Ample &gt;=15k</t>
        </is>
      </c>
      <c r="AR306" s="100" t="n"/>
      <c r="AS306" s="96">
        <f>ROUND(INDEX('Scoring Method'!$B$63:$B$70,MATCH(AE306,'Scoring Method'!$A$63:$A$70,0))*0.625+INDEX('Scoring Method'!$B$105:$B$113,MATCH(AP306,'Scoring Method'!$A$105:$A$113,0))+INDEX('Scoring Method'!$B$74:$B$78,MATCH(AQ306,'Scoring Method'!$A$74:$A$78,0))*0.6667+INDEX('Scoring Method'!$B$96:$B$101,MATCH(AO306,'Scoring Method'!$A$96:$A$101,0))+INDEX('Scoring Method'!$B$343:$B$347,MATCH(X306,'Scoring Method'!$A$343:$A$347,0))*0.3333+INDEX('Scoring Method'!$B$25:$B$27,MATCH(P306,'Scoring Method'!$A$25:$A$27,0))*0.3333,1)</f>
        <v/>
      </c>
      <c r="AT306" s="96">
        <f>AS306*U306/100</f>
        <v/>
      </c>
      <c r="AU306" s="92" t="inlineStr">
        <is>
          <t>Kenton Hills</t>
        </is>
      </c>
      <c r="AV306" s="92" t="n">
        <v>85</v>
      </c>
      <c r="AW306" s="92" t="inlineStr">
        <is>
          <t>Sourced</t>
        </is>
      </c>
      <c r="AX306" s="92" t="inlineStr">
        <is>
          <t>Very safe 80+</t>
        </is>
      </c>
      <c r="AY306" s="96">
        <f>ROUND(INDEX('Scoring Method'!$B$132:$B$140,MATCH(AE306,'Scoring Method'!$A$132:$A$140,0))+INDEX('Scoring Method'!$B$144:$B$152,MATCH(AP306,'Scoring Method'!$A$144:$A$152,0))+INDEX('Scoring Method'!$B$156:$B$160,MATCH(AQ306,'Scoring Method'!$A$156:$A$160,0))+INDEX('Scoring Method'!$B$164:$B$169,MATCH(AO306,'Scoring Method'!$A$164:$A$169,0))+INDEX('Scoring Method'!$B$173:$B$178,MATCH(AX306,'Scoring Method'!$A$173:$A$178,0))+INDEX('Scoring Method'!$B$349:$B$353,MATCH(X306,'Scoring Method'!$A$349:$A$353,0))+INDEX('Scoring Method'!$B$188:$B$190,MATCH(P306,'Scoring Method'!$A$188:$A$190,0)),1)</f>
        <v/>
      </c>
      <c r="AZ306" s="96">
        <f>AY306*U306/100</f>
        <v/>
      </c>
      <c r="BA306" s="92" t="inlineStr">
        <is>
          <t>No chain signal</t>
        </is>
      </c>
      <c r="BB306" s="94" t="n">
        <v>1</v>
      </c>
      <c r="BC306" s="103" t="inlineStr">
        <is>
          <t>Oversized &gt;1.25 AC</t>
        </is>
      </c>
      <c r="BD306" s="94" t="n">
        <v>0.65</v>
      </c>
      <c r="BE306" s="96">
        <f>ROUND(INDEX('Scoring Method'!$B$268:$B$276,MATCH(AE306,'Scoring Method'!$A$268:$A$276,0))+INDEX('Scoring Method'!$B$280:$B$288,MATCH(AP306,'Scoring Method'!$A$280:$A$288,0))+INDEX('Scoring Method'!$B$292:$B$296,MATCH(AQ306,'Scoring Method'!$A$292:$A$296,0))+INDEX('Scoring Method'!$B$300:$B$305,MATCH(AO306,'Scoring Method'!$A$300:$A$305,0))+INDEX('Scoring Method'!$B$309:$B$314,MATCH(AX306,'Scoring Method'!$A$309:$A$314,0))+INDEX('Scoring Method'!$B$337:$B$341,MATCH(X306,'Scoring Method'!$A$337:$A$341,0))+INDEX('Scoring Method'!$B$324:$B$326,MATCH(P306,'Scoring Method'!$A$324:$A$326,0)),1)</f>
        <v/>
      </c>
      <c r="BF306" s="96">
        <f>ROUND(INDEX('Scoring Method'!$B$268:$B$276,MATCH(AE306,'Scoring Method'!$A$268:$A$276,0))*BB306*BD306+INDEX('Scoring Method'!$B$280:$B$288,MATCH(AP306,'Scoring Method'!$A$280:$A$288,0))*BM306*BB306*BD306+INDEX('Scoring Method'!$B$292:$B$296,MATCH(AQ306,'Scoring Method'!$A$292:$A$296,0))*BD306+INDEX('Scoring Method'!$B$300:$B$305,MATCH(AO306,'Scoring Method'!$A$300:$A$305,0))*BM306*BB306+INDEX('Scoring Method'!$B$309:$B$314,MATCH(AX306,'Scoring Method'!$A$309:$A$314,0))+INDEX('Scoring Method'!$B$337:$B$341,MATCH(X306,'Scoring Method'!$A$337:$A$341,0))+INDEX('Scoring Method'!$B$324:$B$326,MATCH(P306,'Scoring Method'!$A$324:$A$326,0)),1)</f>
        <v/>
      </c>
      <c r="BG306" s="102" t="inlineStr">
        <is>
          <t>Over (~$11,550/mo)</t>
        </is>
      </c>
      <c r="BH306" s="61" t="inlineStr">
        <is>
          <t>SU</t>
        </is>
      </c>
      <c r="BI306" s="61" t="inlineStr">
        <is>
          <t>Semi-Urban Residential</t>
        </is>
      </c>
      <c r="BJ306" s="61" t="inlineStr"/>
      <c r="BK306" s="61" t="inlineStr"/>
      <c r="BL306" s="61" t="inlineStr">
        <is>
          <t>SU corner unverified</t>
        </is>
      </c>
      <c r="BM306" s="61">
        <f>INDEX('Scoring Method'!$B$358:$B$363,MATCH(BL306,'Scoring Method'!$A$358:$A$363,0))</f>
        <v/>
      </c>
    </row>
    <row r="307" ht="15" customHeight="1" s="62">
      <c r="A307" s="92" t="n">
        <v>306</v>
      </c>
      <c r="B307" s="92" t="inlineStr">
        <is>
          <t>054-23-18-017.00</t>
        </is>
      </c>
      <c r="C307" s="92" t="inlineStr">
        <is>
          <t>526 GREENUP ST</t>
        </is>
      </c>
      <c r="D307" s="92" t="inlineStr">
        <is>
          <t>LITERARY PROPERTIES LLC</t>
        </is>
      </c>
      <c r="E307" s="92" t="inlineStr">
        <is>
          <t>233 E 4TH ST</t>
        </is>
      </c>
      <c r="F307" s="92" t="inlineStr">
        <is>
          <t>NEWPORT</t>
        </is>
      </c>
      <c r="G307" s="92" t="inlineStr">
        <is>
          <t>KY</t>
        </is>
      </c>
      <c r="H307" s="92" t="inlineStr">
        <is>
          <t>OFFICE BLDG 1 OR 2 STORY</t>
        </is>
      </c>
      <c r="I307" s="93" t="n">
        <v>9040</v>
      </c>
      <c r="J307" s="94">
        <f>I307/43560</f>
        <v/>
      </c>
      <c r="K307" s="93" t="n">
        <v>526</v>
      </c>
      <c r="L307" s="95">
        <f>I307/(K307^2)</f>
        <v/>
      </c>
      <c r="M307" s="92" t="inlineStr">
        <is>
          <t>Poor &lt;10k/&gt;60k</t>
        </is>
      </c>
      <c r="N307" s="92" t="inlineStr">
        <is>
          <t>E</t>
        </is>
      </c>
      <c r="O307" s="92" t="inlineStr">
        <is>
          <t>Irregular &lt;.035</t>
        </is>
      </c>
      <c r="P307" s="92" t="inlineStr">
        <is>
          <t>Low</t>
        </is>
      </c>
      <c r="Q307" s="92" t="inlineStr">
        <is>
          <t>Out-of-city KY</t>
        </is>
      </c>
      <c r="R307" s="92" t="inlineStr">
        <is>
          <t>Passive vehicle</t>
        </is>
      </c>
      <c r="S307" s="92" t="n">
        <v>1</v>
      </c>
      <c r="T307" s="96">
        <f>INDEX('Scoring Method'!$B$6:$B$9,MATCH(M307,'Scoring Method'!$A$6:$A$9,0))+INDEX('Scoring Method'!$B$12:$B$16,MATCH(N307,'Scoring Method'!$A$12:$A$16,0))+INDEX('Scoring Method'!$B$19:$B$22,MATCH(O307,'Scoring Method'!$A$19:$A$22,0))+INDEX('Scoring Method'!$B$25:$B$27,MATCH(P307,'Scoring Method'!$A$25:$A$27,0))</f>
        <v/>
      </c>
      <c r="U307" s="96">
        <f>(INDEX('Scoring Method'!$B$30:$B$33,MATCH(Q307,'Scoring Method'!$A$30:$A$33,0))+INDEX('Scoring Method'!$B$36:$B$42,MATCH(R307,'Scoring Method'!$A$36:$A$42,0))+INDEX('Scoring Method'!$B$45:$B$47,MATCH(IF(S307=1,"1",IF(S307=2,"2","3+")),'Scoring Method'!$A$45:$A$47,0)))/90*100</f>
        <v/>
      </c>
      <c r="V307" s="96">
        <f>T307*U307/100</f>
        <v/>
      </c>
      <c r="W307" s="93" t="n">
        <v>6071</v>
      </c>
      <c r="X307" s="92" t="inlineStr">
        <is>
          <t>X (minimal hazard)</t>
        </is>
      </c>
      <c r="Y307" s="93" t="n">
        <v>2825</v>
      </c>
      <c r="Z307" s="97" t="n"/>
      <c r="AA307" s="98">
        <f>MAX(0,(Y307-5000)/300)</f>
        <v/>
      </c>
      <c r="AB307" s="92" t="n"/>
      <c r="AC307" s="92" t="n"/>
      <c r="AD307" s="92" t="n"/>
      <c r="AE307" s="92" t="inlineStr">
        <is>
          <t>Oversize 6-12k</t>
        </is>
      </c>
      <c r="AF307" s="96">
        <f>INDEX('Scoring Method'!$B$63:$B$71,MATCH(AE307,'Scoring Method'!$A$63:$A$71,0))+INDEX('Scoring Method'!$B$75:$B$79,MATCH("Tight 2-5k",'Scoring Method'!$A$75:$A$79,0))+INDEX('Scoring Method'!$B$343:$B$347,MATCH(X307,'Scoring Method'!$A$343:$A$347,0))+INDEX('Scoring Method'!$B$25:$B$27,MATCH(P307,'Scoring Method'!$A$25:$A$27,0))</f>
        <v/>
      </c>
      <c r="AG307" s="96">
        <f>AF307*U307/100</f>
        <v/>
      </c>
      <c r="AH307" s="92" t="inlineStr">
        <is>
          <t>LINK-GIS + LoopNet (2026-08-02)</t>
        </is>
      </c>
      <c r="AI307" s="99" t="n">
        <v>39.08566</v>
      </c>
      <c r="AJ307" s="99" t="n">
        <v>-84.5068</v>
      </c>
      <c r="AK307" s="94" t="n">
        <v>0.6</v>
      </c>
      <c r="AL307" s="94" t="n">
        <v>0.37</v>
      </c>
      <c r="AM307" s="94" t="n">
        <v>1.13</v>
      </c>
      <c r="AN307" s="94" t="n">
        <v>0.26</v>
      </c>
      <c r="AO307" s="92" t="inlineStr">
        <is>
          <t>Core &lt;=0.35mi</t>
        </is>
      </c>
      <c r="AP307" s="92" t="inlineStr">
        <is>
          <t>Office/institutional</t>
        </is>
      </c>
      <c r="AQ307" s="92" t="inlineStr">
        <is>
          <t>Tight 2-5k</t>
        </is>
      </c>
      <c r="AR307" s="100" t="n"/>
      <c r="AS307" s="96">
        <f>ROUND(INDEX('Scoring Method'!$B$63:$B$70,MATCH(AE307,'Scoring Method'!$A$63:$A$70,0))*0.625+INDEX('Scoring Method'!$B$105:$B$113,MATCH(AP307,'Scoring Method'!$A$105:$A$113,0))+INDEX('Scoring Method'!$B$74:$B$78,MATCH(AQ307,'Scoring Method'!$A$74:$A$78,0))*0.6667+INDEX('Scoring Method'!$B$96:$B$101,MATCH(AO307,'Scoring Method'!$A$96:$A$101,0))+INDEX('Scoring Method'!$B$343:$B$347,MATCH(X307,'Scoring Method'!$A$343:$A$347,0))*0.3333+INDEX('Scoring Method'!$B$25:$B$27,MATCH(P307,'Scoring Method'!$A$25:$A$27,0))*0.3333,1)</f>
        <v/>
      </c>
      <c r="AT307" s="96">
        <f>AS307*U307/100</f>
        <v/>
      </c>
      <c r="AU307" s="92" t="inlineStr">
        <is>
          <t>Central Business District</t>
        </is>
      </c>
      <c r="AV307" s="92" t="n">
        <v>48</v>
      </c>
      <c r="AW307" s="101" t="inlineStr">
        <is>
          <t>ESTIMATED</t>
        </is>
      </c>
      <c r="AX307" s="92" t="inlineStr">
        <is>
          <t>Mixed 45-59</t>
        </is>
      </c>
      <c r="AY307" s="96">
        <f>ROUND(INDEX('Scoring Method'!$B$132:$B$140,MATCH(AE307,'Scoring Method'!$A$132:$A$140,0))+INDEX('Scoring Method'!$B$144:$B$152,MATCH(AP307,'Scoring Method'!$A$144:$A$152,0))+INDEX('Scoring Method'!$B$156:$B$160,MATCH(AQ307,'Scoring Method'!$A$156:$A$160,0))+INDEX('Scoring Method'!$B$164:$B$169,MATCH(AO307,'Scoring Method'!$A$164:$A$169,0))+INDEX('Scoring Method'!$B$173:$B$178,MATCH(AX307,'Scoring Method'!$A$173:$A$178,0))+INDEX('Scoring Method'!$B$349:$B$353,MATCH(X307,'Scoring Method'!$A$349:$A$353,0))+INDEX('Scoring Method'!$B$188:$B$190,MATCH(P307,'Scoring Method'!$A$188:$A$190,0)),1)</f>
        <v/>
      </c>
      <c r="AZ307" s="96">
        <f>AY307*U307/100</f>
        <v/>
      </c>
      <c r="BA307" s="92" t="inlineStr">
        <is>
          <t>No chain signal</t>
        </is>
      </c>
      <c r="BB307" s="94" t="n">
        <v>1</v>
      </c>
      <c r="BC307" s="103" t="inlineStr">
        <is>
          <t>Extra small 0.15-0.25 AC</t>
        </is>
      </c>
      <c r="BD307" s="94" t="n">
        <v>0.8</v>
      </c>
      <c r="BE307" s="96">
        <f>ROUND(INDEX('Scoring Method'!$B$268:$B$276,MATCH(AE307,'Scoring Method'!$A$268:$A$276,0))+INDEX('Scoring Method'!$B$280:$B$288,MATCH(AP307,'Scoring Method'!$A$280:$A$288,0))+INDEX('Scoring Method'!$B$292:$B$296,MATCH(AQ307,'Scoring Method'!$A$292:$A$296,0))+INDEX('Scoring Method'!$B$300:$B$305,MATCH(AO307,'Scoring Method'!$A$300:$A$305,0))+INDEX('Scoring Method'!$B$309:$B$314,MATCH(AX307,'Scoring Method'!$A$309:$A$314,0))+INDEX('Scoring Method'!$B$337:$B$341,MATCH(X307,'Scoring Method'!$A$337:$A$341,0))+INDEX('Scoring Method'!$B$324:$B$326,MATCH(P307,'Scoring Method'!$A$324:$A$326,0)),1)</f>
        <v/>
      </c>
      <c r="BF307" s="96">
        <f>ROUND(INDEX('Scoring Method'!$B$268:$B$276,MATCH(AE307,'Scoring Method'!$A$268:$A$276,0))*BB307*BD307+INDEX('Scoring Method'!$B$280:$B$288,MATCH(AP307,'Scoring Method'!$A$280:$A$288,0))*BM307*BB307*BD307+INDEX('Scoring Method'!$B$292:$B$296,MATCH(AQ307,'Scoring Method'!$A$292:$A$296,0))*BD307+INDEX('Scoring Method'!$B$300:$B$305,MATCH(AO307,'Scoring Method'!$A$300:$A$305,0))*BM307*BB307+INDEX('Scoring Method'!$B$309:$B$314,MATCH(AX307,'Scoring Method'!$A$309:$A$314,0))+INDEX('Scoring Method'!$B$337:$B$341,MATCH(X307,'Scoring Method'!$A$337:$A$341,0))+INDEX('Scoring Method'!$B$324:$B$326,MATCH(P307,'Scoring Method'!$A$324:$A$326,0)),1)</f>
        <v/>
      </c>
      <c r="BG307" s="92" t="inlineStr">
        <is>
          <t>Fits (~$5,565/mo)</t>
        </is>
      </c>
      <c r="BH307" s="61" t="inlineStr">
        <is>
          <t>TUR (HP)</t>
        </is>
      </c>
      <c r="BI307" s="61" t="inlineStr">
        <is>
          <t>Traditional Urban Residential</t>
        </is>
      </c>
      <c r="BJ307" s="61" t="inlineStr">
        <is>
          <t>HP</t>
        </is>
      </c>
      <c r="BK307" s="61" t="inlineStr"/>
      <c r="BL307" s="61" t="inlineStr">
        <is>
          <t>Bar prohibited, alt-path</t>
        </is>
      </c>
      <c r="BM307" s="61">
        <f>INDEX('Scoring Method'!$B$358:$B$363,MATCH(BL307,'Scoring Method'!$A$358:$A$363,0))</f>
        <v/>
      </c>
    </row>
    <row r="308" ht="15" customHeight="1" s="62">
      <c r="A308" s="92" t="n">
        <v>307</v>
      </c>
      <c r="B308" s="92" t="inlineStr">
        <is>
          <t>040-44-19-001.00</t>
        </is>
      </c>
      <c r="C308" s="92" t="inlineStr">
        <is>
          <t>533 GOETTA PL</t>
        </is>
      </c>
      <c r="D308" s="92" t="inlineStr">
        <is>
          <t>GLIERS HOLDING COMPANY LLC</t>
        </is>
      </c>
      <c r="E308" s="92" t="inlineStr">
        <is>
          <t>533 GOETTA PL</t>
        </is>
      </c>
      <c r="F308" s="92" t="inlineStr">
        <is>
          <t>COVINGTON</t>
        </is>
      </c>
      <c r="G308" s="92" t="inlineStr">
        <is>
          <t>KY</t>
        </is>
      </c>
      <c r="H308" s="92" t="inlineStr">
        <is>
          <t>MEAT PROCESSING FACILITY</t>
        </is>
      </c>
      <c r="I308" s="93" t="n">
        <v>20993</v>
      </c>
      <c r="J308" s="94">
        <f>I308/43560</f>
        <v/>
      </c>
      <c r="K308" s="93" t="n">
        <v>743</v>
      </c>
      <c r="L308" s="95">
        <f>I308/(K308^2)</f>
        <v/>
      </c>
      <c r="M308" s="92" t="inlineStr">
        <is>
          <t>Ideal 18-32k</t>
        </is>
      </c>
      <c r="N308" s="92" t="inlineStr">
        <is>
          <t>B</t>
        </is>
      </c>
      <c r="O308" s="92" t="inlineStr">
        <is>
          <t>Elongated .035-.045</t>
        </is>
      </c>
      <c r="P308" s="92" t="inlineStr">
        <is>
          <t>Moderate</t>
        </is>
      </c>
      <c r="Q308" s="92" t="inlineStr">
        <is>
          <t>Owner-occupied</t>
        </is>
      </c>
      <c r="R308" s="92" t="inlineStr">
        <is>
          <t>Operating entity</t>
        </is>
      </c>
      <c r="S308" s="92" t="n">
        <v>1</v>
      </c>
      <c r="T308" s="96">
        <f>INDEX('Scoring Method'!$B$6:$B$9,MATCH(M308,'Scoring Method'!$A$6:$A$9,0))+INDEX('Scoring Method'!$B$12:$B$16,MATCH(N308,'Scoring Method'!$A$12:$A$16,0))+INDEX('Scoring Method'!$B$19:$B$22,MATCH(O308,'Scoring Method'!$A$19:$A$22,0))+INDEX('Scoring Method'!$B$25:$B$27,MATCH(P308,'Scoring Method'!$A$25:$A$27,0))</f>
        <v/>
      </c>
      <c r="U308" s="96">
        <f>(INDEX('Scoring Method'!$B$30:$B$33,MATCH(Q308,'Scoring Method'!$A$30:$A$33,0))+INDEX('Scoring Method'!$B$36:$B$42,MATCH(R308,'Scoring Method'!$A$36:$A$42,0))+INDEX('Scoring Method'!$B$45:$B$47,MATCH(IF(S308=1,"1",IF(S308=2,"2","3+")),'Scoring Method'!$A$45:$A$47,0)))/90*100</f>
        <v/>
      </c>
      <c r="V308" s="96">
        <f>T308*U308/100</f>
        <v/>
      </c>
      <c r="W308" s="93" t="n">
        <v>13518</v>
      </c>
      <c r="X308" s="92" t="inlineStr">
        <is>
          <t>X (minimal hazard)</t>
        </is>
      </c>
      <c r="Y308" s="93" t="n">
        <v>3775</v>
      </c>
      <c r="Z308" s="97" t="n"/>
      <c r="AA308" s="98">
        <f>MAX(0,(Y308-5000)/300)</f>
        <v/>
      </c>
      <c r="AB308" s="92" t="n"/>
      <c r="AC308" s="92" t="n"/>
      <c r="AD308" s="92" t="n"/>
      <c r="AE308" s="92" t="inlineStr">
        <is>
          <t>Far oversize &gt;12k</t>
        </is>
      </c>
      <c r="AF308" s="96">
        <f>INDEX('Scoring Method'!$B$63:$B$71,MATCH(AE308,'Scoring Method'!$A$63:$A$71,0))+INDEX('Scoring Method'!$B$75:$B$79,MATCH("Tight 2-5k",'Scoring Method'!$A$75:$A$79,0))+INDEX('Scoring Method'!$B$343:$B$347,MATCH(X308,'Scoring Method'!$A$343:$A$347,0))+INDEX('Scoring Method'!$B$25:$B$27,MATCH(P308,'Scoring Method'!$A$25:$A$27,0))</f>
        <v/>
      </c>
      <c r="AG308" s="96">
        <f>AF308*U308/100</f>
        <v/>
      </c>
      <c r="AH308" s="92" t="inlineStr">
        <is>
          <t>LINK-GIS only</t>
        </is>
      </c>
      <c r="AI308" s="99" t="n">
        <v>39.07722</v>
      </c>
      <c r="AJ308" s="99" t="n">
        <v>-84.51806999999999</v>
      </c>
      <c r="AK308" s="94" t="n">
        <v>0.5</v>
      </c>
      <c r="AL308" s="94" t="n">
        <v>1.08</v>
      </c>
      <c r="AM308" s="94" t="n">
        <v>1.7</v>
      </c>
      <c r="AN308" s="94" t="n">
        <v>0.5</v>
      </c>
      <c r="AO308" s="92" t="inlineStr">
        <is>
          <t>Near 0.35-0.75mi</t>
        </is>
      </c>
      <c r="AP308" s="92" t="inlineStr">
        <is>
          <t>Open span</t>
        </is>
      </c>
      <c r="AQ308" s="92" t="inlineStr">
        <is>
          <t>Tight 2-5k</t>
        </is>
      </c>
      <c r="AR308" s="100" t="n"/>
      <c r="AS308" s="96">
        <f>ROUND(INDEX('Scoring Method'!$B$63:$B$70,MATCH(AE308,'Scoring Method'!$A$63:$A$70,0))*0.625+INDEX('Scoring Method'!$B$105:$B$113,MATCH(AP308,'Scoring Method'!$A$105:$A$113,0))+INDEX('Scoring Method'!$B$74:$B$78,MATCH(AQ308,'Scoring Method'!$A$74:$A$78,0))*0.6667+INDEX('Scoring Method'!$B$96:$B$101,MATCH(AO308,'Scoring Method'!$A$96:$A$101,0))+INDEX('Scoring Method'!$B$343:$B$347,MATCH(X308,'Scoring Method'!$A$343:$A$347,0))*0.3333+INDEX('Scoring Method'!$B$25:$B$27,MATCH(P308,'Scoring Method'!$A$25:$A$27,0))*0.3333,1)</f>
        <v/>
      </c>
      <c r="AT308" s="96">
        <f>AS308*U308/100</f>
        <v/>
      </c>
      <c r="AU308" s="92" t="inlineStr">
        <is>
          <t>Old Seminary Square</t>
        </is>
      </c>
      <c r="AV308" s="92" t="n">
        <v>35</v>
      </c>
      <c r="AW308" s="101" t="inlineStr">
        <is>
          <t>ESTIMATED</t>
        </is>
      </c>
      <c r="AX308" s="92" t="inlineStr">
        <is>
          <t>Elevated 35-44</t>
        </is>
      </c>
      <c r="AY308" s="96">
        <f>ROUND(INDEX('Scoring Method'!$B$132:$B$140,MATCH(AE308,'Scoring Method'!$A$132:$A$140,0))+INDEX('Scoring Method'!$B$144:$B$152,MATCH(AP308,'Scoring Method'!$A$144:$A$152,0))+INDEX('Scoring Method'!$B$156:$B$160,MATCH(AQ308,'Scoring Method'!$A$156:$A$160,0))+INDEX('Scoring Method'!$B$164:$B$169,MATCH(AO308,'Scoring Method'!$A$164:$A$169,0))+INDEX('Scoring Method'!$B$173:$B$178,MATCH(AX308,'Scoring Method'!$A$173:$A$178,0))+INDEX('Scoring Method'!$B$349:$B$353,MATCH(X308,'Scoring Method'!$A$349:$A$353,0))+INDEX('Scoring Method'!$B$188:$B$190,MATCH(P308,'Scoring Method'!$A$188:$A$190,0)),1)</f>
        <v/>
      </c>
      <c r="AZ308" s="96">
        <f>AY308*U308/100</f>
        <v/>
      </c>
      <c r="BA308" s="103" t="inlineStr">
        <is>
          <t>Brand-owned / net lease</t>
        </is>
      </c>
      <c r="BB308" s="94" t="n">
        <v>0.3</v>
      </c>
      <c r="BC308" s="92" t="inlineStr">
        <is>
          <t>Right-sized 0.35-0.75 AC</t>
        </is>
      </c>
      <c r="BD308" s="94" t="n">
        <v>1</v>
      </c>
      <c r="BE308" s="96">
        <f>ROUND(INDEX('Scoring Method'!$B$268:$B$276,MATCH(AE308,'Scoring Method'!$A$268:$A$276,0))+INDEX('Scoring Method'!$B$280:$B$288,MATCH(AP308,'Scoring Method'!$A$280:$A$288,0))+INDEX('Scoring Method'!$B$292:$B$296,MATCH(AQ308,'Scoring Method'!$A$292:$A$296,0))+INDEX('Scoring Method'!$B$300:$B$305,MATCH(AO308,'Scoring Method'!$A$300:$A$305,0))+INDEX('Scoring Method'!$B$309:$B$314,MATCH(AX308,'Scoring Method'!$A$309:$A$314,0))+INDEX('Scoring Method'!$B$337:$B$341,MATCH(X308,'Scoring Method'!$A$337:$A$341,0))+INDEX('Scoring Method'!$B$324:$B$326,MATCH(P308,'Scoring Method'!$A$324:$A$326,0)),1)</f>
        <v/>
      </c>
      <c r="BF308" s="96">
        <f>ROUND(INDEX('Scoring Method'!$B$268:$B$276,MATCH(AE308,'Scoring Method'!$A$268:$A$276,0))*BB308*BD308+INDEX('Scoring Method'!$B$280:$B$288,MATCH(AP308,'Scoring Method'!$A$280:$A$288,0))*BM308*BB308*BD308+INDEX('Scoring Method'!$B$292:$B$296,MATCH(AQ308,'Scoring Method'!$A$292:$A$296,0))*BD308+INDEX('Scoring Method'!$B$300:$B$305,MATCH(AO308,'Scoring Method'!$A$300:$A$305,0))*BM308*BB308+INDEX('Scoring Method'!$B$309:$B$314,MATCH(AX308,'Scoring Method'!$A$309:$A$314,0))+INDEX('Scoring Method'!$B$337:$B$341,MATCH(X308,'Scoring Method'!$A$337:$A$341,0))+INDEX('Scoring Method'!$B$324:$B$326,MATCH(P308,'Scoring Method'!$A$324:$A$326,0)),1)</f>
        <v/>
      </c>
      <c r="BG308" s="102" t="inlineStr">
        <is>
          <t>Over (~$12,392/mo)</t>
        </is>
      </c>
      <c r="BH308" s="61" t="inlineStr">
        <is>
          <t>TUMU (TS)</t>
        </is>
      </c>
      <c r="BI308" s="61" t="inlineStr">
        <is>
          <t>Traditional Urban Mixed Use</t>
        </is>
      </c>
      <c r="BJ308" s="61" t="inlineStr"/>
      <c r="BK308" s="61" t="inlineStr">
        <is>
          <t>Yes</t>
        </is>
      </c>
      <c r="BL308" s="61" t="inlineStr">
        <is>
          <t>Bar permitted</t>
        </is>
      </c>
      <c r="BM308" s="61">
        <f>INDEX('Scoring Method'!$B$358:$B$363,MATCH(BL308,'Scoring Method'!$A$358:$A$363,0))</f>
        <v/>
      </c>
    </row>
    <row r="309" ht="15" customHeight="1" s="62">
      <c r="A309" s="92" t="n">
        <v>308</v>
      </c>
      <c r="B309" s="92" t="inlineStr">
        <is>
          <t>041-30-00-001.00</t>
        </is>
      </c>
      <c r="C309" s="92" t="inlineStr">
        <is>
          <t>1100 W PIKE ST</t>
        </is>
      </c>
      <c r="D309" s="92" t="inlineStr">
        <is>
          <t>BE CONCERNED INC</t>
        </is>
      </c>
      <c r="E309" s="92" t="inlineStr">
        <is>
          <t>1100 PIKE ST</t>
        </is>
      </c>
      <c r="F309" s="92" t="inlineStr">
        <is>
          <t>COVINGTON</t>
        </is>
      </c>
      <c r="G309" s="92" t="inlineStr">
        <is>
          <t>KY</t>
        </is>
      </c>
      <c r="H309" s="92" t="inlineStr">
        <is>
          <t>OFFICE BLDG 1 OR 2 STORY</t>
        </is>
      </c>
      <c r="I309" s="93" t="n">
        <v>25754</v>
      </c>
      <c r="J309" s="94">
        <f>I309/43560</f>
        <v/>
      </c>
      <c r="K309" s="93" t="n">
        <v>673</v>
      </c>
      <c r="L309" s="95">
        <f>I309/(K309^2)</f>
        <v/>
      </c>
      <c r="M309" s="92" t="inlineStr">
        <is>
          <t>Ideal 18-32k</t>
        </is>
      </c>
      <c r="N309" s="92" t="inlineStr">
        <is>
          <t>E</t>
        </is>
      </c>
      <c r="O309" s="92" t="inlineStr">
        <is>
          <t>Compact &gt;=.055</t>
        </is>
      </c>
      <c r="P309" s="92" t="inlineStr">
        <is>
          <t>Low</t>
        </is>
      </c>
      <c r="Q309" s="92" t="inlineStr">
        <is>
          <t>Owner-occupied</t>
        </is>
      </c>
      <c r="R309" s="92" t="inlineStr">
        <is>
          <t>Operating entity</t>
        </is>
      </c>
      <c r="S309" s="92" t="n">
        <v>1</v>
      </c>
      <c r="T309" s="96">
        <f>INDEX('Scoring Method'!$B$6:$B$9,MATCH(M309,'Scoring Method'!$A$6:$A$9,0))+INDEX('Scoring Method'!$B$12:$B$16,MATCH(N309,'Scoring Method'!$A$12:$A$16,0))+INDEX('Scoring Method'!$B$19:$B$22,MATCH(O309,'Scoring Method'!$A$19:$A$22,0))+INDEX('Scoring Method'!$B$25:$B$27,MATCH(P309,'Scoring Method'!$A$25:$A$27,0))</f>
        <v/>
      </c>
      <c r="U309" s="96">
        <f>(INDEX('Scoring Method'!$B$30:$B$33,MATCH(Q309,'Scoring Method'!$A$30:$A$33,0))+INDEX('Scoring Method'!$B$36:$B$42,MATCH(R309,'Scoring Method'!$A$36:$A$42,0))+INDEX('Scoring Method'!$B$45:$B$47,MATCH(IF(S309=1,"1",IF(S309=2,"2","3+")),'Scoring Method'!$A$45:$A$47,0)))/90*100</f>
        <v/>
      </c>
      <c r="V309" s="96">
        <f>T309*U309/100</f>
        <v/>
      </c>
      <c r="W309" s="93" t="n">
        <v>12925</v>
      </c>
      <c r="X309" s="92" t="inlineStr">
        <is>
          <t>X (minimal hazard)</t>
        </is>
      </c>
      <c r="Y309" s="93" t="n">
        <v>18250</v>
      </c>
      <c r="Z309" s="97" t="n"/>
      <c r="AA309" s="98">
        <f>MAX(0,(Y309-5000)/300)</f>
        <v/>
      </c>
      <c r="AB309" s="92" t="n"/>
      <c r="AC309" s="92" t="n"/>
      <c r="AD309" s="92" t="n"/>
      <c r="AE309" s="92" t="inlineStr">
        <is>
          <t>Far oversize &gt;12k</t>
        </is>
      </c>
      <c r="AF309" s="96">
        <f>INDEX('Scoring Method'!$B$63:$B$71,MATCH(AE309,'Scoring Method'!$A$63:$A$71,0))+INDEX('Scoring Method'!$B$75:$B$79,MATCH("Ample &gt;=15k",'Scoring Method'!$A$75:$A$79,0))+INDEX('Scoring Method'!$B$343:$B$347,MATCH(X309,'Scoring Method'!$A$343:$A$347,0))+INDEX('Scoring Method'!$B$25:$B$27,MATCH(P309,'Scoring Method'!$A$25:$A$27,0))</f>
        <v/>
      </c>
      <c r="AG309" s="96">
        <f>AF309*U309/100</f>
        <v/>
      </c>
      <c r="AH309" s="92" t="inlineStr">
        <is>
          <t>LINK-GIS + LoopNet (2026-08-02)</t>
        </is>
      </c>
      <c r="AI309" s="99" t="n">
        <v>39.0756</v>
      </c>
      <c r="AJ309" s="99" t="n">
        <v>-84.52328</v>
      </c>
      <c r="AK309" s="94" t="n">
        <v>0.67</v>
      </c>
      <c r="AL309" s="94" t="n">
        <v>1.32</v>
      </c>
      <c r="AM309" s="94" t="n">
        <v>1.88</v>
      </c>
      <c r="AN309" s="94" t="n">
        <v>0.67</v>
      </c>
      <c r="AO309" s="92" t="inlineStr">
        <is>
          <t>Near 0.35-0.75mi</t>
        </is>
      </c>
      <c r="AP309" s="92" t="inlineStr">
        <is>
          <t>Office/institutional</t>
        </is>
      </c>
      <c r="AQ309" s="92" t="inlineStr">
        <is>
          <t>Ample &gt;=15k</t>
        </is>
      </c>
      <c r="AR309" s="100" t="n"/>
      <c r="AS309" s="96">
        <f>ROUND(INDEX('Scoring Method'!$B$63:$B$70,MATCH(AE309,'Scoring Method'!$A$63:$A$70,0))*0.625+INDEX('Scoring Method'!$B$105:$B$113,MATCH(AP309,'Scoring Method'!$A$105:$A$113,0))+INDEX('Scoring Method'!$B$74:$B$78,MATCH(AQ309,'Scoring Method'!$A$74:$A$78,0))*0.6667+INDEX('Scoring Method'!$B$96:$B$101,MATCH(AO309,'Scoring Method'!$A$96:$A$101,0))+INDEX('Scoring Method'!$B$343:$B$347,MATCH(X309,'Scoring Method'!$A$343:$A$347,0))*0.3333+INDEX('Scoring Method'!$B$25:$B$27,MATCH(P309,'Scoring Method'!$A$25:$A$27,0))*0.3333,1)</f>
        <v/>
      </c>
      <c r="AT309" s="96">
        <f>AS309*U309/100</f>
        <v/>
      </c>
      <c r="AU309" s="92" t="inlineStr">
        <is>
          <t>Lewisburg</t>
        </is>
      </c>
      <c r="AV309" s="92" t="n">
        <v>65</v>
      </c>
      <c r="AW309" s="92" t="inlineStr">
        <is>
          <t>Sourced</t>
        </is>
      </c>
      <c r="AX309" s="92" t="inlineStr">
        <is>
          <t>Moderate 60-69</t>
        </is>
      </c>
      <c r="AY309" s="96">
        <f>ROUND(INDEX('Scoring Method'!$B$132:$B$140,MATCH(AE309,'Scoring Method'!$A$132:$A$140,0))+INDEX('Scoring Method'!$B$144:$B$152,MATCH(AP309,'Scoring Method'!$A$144:$A$152,0))+INDEX('Scoring Method'!$B$156:$B$160,MATCH(AQ309,'Scoring Method'!$A$156:$A$160,0))+INDEX('Scoring Method'!$B$164:$B$169,MATCH(AO309,'Scoring Method'!$A$164:$A$169,0))+INDEX('Scoring Method'!$B$173:$B$178,MATCH(AX309,'Scoring Method'!$A$173:$A$178,0))+INDEX('Scoring Method'!$B$349:$B$353,MATCH(X309,'Scoring Method'!$A$349:$A$353,0))+INDEX('Scoring Method'!$B$188:$B$190,MATCH(P309,'Scoring Method'!$A$188:$A$190,0)),1)</f>
        <v/>
      </c>
      <c r="AZ309" s="96">
        <f>AY309*U309/100</f>
        <v/>
      </c>
      <c r="BA309" s="92" t="inlineStr">
        <is>
          <t>Owner-occupied operator</t>
        </is>
      </c>
      <c r="BB309" s="94" t="n">
        <v>0.8</v>
      </c>
      <c r="BC309" s="92" t="inlineStr">
        <is>
          <t>Right-sized 0.35-0.75 AC</t>
        </is>
      </c>
      <c r="BD309" s="94" t="n">
        <v>1</v>
      </c>
      <c r="BE309" s="96">
        <f>ROUND(INDEX('Scoring Method'!$B$268:$B$276,MATCH(AE309,'Scoring Method'!$A$268:$A$276,0))+INDEX('Scoring Method'!$B$280:$B$288,MATCH(AP309,'Scoring Method'!$A$280:$A$288,0))+INDEX('Scoring Method'!$B$292:$B$296,MATCH(AQ309,'Scoring Method'!$A$292:$A$296,0))+INDEX('Scoring Method'!$B$300:$B$305,MATCH(AO309,'Scoring Method'!$A$300:$A$305,0))+INDEX('Scoring Method'!$B$309:$B$314,MATCH(AX309,'Scoring Method'!$A$309:$A$314,0))+INDEX('Scoring Method'!$B$337:$B$341,MATCH(X309,'Scoring Method'!$A$337:$A$341,0))+INDEX('Scoring Method'!$B$324:$B$326,MATCH(P309,'Scoring Method'!$A$324:$A$326,0)),1)</f>
        <v/>
      </c>
      <c r="BF309" s="96">
        <f>ROUND(INDEX('Scoring Method'!$B$268:$B$276,MATCH(AE309,'Scoring Method'!$A$268:$A$276,0))*BB309*BD309+INDEX('Scoring Method'!$B$280:$B$288,MATCH(AP309,'Scoring Method'!$A$280:$A$288,0))*BM309*BB309*BD309+INDEX('Scoring Method'!$B$292:$B$296,MATCH(AQ309,'Scoring Method'!$A$292:$A$296,0))*BD309+INDEX('Scoring Method'!$B$300:$B$305,MATCH(AO309,'Scoring Method'!$A$300:$A$305,0))*BM309*BB309+INDEX('Scoring Method'!$B$309:$B$314,MATCH(AX309,'Scoring Method'!$A$309:$A$314,0))+INDEX('Scoring Method'!$B$337:$B$341,MATCH(X309,'Scoring Method'!$A$337:$A$341,0))+INDEX('Scoring Method'!$B$324:$B$326,MATCH(P309,'Scoring Method'!$A$324:$A$326,0)),1)</f>
        <v/>
      </c>
      <c r="BG309" s="92" t="inlineStr">
        <is>
          <t>Over (~$11,848/mo)</t>
        </is>
      </c>
      <c r="BH309" s="61" t="inlineStr">
        <is>
          <t>CMU</t>
        </is>
      </c>
      <c r="BI309" s="61" t="inlineStr">
        <is>
          <t>Commercial Mixed Use</t>
        </is>
      </c>
      <c r="BJ309" s="61" t="inlineStr"/>
      <c r="BK309" s="61" t="inlineStr"/>
      <c r="BL309" s="61" t="inlineStr">
        <is>
          <t>Bar permitted</t>
        </is>
      </c>
      <c r="BM309" s="61">
        <f>INDEX('Scoring Method'!$B$358:$B$363,MATCH(BL309,'Scoring Method'!$A$358:$A$363,0))</f>
        <v/>
      </c>
    </row>
    <row r="310" ht="15" customHeight="1" s="62">
      <c r="A310" s="92" t="n">
        <v>309</v>
      </c>
      <c r="B310" s="92" t="inlineStr">
        <is>
          <t>054-42-10-003.00</t>
        </is>
      </c>
      <c r="C310" s="92" t="inlineStr">
        <is>
          <t>1207 MARYLAND AVE</t>
        </is>
      </c>
      <c r="D310" s="92" t="inlineStr">
        <is>
          <t>RED EXPRESS DELIVERY SVCS INC</t>
        </is>
      </c>
      <c r="E310" s="92" t="inlineStr">
        <is>
          <t>1207 MARYLAND AVE</t>
        </is>
      </c>
      <c r="F310" s="92" t="inlineStr">
        <is>
          <t>COVINGTON</t>
        </is>
      </c>
      <c r="G310" s="92" t="inlineStr">
        <is>
          <t>KY</t>
        </is>
      </c>
      <c r="H310" s="92" t="inlineStr">
        <is>
          <t>OFFICE BLDG 1 OR 2 STORY</t>
        </is>
      </c>
      <c r="I310" s="93" t="n">
        <v>20081</v>
      </c>
      <c r="J310" s="94">
        <f>I310/43560</f>
        <v/>
      </c>
      <c r="K310" s="93" t="n">
        <v>602</v>
      </c>
      <c r="L310" s="95">
        <f>I310/(K310^2)</f>
        <v/>
      </c>
      <c r="M310" s="92" t="inlineStr">
        <is>
          <t>Ideal 18-32k</t>
        </is>
      </c>
      <c r="N310" s="92" t="inlineStr">
        <is>
          <t>E</t>
        </is>
      </c>
      <c r="O310" s="92" t="inlineStr">
        <is>
          <t>Compact &gt;=.055</t>
        </is>
      </c>
      <c r="P310" s="92" t="inlineStr">
        <is>
          <t>Low</t>
        </is>
      </c>
      <c r="Q310" s="92" t="inlineStr">
        <is>
          <t>Owner-occupied</t>
        </is>
      </c>
      <c r="R310" s="92" t="inlineStr">
        <is>
          <t>Operating entity</t>
        </is>
      </c>
      <c r="S310" s="92" t="n">
        <v>1</v>
      </c>
      <c r="T310" s="96">
        <f>INDEX('Scoring Method'!$B$6:$B$9,MATCH(M310,'Scoring Method'!$A$6:$A$9,0))+INDEX('Scoring Method'!$B$12:$B$16,MATCH(N310,'Scoring Method'!$A$12:$A$16,0))+INDEX('Scoring Method'!$B$19:$B$22,MATCH(O310,'Scoring Method'!$A$19:$A$22,0))+INDEX('Scoring Method'!$B$25:$B$27,MATCH(P310,'Scoring Method'!$A$25:$A$27,0))</f>
        <v/>
      </c>
      <c r="U310" s="96">
        <f>(INDEX('Scoring Method'!$B$30:$B$33,MATCH(Q310,'Scoring Method'!$A$30:$A$33,0))+INDEX('Scoring Method'!$B$36:$B$42,MATCH(R310,'Scoring Method'!$A$36:$A$42,0))+INDEX('Scoring Method'!$B$45:$B$47,MATCH(IF(S310=1,"1",IF(S310=2,"2","3+")),'Scoring Method'!$A$45:$A$47,0)))/90*100</f>
        <v/>
      </c>
      <c r="V310" s="96">
        <f>T310*U310/100</f>
        <v/>
      </c>
      <c r="W310" s="93" t="n">
        <v>3720</v>
      </c>
      <c r="X310" s="92" t="inlineStr">
        <is>
          <t>X (levee-protected)</t>
        </is>
      </c>
      <c r="Y310" s="93" t="n">
        <v>13225</v>
      </c>
      <c r="Z310" s="97" t="n"/>
      <c r="AA310" s="98">
        <f>MAX(0,(Y310-5000)/300)</f>
        <v/>
      </c>
      <c r="AB310" s="92" t="n"/>
      <c r="AC310" s="92" t="n"/>
      <c r="AD310" s="92" t="n"/>
      <c r="AE310" s="92" t="inlineStr">
        <is>
          <t>Above 2.5-4k</t>
        </is>
      </c>
      <c r="AF310" s="96">
        <f>INDEX('Scoring Method'!$B$63:$B$71,MATCH(AE310,'Scoring Method'!$A$63:$A$71,0))+INDEX('Scoring Method'!$B$75:$B$79,MATCH("Good 8-15k",'Scoring Method'!$A$75:$A$79,0))+INDEX('Scoring Method'!$B$343:$B$347,MATCH(X310,'Scoring Method'!$A$343:$A$347,0))+INDEX('Scoring Method'!$B$25:$B$27,MATCH(P310,'Scoring Method'!$A$25:$A$27,0))</f>
        <v/>
      </c>
      <c r="AG310" s="96">
        <f>AF310*U310/100</f>
        <v/>
      </c>
      <c r="AH310" s="92" t="inlineStr">
        <is>
          <t>LINK-GIS + LoopNet (2026-08-03)</t>
        </is>
      </c>
      <c r="AI310" s="99" t="n">
        <v>39.07825</v>
      </c>
      <c r="AJ310" s="99" t="n">
        <v>-84.5008</v>
      </c>
      <c r="AK310" s="94" t="n">
        <v>1.01</v>
      </c>
      <c r="AL310" s="94" t="n">
        <v>0.96</v>
      </c>
      <c r="AM310" s="94" t="n">
        <v>1.72</v>
      </c>
      <c r="AN310" s="94" t="n">
        <v>0.68</v>
      </c>
      <c r="AO310" s="92" t="inlineStr">
        <is>
          <t>Near 0.35-0.75mi</t>
        </is>
      </c>
      <c r="AP310" s="92" t="inlineStr">
        <is>
          <t>Office/institutional</t>
        </is>
      </c>
      <c r="AQ310" s="92" t="inlineStr">
        <is>
          <t>Good 8-15k</t>
        </is>
      </c>
      <c r="AR310" s="100" t="n"/>
      <c r="AS310" s="96">
        <f>ROUND(INDEX('Scoring Method'!$B$63:$B$70,MATCH(AE310,'Scoring Method'!$A$63:$A$70,0))*0.625+INDEX('Scoring Method'!$B$105:$B$113,MATCH(AP310,'Scoring Method'!$A$105:$A$113,0))+INDEX('Scoring Method'!$B$74:$B$78,MATCH(AQ310,'Scoring Method'!$A$74:$A$78,0))*0.6667+INDEX('Scoring Method'!$B$96:$B$101,MATCH(AO310,'Scoring Method'!$A$96:$A$101,0))+INDEX('Scoring Method'!$B$343:$B$347,MATCH(X310,'Scoring Method'!$A$343:$A$347,0))*0.3333+INDEX('Scoring Method'!$B$25:$B$27,MATCH(P310,'Scoring Method'!$A$25:$A$27,0))*0.3333,1)</f>
        <v/>
      </c>
      <c r="AT310" s="96">
        <f>AS310*U310/100</f>
        <v/>
      </c>
      <c r="AU310" s="92" t="inlineStr">
        <is>
          <t>Austinburg</t>
        </is>
      </c>
      <c r="AV310" s="92" t="n">
        <v>32</v>
      </c>
      <c r="AW310" s="101" t="inlineStr">
        <is>
          <t>ESTIMATED</t>
        </is>
      </c>
      <c r="AX310" s="92" t="inlineStr">
        <is>
          <t>High &lt;35</t>
        </is>
      </c>
      <c r="AY310" s="96">
        <f>ROUND(INDEX('Scoring Method'!$B$132:$B$140,MATCH(AE310,'Scoring Method'!$A$132:$A$140,0))+INDEX('Scoring Method'!$B$144:$B$152,MATCH(AP310,'Scoring Method'!$A$144:$A$152,0))+INDEX('Scoring Method'!$B$156:$B$160,MATCH(AQ310,'Scoring Method'!$A$156:$A$160,0))+INDEX('Scoring Method'!$B$164:$B$169,MATCH(AO310,'Scoring Method'!$A$164:$A$169,0))+INDEX('Scoring Method'!$B$173:$B$178,MATCH(AX310,'Scoring Method'!$A$173:$A$178,0))+INDEX('Scoring Method'!$B$349:$B$353,MATCH(X310,'Scoring Method'!$A$349:$A$353,0))+INDEX('Scoring Method'!$B$188:$B$190,MATCH(P310,'Scoring Method'!$A$188:$A$190,0)),1)</f>
        <v/>
      </c>
      <c r="AZ310" s="96">
        <f>AY310*U310/100</f>
        <v/>
      </c>
      <c r="BA310" s="92" t="inlineStr">
        <is>
          <t>Owner-occupied operator</t>
        </is>
      </c>
      <c r="BB310" s="94" t="n">
        <v>0.8</v>
      </c>
      <c r="BC310" s="92" t="inlineStr">
        <is>
          <t>Right-sized 0.35-0.75 AC</t>
        </is>
      </c>
      <c r="BD310" s="94" t="n">
        <v>1</v>
      </c>
      <c r="BE310" s="96">
        <f>ROUND(INDEX('Scoring Method'!$B$268:$B$276,MATCH(AE310,'Scoring Method'!$A$268:$A$276,0))+INDEX('Scoring Method'!$B$280:$B$288,MATCH(AP310,'Scoring Method'!$A$280:$A$288,0))+INDEX('Scoring Method'!$B$292:$B$296,MATCH(AQ310,'Scoring Method'!$A$292:$A$296,0))+INDEX('Scoring Method'!$B$300:$B$305,MATCH(AO310,'Scoring Method'!$A$300:$A$305,0))+INDEX('Scoring Method'!$B$309:$B$314,MATCH(AX310,'Scoring Method'!$A$309:$A$314,0))+INDEX('Scoring Method'!$B$337:$B$341,MATCH(X310,'Scoring Method'!$A$337:$A$341,0))+INDEX('Scoring Method'!$B$324:$B$326,MATCH(P310,'Scoring Method'!$A$324:$A$326,0)),1)</f>
        <v/>
      </c>
      <c r="BF310" s="96">
        <f>ROUND(INDEX('Scoring Method'!$B$268:$B$276,MATCH(AE310,'Scoring Method'!$A$268:$A$276,0))*BB310*BD310+INDEX('Scoring Method'!$B$280:$B$288,MATCH(AP310,'Scoring Method'!$A$280:$A$288,0))*BM310*BB310*BD310+INDEX('Scoring Method'!$B$292:$B$296,MATCH(AQ310,'Scoring Method'!$A$292:$A$296,0))*BD310+INDEX('Scoring Method'!$B$300:$B$305,MATCH(AO310,'Scoring Method'!$A$300:$A$305,0))*BM310*BB310+INDEX('Scoring Method'!$B$309:$B$314,MATCH(AX310,'Scoring Method'!$A$309:$A$314,0))+INDEX('Scoring Method'!$B$337:$B$341,MATCH(X310,'Scoring Method'!$A$337:$A$341,0))+INDEX('Scoring Method'!$B$324:$B$326,MATCH(P310,'Scoring Method'!$A$324:$A$326,0)),1)</f>
        <v/>
      </c>
      <c r="BG310" s="92" t="inlineStr">
        <is>
          <t>Fits (~$3,410/mo)</t>
        </is>
      </c>
      <c r="BH310" s="61" t="inlineStr">
        <is>
          <t>SU</t>
        </is>
      </c>
      <c r="BI310" s="61" t="inlineStr">
        <is>
          <t>Semi-Urban Residential</t>
        </is>
      </c>
      <c r="BJ310" s="61" t="inlineStr"/>
      <c r="BK310" s="61" t="inlineStr"/>
      <c r="BL310" s="61" t="inlineStr">
        <is>
          <t>SU corner unverified</t>
        </is>
      </c>
      <c r="BM310" s="61">
        <f>INDEX('Scoring Method'!$B$358:$B$363,MATCH(BL310,'Scoring Method'!$A$358:$A$363,0))</f>
        <v/>
      </c>
    </row>
    <row r="311" ht="15" customHeight="1" s="62">
      <c r="A311" s="92" t="n">
        <v>310</v>
      </c>
      <c r="B311" s="92" t="inlineStr">
        <is>
          <t>054-21-19-004.00</t>
        </is>
      </c>
      <c r="C311" s="92" t="inlineStr">
        <is>
          <t>108 W PIKE ST</t>
        </is>
      </c>
      <c r="D311" s="92" t="inlineStr">
        <is>
          <t>PIKE STAR LLC</t>
        </is>
      </c>
      <c r="E311" s="92" t="inlineStr">
        <is>
          <t>830 MADISON AVE</t>
        </is>
      </c>
      <c r="F311" s="92" t="inlineStr">
        <is>
          <t>COVINGTON</t>
        </is>
      </c>
      <c r="G311" s="92" t="inlineStr">
        <is>
          <t>KY</t>
        </is>
      </c>
      <c r="H311" s="92" t="inlineStr">
        <is>
          <t>RETAIL W/APARTMENTS</t>
        </is>
      </c>
      <c r="I311" s="93" t="n">
        <v>13725</v>
      </c>
      <c r="J311" s="94">
        <f>I311/43560</f>
        <v/>
      </c>
      <c r="K311" s="93" t="n">
        <v>530</v>
      </c>
      <c r="L311" s="95">
        <f>I311/(K311^2)</f>
        <v/>
      </c>
      <c r="M311" s="92" t="inlineStr">
        <is>
          <t>Marginal 10-14k/45-60k</t>
        </is>
      </c>
      <c r="N311" s="92" t="inlineStr">
        <is>
          <t>E</t>
        </is>
      </c>
      <c r="O311" s="92" t="inlineStr">
        <is>
          <t>Regular .045-.055</t>
        </is>
      </c>
      <c r="P311" s="92" t="inlineStr">
        <is>
          <t>Low</t>
        </is>
      </c>
      <c r="Q311" s="92" t="inlineStr">
        <is>
          <t>Local absentee</t>
        </is>
      </c>
      <c r="R311" s="92" t="inlineStr">
        <is>
          <t>Operating entity</t>
        </is>
      </c>
      <c r="S311" s="92" t="n">
        <v>1</v>
      </c>
      <c r="T311" s="96">
        <f>INDEX('Scoring Method'!$B$6:$B$9,MATCH(M311,'Scoring Method'!$A$6:$A$9,0))+INDEX('Scoring Method'!$B$12:$B$16,MATCH(N311,'Scoring Method'!$A$12:$A$16,0))+INDEX('Scoring Method'!$B$19:$B$22,MATCH(O311,'Scoring Method'!$A$19:$A$22,0))+INDEX('Scoring Method'!$B$25:$B$27,MATCH(P311,'Scoring Method'!$A$25:$A$27,0))</f>
        <v/>
      </c>
      <c r="U311" s="96">
        <f>(INDEX('Scoring Method'!$B$30:$B$33,MATCH(Q311,'Scoring Method'!$A$30:$A$33,0))+INDEX('Scoring Method'!$B$36:$B$42,MATCH(R311,'Scoring Method'!$A$36:$A$42,0))+INDEX('Scoring Method'!$B$45:$B$47,MATCH(IF(S311=1,"1",IF(S311=2,"2","3+")),'Scoring Method'!$A$45:$A$47,0)))/90*100</f>
        <v/>
      </c>
      <c r="V311" s="96">
        <f>T311*U311/100</f>
        <v/>
      </c>
      <c r="W311" s="93" t="n">
        <v>15384</v>
      </c>
      <c r="X311" s="92" t="inlineStr">
        <is>
          <t>X (minimal hazard)</t>
        </is>
      </c>
      <c r="Y311" s="93" t="n">
        <v>2275</v>
      </c>
      <c r="Z311" s="97">
        <f>W311/I311</f>
        <v/>
      </c>
      <c r="AA311" s="98">
        <f>MAX(0,(Y311-5000)/300)</f>
        <v/>
      </c>
      <c r="AB311" s="92" t="n"/>
      <c r="AC311" s="92" t="n">
        <v>0.31</v>
      </c>
      <c r="AD311" s="92" t="inlineStr">
        <is>
          <t>ok</t>
        </is>
      </c>
      <c r="AE311" s="92" t="inlineStr">
        <is>
          <t>Far oversize &gt;12k</t>
        </is>
      </c>
      <c r="AF311" s="96">
        <f>INDEX('Scoring Method'!$B$63:$B$71,MATCH(AE311,'Scoring Method'!$A$63:$A$71,0))+INDEX('Scoring Method'!$B$75:$B$79,MATCH("Tight 2-5k",'Scoring Method'!$A$75:$A$79,0))+INDEX('Scoring Method'!$B$343:$B$347,MATCH(X311,'Scoring Method'!$A$343:$A$347,0))+INDEX('Scoring Method'!$B$25:$B$27,MATCH(P311,'Scoring Method'!$A$25:$A$27,0))</f>
        <v/>
      </c>
      <c r="AG311" s="96">
        <f>AF311*U311/100</f>
        <v/>
      </c>
      <c r="AH311" s="92" t="inlineStr">
        <is>
          <t>LINK-GIS + LoopNet</t>
        </is>
      </c>
      <c r="AI311" s="99" t="n">
        <v>39.08345</v>
      </c>
      <c r="AJ311" s="99" t="n">
        <v>-84.51226</v>
      </c>
      <c r="AK311" s="94" t="n">
        <v>0.31</v>
      </c>
      <c r="AL311" s="94" t="n">
        <v>0.55</v>
      </c>
      <c r="AM311" s="94" t="n">
        <v>1.25</v>
      </c>
      <c r="AN311" s="94" t="n">
        <v>0.07000000000000001</v>
      </c>
      <c r="AO311" s="92" t="inlineStr">
        <is>
          <t>Core &lt;=0.35mi</t>
        </is>
      </c>
      <c r="AP311" s="92" t="inlineStr">
        <is>
          <t>Cellular</t>
        </is>
      </c>
      <c r="AQ311" s="92" t="inlineStr">
        <is>
          <t>Tight 2-5k</t>
        </is>
      </c>
      <c r="AR311" s="100" t="n"/>
      <c r="AS311" s="96">
        <f>ROUND(INDEX('Scoring Method'!$B$63:$B$70,MATCH(AE311,'Scoring Method'!$A$63:$A$70,0))*0.625+INDEX('Scoring Method'!$B$105:$B$113,MATCH(AP311,'Scoring Method'!$A$105:$A$113,0))+INDEX('Scoring Method'!$B$74:$B$78,MATCH(AQ311,'Scoring Method'!$A$74:$A$78,0))*0.6667+INDEX('Scoring Method'!$B$96:$B$101,MATCH(AO311,'Scoring Method'!$A$96:$A$101,0))+INDEX('Scoring Method'!$B$343:$B$347,MATCH(X311,'Scoring Method'!$A$343:$A$347,0))*0.3333+INDEX('Scoring Method'!$B$25:$B$27,MATCH(P311,'Scoring Method'!$A$25:$A$27,0))*0.3333,1)</f>
        <v/>
      </c>
      <c r="AT311" s="96">
        <f>AS311*U311/100</f>
        <v/>
      </c>
      <c r="AU311" s="92" t="inlineStr">
        <is>
          <t>Central Business District</t>
        </is>
      </c>
      <c r="AV311" s="92" t="n">
        <v>48</v>
      </c>
      <c r="AW311" s="101" t="inlineStr">
        <is>
          <t>ESTIMATED</t>
        </is>
      </c>
      <c r="AX311" s="92" t="inlineStr">
        <is>
          <t>Mixed 45-59</t>
        </is>
      </c>
      <c r="AY311" s="96">
        <f>ROUND(INDEX('Scoring Method'!$B$132:$B$140,MATCH(AE311,'Scoring Method'!$A$132:$A$140,0))+INDEX('Scoring Method'!$B$144:$B$152,MATCH(AP311,'Scoring Method'!$A$144:$A$152,0))+INDEX('Scoring Method'!$B$156:$B$160,MATCH(AQ311,'Scoring Method'!$A$156:$A$160,0))+INDEX('Scoring Method'!$B$164:$B$169,MATCH(AO311,'Scoring Method'!$A$164:$A$169,0))+INDEX('Scoring Method'!$B$173:$B$178,MATCH(AX311,'Scoring Method'!$A$173:$A$178,0))+INDEX('Scoring Method'!$B$349:$B$353,MATCH(X311,'Scoring Method'!$A$349:$A$353,0))+INDEX('Scoring Method'!$B$188:$B$190,MATCH(P311,'Scoring Method'!$A$188:$A$190,0)),1)</f>
        <v/>
      </c>
      <c r="AZ311" s="96">
        <f>AY311*U311/100</f>
        <v/>
      </c>
      <c r="BA311" s="92" t="inlineStr">
        <is>
          <t>No chain signal</t>
        </is>
      </c>
      <c r="BB311" s="94" t="n">
        <v>1</v>
      </c>
      <c r="BC311" s="102" t="inlineStr">
        <is>
          <t>Small 0.25-0.35 AC</t>
        </is>
      </c>
      <c r="BD311" s="94" t="n">
        <v>0.9</v>
      </c>
      <c r="BE311" s="96">
        <f>ROUND(INDEX('Scoring Method'!$B$268:$B$276,MATCH(AE311,'Scoring Method'!$A$268:$A$276,0))+INDEX('Scoring Method'!$B$280:$B$288,MATCH(AP311,'Scoring Method'!$A$280:$A$288,0))+INDEX('Scoring Method'!$B$292:$B$296,MATCH(AQ311,'Scoring Method'!$A$292:$A$296,0))+INDEX('Scoring Method'!$B$300:$B$305,MATCH(AO311,'Scoring Method'!$A$300:$A$305,0))+INDEX('Scoring Method'!$B$309:$B$314,MATCH(AX311,'Scoring Method'!$A$309:$A$314,0))+INDEX('Scoring Method'!$B$337:$B$341,MATCH(X311,'Scoring Method'!$A$337:$A$341,0))+INDEX('Scoring Method'!$B$324:$B$326,MATCH(P311,'Scoring Method'!$A$324:$A$326,0)),1)</f>
        <v/>
      </c>
      <c r="BF311" s="96">
        <f>ROUND(INDEX('Scoring Method'!$B$268:$B$276,MATCH(AE311,'Scoring Method'!$A$268:$A$276,0))*BB311*BD311+INDEX('Scoring Method'!$B$280:$B$288,MATCH(AP311,'Scoring Method'!$A$280:$A$288,0))*BM311*BB311*BD311+INDEX('Scoring Method'!$B$292:$B$296,MATCH(AQ311,'Scoring Method'!$A$292:$A$296,0))*BD311+INDEX('Scoring Method'!$B$300:$B$305,MATCH(AO311,'Scoring Method'!$A$300:$A$305,0))*BM311*BB311+INDEX('Scoring Method'!$B$309:$B$314,MATCH(AX311,'Scoring Method'!$A$309:$A$314,0))+INDEX('Scoring Method'!$B$337:$B$341,MATCH(X311,'Scoring Method'!$A$337:$A$341,0))+INDEX('Scoring Method'!$B$324:$B$326,MATCH(P311,'Scoring Method'!$A$324:$A$326,0)),1)</f>
        <v/>
      </c>
      <c r="BG311" s="102" t="inlineStr">
        <is>
          <t>Over (~$14,102/mo)</t>
        </is>
      </c>
      <c r="BH311" s="61" t="inlineStr">
        <is>
          <t>DTC (HP)</t>
        </is>
      </c>
      <c r="BI311" s="61" t="inlineStr">
        <is>
          <t>Downtown Core</t>
        </is>
      </c>
      <c r="BJ311" s="61" t="inlineStr">
        <is>
          <t>HP</t>
        </is>
      </c>
      <c r="BK311" s="61" t="inlineStr"/>
      <c r="BL311" s="61" t="inlineStr">
        <is>
          <t>Bar permitted</t>
        </is>
      </c>
      <c r="BM311" s="61">
        <f>INDEX('Scoring Method'!$B$358:$B$363,MATCH(BL311,'Scoring Method'!$A$358:$A$363,0))</f>
        <v/>
      </c>
    </row>
    <row r="312" ht="15" customHeight="1" s="62">
      <c r="A312" s="92" t="n">
        <v>311</v>
      </c>
      <c r="B312" s="92" t="inlineStr">
        <is>
          <t>054-24-08-009.00</t>
        </is>
      </c>
      <c r="C312" s="92" t="inlineStr">
        <is>
          <t>1030 MADISON AVE</t>
        </is>
      </c>
      <c r="D312" s="92" t="inlineStr">
        <is>
          <t>COVWORX LLC</t>
        </is>
      </c>
      <c r="E312" s="92" t="inlineStr">
        <is>
          <t>1032 MADISON AVE</t>
        </is>
      </c>
      <c r="F312" s="92" t="inlineStr">
        <is>
          <t>COVINGTON</t>
        </is>
      </c>
      <c r="G312" s="92" t="inlineStr">
        <is>
          <t>KY</t>
        </is>
      </c>
      <c r="H312" s="92" t="inlineStr">
        <is>
          <t>OFFICE BLDG 1 OR 2 STORY</t>
        </is>
      </c>
      <c r="I312" s="93" t="n">
        <v>13300</v>
      </c>
      <c r="J312" s="94">
        <f>I312/43560</f>
        <v/>
      </c>
      <c r="K312" s="93" t="n">
        <v>520</v>
      </c>
      <c r="L312" s="95">
        <f>I312/(K312^2)</f>
        <v/>
      </c>
      <c r="M312" s="92" t="inlineStr">
        <is>
          <t>Marginal 10-14k/45-60k</t>
        </is>
      </c>
      <c r="N312" s="92" t="inlineStr">
        <is>
          <t>E</t>
        </is>
      </c>
      <c r="O312" s="92" t="inlineStr">
        <is>
          <t>Regular .045-.055</t>
        </is>
      </c>
      <c r="P312" s="92" t="inlineStr">
        <is>
          <t>Low</t>
        </is>
      </c>
      <c r="Q312" s="92" t="inlineStr">
        <is>
          <t>Local absentee</t>
        </is>
      </c>
      <c r="R312" s="92" t="inlineStr">
        <is>
          <t>Operating entity</t>
        </is>
      </c>
      <c r="S312" s="92" t="n">
        <v>1</v>
      </c>
      <c r="T312" s="96">
        <f>INDEX('Scoring Method'!$B$6:$B$9,MATCH(M312,'Scoring Method'!$A$6:$A$9,0))+INDEX('Scoring Method'!$B$12:$B$16,MATCH(N312,'Scoring Method'!$A$12:$A$16,0))+INDEX('Scoring Method'!$B$19:$B$22,MATCH(O312,'Scoring Method'!$A$19:$A$22,0))+INDEX('Scoring Method'!$B$25:$B$27,MATCH(P312,'Scoring Method'!$A$25:$A$27,0))</f>
        <v/>
      </c>
      <c r="U312" s="96">
        <f>(INDEX('Scoring Method'!$B$30:$B$33,MATCH(Q312,'Scoring Method'!$A$30:$A$33,0))+INDEX('Scoring Method'!$B$36:$B$42,MATCH(R312,'Scoring Method'!$A$36:$A$42,0))+INDEX('Scoring Method'!$B$45:$B$47,MATCH(IF(S312=1,"1",IF(S312=2,"2","3+")),'Scoring Method'!$A$45:$A$47,0)))/90*100</f>
        <v/>
      </c>
      <c r="V312" s="96">
        <f>T312*U312/100</f>
        <v/>
      </c>
      <c r="W312" s="93" t="n">
        <v>12300</v>
      </c>
      <c r="X312" s="92" t="inlineStr">
        <is>
          <t>X (minimal hazard)</t>
        </is>
      </c>
      <c r="Y312" s="93" t="n">
        <v>2675</v>
      </c>
      <c r="Z312" s="97">
        <f>W312/I312</f>
        <v/>
      </c>
      <c r="AA312" s="98">
        <f>MAX(0,(Y312-5000)/300)</f>
        <v/>
      </c>
      <c r="AB312" s="92" t="n"/>
      <c r="AC312" s="92" t="n">
        <v>0.31</v>
      </c>
      <c r="AD312" s="92" t="inlineStr">
        <is>
          <t>ok</t>
        </is>
      </c>
      <c r="AE312" s="92" t="inlineStr">
        <is>
          <t>Far oversize &gt;12k</t>
        </is>
      </c>
      <c r="AF312" s="96">
        <f>INDEX('Scoring Method'!$B$63:$B$71,MATCH(AE312,'Scoring Method'!$A$63:$A$71,0))+INDEX('Scoring Method'!$B$75:$B$79,MATCH("Tight 2-5k",'Scoring Method'!$A$75:$A$79,0))+INDEX('Scoring Method'!$B$343:$B$347,MATCH(X312,'Scoring Method'!$A$343:$A$347,0))+INDEX('Scoring Method'!$B$25:$B$27,MATCH(P312,'Scoring Method'!$A$25:$A$27,0))</f>
        <v/>
      </c>
      <c r="AG312" s="96">
        <f>AF312*U312/100</f>
        <v/>
      </c>
      <c r="AH312" s="92" t="inlineStr">
        <is>
          <t>LINK-GIS + LoopNet</t>
        </is>
      </c>
      <c r="AI312" s="99" t="n">
        <v>39.07961</v>
      </c>
      <c r="AJ312" s="99" t="n">
        <v>-84.50857999999999</v>
      </c>
      <c r="AK312" s="94" t="n">
        <v>0.6</v>
      </c>
      <c r="AL312" s="94" t="n">
        <v>0.78</v>
      </c>
      <c r="AM312" s="94" t="n">
        <v>1.53</v>
      </c>
      <c r="AN312" s="94" t="n">
        <v>0.33</v>
      </c>
      <c r="AO312" s="92" t="inlineStr">
        <is>
          <t>Core &lt;=0.35mi</t>
        </is>
      </c>
      <c r="AP312" s="92" t="inlineStr">
        <is>
          <t>Office/institutional</t>
        </is>
      </c>
      <c r="AQ312" s="92" t="inlineStr">
        <is>
          <t>Tight 2-5k</t>
        </is>
      </c>
      <c r="AR312" s="100" t="n"/>
      <c r="AS312" s="96">
        <f>ROUND(INDEX('Scoring Method'!$B$63:$B$70,MATCH(AE312,'Scoring Method'!$A$63:$A$70,0))*0.625+INDEX('Scoring Method'!$B$105:$B$113,MATCH(AP312,'Scoring Method'!$A$105:$A$113,0))+INDEX('Scoring Method'!$B$74:$B$78,MATCH(AQ312,'Scoring Method'!$A$74:$A$78,0))*0.6667+INDEX('Scoring Method'!$B$96:$B$101,MATCH(AO312,'Scoring Method'!$A$96:$A$101,0))+INDEX('Scoring Method'!$B$343:$B$347,MATCH(X312,'Scoring Method'!$A$343:$A$347,0))*0.3333+INDEX('Scoring Method'!$B$25:$B$27,MATCH(P312,'Scoring Method'!$A$25:$A$27,0))*0.3333,1)</f>
        <v/>
      </c>
      <c r="AT312" s="96">
        <f>AS312*U312/100</f>
        <v/>
      </c>
      <c r="AU312" s="92" t="inlineStr">
        <is>
          <t>Central Business District</t>
        </is>
      </c>
      <c r="AV312" s="92" t="n">
        <v>48</v>
      </c>
      <c r="AW312" s="101" t="inlineStr">
        <is>
          <t>ESTIMATED</t>
        </is>
      </c>
      <c r="AX312" s="92" t="inlineStr">
        <is>
          <t>Mixed 45-59</t>
        </is>
      </c>
      <c r="AY312" s="96">
        <f>ROUND(INDEX('Scoring Method'!$B$132:$B$140,MATCH(AE312,'Scoring Method'!$A$132:$A$140,0))+INDEX('Scoring Method'!$B$144:$B$152,MATCH(AP312,'Scoring Method'!$A$144:$A$152,0))+INDEX('Scoring Method'!$B$156:$B$160,MATCH(AQ312,'Scoring Method'!$A$156:$A$160,0))+INDEX('Scoring Method'!$B$164:$B$169,MATCH(AO312,'Scoring Method'!$A$164:$A$169,0))+INDEX('Scoring Method'!$B$173:$B$178,MATCH(AX312,'Scoring Method'!$A$173:$A$178,0))+INDEX('Scoring Method'!$B$349:$B$353,MATCH(X312,'Scoring Method'!$A$349:$A$353,0))+INDEX('Scoring Method'!$B$188:$B$190,MATCH(P312,'Scoring Method'!$A$188:$A$190,0)),1)</f>
        <v/>
      </c>
      <c r="AZ312" s="96">
        <f>AY312*U312/100</f>
        <v/>
      </c>
      <c r="BA312" s="92" t="inlineStr">
        <is>
          <t>No chain signal</t>
        </is>
      </c>
      <c r="BB312" s="94" t="n">
        <v>1</v>
      </c>
      <c r="BC312" s="102" t="inlineStr">
        <is>
          <t>Small 0.25-0.35 AC</t>
        </is>
      </c>
      <c r="BD312" s="94" t="n">
        <v>0.9</v>
      </c>
      <c r="BE312" s="96">
        <f>ROUND(INDEX('Scoring Method'!$B$268:$B$276,MATCH(AE312,'Scoring Method'!$A$268:$A$276,0))+INDEX('Scoring Method'!$B$280:$B$288,MATCH(AP312,'Scoring Method'!$A$280:$A$288,0))+INDEX('Scoring Method'!$B$292:$B$296,MATCH(AQ312,'Scoring Method'!$A$292:$A$296,0))+INDEX('Scoring Method'!$B$300:$B$305,MATCH(AO312,'Scoring Method'!$A$300:$A$305,0))+INDEX('Scoring Method'!$B$309:$B$314,MATCH(AX312,'Scoring Method'!$A$309:$A$314,0))+INDEX('Scoring Method'!$B$337:$B$341,MATCH(X312,'Scoring Method'!$A$337:$A$341,0))+INDEX('Scoring Method'!$B$324:$B$326,MATCH(P312,'Scoring Method'!$A$324:$A$326,0)),1)</f>
        <v/>
      </c>
      <c r="BF312" s="96">
        <f>ROUND(INDEX('Scoring Method'!$B$268:$B$276,MATCH(AE312,'Scoring Method'!$A$268:$A$276,0))*BB312*BD312+INDEX('Scoring Method'!$B$280:$B$288,MATCH(AP312,'Scoring Method'!$A$280:$A$288,0))*BM312*BB312*BD312+INDEX('Scoring Method'!$B$292:$B$296,MATCH(AQ312,'Scoring Method'!$A$292:$A$296,0))*BD312+INDEX('Scoring Method'!$B$300:$B$305,MATCH(AO312,'Scoring Method'!$A$300:$A$305,0))*BM312*BB312+INDEX('Scoring Method'!$B$309:$B$314,MATCH(AX312,'Scoring Method'!$A$309:$A$314,0))+INDEX('Scoring Method'!$B$337:$B$341,MATCH(X312,'Scoring Method'!$A$337:$A$341,0))+INDEX('Scoring Method'!$B$324:$B$326,MATCH(P312,'Scoring Method'!$A$324:$A$326,0)),1)</f>
        <v/>
      </c>
      <c r="BG312" s="102" t="inlineStr">
        <is>
          <t>Over (~$11,275/mo)</t>
        </is>
      </c>
      <c r="BH312" s="61" t="inlineStr">
        <is>
          <t>DTC</t>
        </is>
      </c>
      <c r="BI312" s="61" t="inlineStr">
        <is>
          <t>Downtown Core</t>
        </is>
      </c>
      <c r="BJ312" s="61" t="inlineStr"/>
      <c r="BK312" s="61" t="inlineStr"/>
      <c r="BL312" s="61" t="inlineStr">
        <is>
          <t>Bar permitted</t>
        </is>
      </c>
      <c r="BM312" s="61">
        <f>INDEX('Scoring Method'!$B$358:$B$363,MATCH(BL312,'Scoring Method'!$A$358:$A$363,0))</f>
        <v/>
      </c>
    </row>
    <row r="313" ht="15" customHeight="1" s="62">
      <c r="A313" s="92" t="n">
        <v>312</v>
      </c>
      <c r="B313" s="92" t="inlineStr">
        <is>
          <t>054-22-08-005.00</t>
        </is>
      </c>
      <c r="C313" s="92" t="inlineStr">
        <is>
          <t>401 W PIKE ST</t>
        </is>
      </c>
      <c r="D313" s="92" t="inlineStr">
        <is>
          <t>Z-COOL LLC</t>
        </is>
      </c>
      <c r="E313" s="92" t="inlineStr">
        <is>
          <t>401 PIKE ST</t>
        </is>
      </c>
      <c r="F313" s="92" t="inlineStr">
        <is>
          <t>COVINGTON</t>
        </is>
      </c>
      <c r="G313" s="92" t="inlineStr">
        <is>
          <t>KY</t>
        </is>
      </c>
      <c r="H313" s="92" t="inlineStr">
        <is>
          <t>RETAIL OFFICE/WHSE</t>
        </is>
      </c>
      <c r="I313" s="93" t="n">
        <v>11596</v>
      </c>
      <c r="J313" s="94">
        <f>I313/43560</f>
        <v/>
      </c>
      <c r="K313" s="93" t="n">
        <v>419.1</v>
      </c>
      <c r="L313" s="95">
        <f>I313/(K313^2)</f>
        <v/>
      </c>
      <c r="M313" s="92" t="inlineStr">
        <is>
          <t>Marginal 10-14k/45-60k</t>
        </is>
      </c>
      <c r="N313" s="92" t="inlineStr">
        <is>
          <t>B</t>
        </is>
      </c>
      <c r="O313" s="92" t="inlineStr">
        <is>
          <t>Compact &gt;=.055</t>
        </is>
      </c>
      <c r="P313" s="92" t="inlineStr">
        <is>
          <t>Low</t>
        </is>
      </c>
      <c r="Q313" s="92" t="inlineStr">
        <is>
          <t>Owner-occupied</t>
        </is>
      </c>
      <c r="R313" s="92" t="inlineStr">
        <is>
          <t>Operating entity</t>
        </is>
      </c>
      <c r="S313" s="92" t="n">
        <v>1</v>
      </c>
      <c r="T313" s="96">
        <f>INDEX('Scoring Method'!$B$6:$B$9,MATCH(M313,'Scoring Method'!$A$6:$A$9,0))+INDEX('Scoring Method'!$B$12:$B$16,MATCH(N313,'Scoring Method'!$A$12:$A$16,0))+INDEX('Scoring Method'!$B$19:$B$22,MATCH(O313,'Scoring Method'!$A$19:$A$22,0))+INDEX('Scoring Method'!$B$25:$B$27,MATCH(P313,'Scoring Method'!$A$25:$A$27,0))</f>
        <v/>
      </c>
      <c r="U313" s="96">
        <f>(INDEX('Scoring Method'!$B$30:$B$33,MATCH(Q313,'Scoring Method'!$A$30:$A$33,0))+INDEX('Scoring Method'!$B$36:$B$42,MATCH(R313,'Scoring Method'!$A$36:$A$42,0))+INDEX('Scoring Method'!$B$45:$B$47,MATCH(IF(S313=1,"1",IF(S313=2,"2","3+")),'Scoring Method'!$A$45:$A$47,0)))/90*100</f>
        <v/>
      </c>
      <c r="V313" s="96">
        <f>T313*U313/100</f>
        <v/>
      </c>
      <c r="W313" s="93" t="n">
        <v>5492</v>
      </c>
      <c r="X313" s="92" t="inlineStr">
        <is>
          <t>X (minimal hazard)</t>
        </is>
      </c>
      <c r="Y313" s="93" t="n">
        <v>7750</v>
      </c>
      <c r="Z313" s="97" t="n"/>
      <c r="AA313" s="98">
        <f>MAX(0,(Y313-5000)/300)</f>
        <v/>
      </c>
      <c r="AB313" s="92" t="n"/>
      <c r="AC313" s="92" t="n"/>
      <c r="AD313" s="92" t="n"/>
      <c r="AE313" s="92" t="inlineStr">
        <is>
          <t>Large 4-6k</t>
        </is>
      </c>
      <c r="AF313" s="96">
        <f>INDEX('Scoring Method'!$B$63:$B$71,MATCH(AE313,'Scoring Method'!$A$63:$A$71,0))+INDEX('Scoring Method'!$B$75:$B$79,MATCH("Adequate 5-8k",'Scoring Method'!$A$75:$A$79,0))+INDEX('Scoring Method'!$B$343:$B$347,MATCH(X313,'Scoring Method'!$A$343:$A$347,0))+INDEX('Scoring Method'!$B$25:$B$27,MATCH(P313,'Scoring Method'!$A$25:$A$27,0))</f>
        <v/>
      </c>
      <c r="AG313" s="96">
        <f>AF313*U313/100</f>
        <v/>
      </c>
      <c r="AH313" s="92" t="inlineStr">
        <is>
          <t>LINK-GIS + LoopNet (2026-08-02)</t>
        </is>
      </c>
      <c r="AI313" s="99" t="n">
        <v>39.07889</v>
      </c>
      <c r="AJ313" s="99" t="n">
        <v>-84.51622</v>
      </c>
      <c r="AK313" s="94" t="n">
        <v>0.39</v>
      </c>
      <c r="AL313" s="94" t="n">
        <v>0.93</v>
      </c>
      <c r="AM313" s="94" t="n">
        <v>1.58</v>
      </c>
      <c r="AN313" s="94" t="n">
        <v>0.39</v>
      </c>
      <c r="AO313" s="92" t="inlineStr">
        <is>
          <t>Near 0.35-0.75mi</t>
        </is>
      </c>
      <c r="AP313" s="92" t="inlineStr">
        <is>
          <t>Open span</t>
        </is>
      </c>
      <c r="AQ313" s="92" t="inlineStr">
        <is>
          <t>Adequate 5-8k</t>
        </is>
      </c>
      <c r="AR313" s="100" t="n"/>
      <c r="AS313" s="96">
        <f>ROUND(INDEX('Scoring Method'!$B$63:$B$70,MATCH(AE313,'Scoring Method'!$A$63:$A$70,0))*0.625+INDEX('Scoring Method'!$B$105:$B$113,MATCH(AP313,'Scoring Method'!$A$105:$A$113,0))+INDEX('Scoring Method'!$B$74:$B$78,MATCH(AQ313,'Scoring Method'!$A$74:$A$78,0))*0.6667+INDEX('Scoring Method'!$B$96:$B$101,MATCH(AO313,'Scoring Method'!$A$96:$A$101,0))+INDEX('Scoring Method'!$B$343:$B$347,MATCH(X313,'Scoring Method'!$A$343:$A$347,0))*0.3333+INDEX('Scoring Method'!$B$25:$B$27,MATCH(P313,'Scoring Method'!$A$25:$A$27,0))*0.3333,1)</f>
        <v/>
      </c>
      <c r="AT313" s="96">
        <f>AS313*U313/100</f>
        <v/>
      </c>
      <c r="AU313" s="92" t="inlineStr">
        <is>
          <t>Old Seminary Square</t>
        </is>
      </c>
      <c r="AV313" s="92" t="n">
        <v>35</v>
      </c>
      <c r="AW313" s="101" t="inlineStr">
        <is>
          <t>ESTIMATED</t>
        </is>
      </c>
      <c r="AX313" s="92" t="inlineStr">
        <is>
          <t>Elevated 35-44</t>
        </is>
      </c>
      <c r="AY313" s="96">
        <f>ROUND(INDEX('Scoring Method'!$B$132:$B$140,MATCH(AE313,'Scoring Method'!$A$132:$A$140,0))+INDEX('Scoring Method'!$B$144:$B$152,MATCH(AP313,'Scoring Method'!$A$144:$A$152,0))+INDEX('Scoring Method'!$B$156:$B$160,MATCH(AQ313,'Scoring Method'!$A$156:$A$160,0))+INDEX('Scoring Method'!$B$164:$B$169,MATCH(AO313,'Scoring Method'!$A$164:$A$169,0))+INDEX('Scoring Method'!$B$173:$B$178,MATCH(AX313,'Scoring Method'!$A$173:$A$178,0))+INDEX('Scoring Method'!$B$349:$B$353,MATCH(X313,'Scoring Method'!$A$349:$A$353,0))+INDEX('Scoring Method'!$B$188:$B$190,MATCH(P313,'Scoring Method'!$A$188:$A$190,0)),1)</f>
        <v/>
      </c>
      <c r="AZ313" s="96">
        <f>AY313*U313/100</f>
        <v/>
      </c>
      <c r="BA313" s="92" t="inlineStr">
        <is>
          <t>Owner-occupied operator</t>
        </is>
      </c>
      <c r="BB313" s="94" t="n">
        <v>0.8</v>
      </c>
      <c r="BC313" s="102" t="inlineStr">
        <is>
          <t>Small 0.25-0.35 AC</t>
        </is>
      </c>
      <c r="BD313" s="94" t="n">
        <v>0.9</v>
      </c>
      <c r="BE313" s="96">
        <f>ROUND(INDEX('Scoring Method'!$B$268:$B$276,MATCH(AE313,'Scoring Method'!$A$268:$A$276,0))+INDEX('Scoring Method'!$B$280:$B$288,MATCH(AP313,'Scoring Method'!$A$280:$A$288,0))+INDEX('Scoring Method'!$B$292:$B$296,MATCH(AQ313,'Scoring Method'!$A$292:$A$296,0))+INDEX('Scoring Method'!$B$300:$B$305,MATCH(AO313,'Scoring Method'!$A$300:$A$305,0))+INDEX('Scoring Method'!$B$309:$B$314,MATCH(AX313,'Scoring Method'!$A$309:$A$314,0))+INDEX('Scoring Method'!$B$337:$B$341,MATCH(X313,'Scoring Method'!$A$337:$A$341,0))+INDEX('Scoring Method'!$B$324:$B$326,MATCH(P313,'Scoring Method'!$A$324:$A$326,0)),1)</f>
        <v/>
      </c>
      <c r="BF313" s="96">
        <f>ROUND(INDEX('Scoring Method'!$B$268:$B$276,MATCH(AE313,'Scoring Method'!$A$268:$A$276,0))*BB313*BD313+INDEX('Scoring Method'!$B$280:$B$288,MATCH(AP313,'Scoring Method'!$A$280:$A$288,0))*BM313*BB313*BD313+INDEX('Scoring Method'!$B$292:$B$296,MATCH(AQ313,'Scoring Method'!$A$292:$A$296,0))*BD313+INDEX('Scoring Method'!$B$300:$B$305,MATCH(AO313,'Scoring Method'!$A$300:$A$305,0))*BM313*BB313+INDEX('Scoring Method'!$B$309:$B$314,MATCH(AX313,'Scoring Method'!$A$309:$A$314,0))+INDEX('Scoring Method'!$B$337:$B$341,MATCH(X313,'Scoring Method'!$A$337:$A$341,0))+INDEX('Scoring Method'!$B$324:$B$326,MATCH(P313,'Scoring Method'!$A$324:$A$326,0)),1)</f>
        <v/>
      </c>
      <c r="BG313" s="92" t="inlineStr">
        <is>
          <t>Fits (~$5,034/mo)</t>
        </is>
      </c>
      <c r="BH313" s="61" t="inlineStr">
        <is>
          <t>TUMU (HP)</t>
        </is>
      </c>
      <c r="BI313" s="61" t="inlineStr">
        <is>
          <t>Traditional Urban Mixed Use</t>
        </is>
      </c>
      <c r="BJ313" s="61" t="inlineStr">
        <is>
          <t>HP</t>
        </is>
      </c>
      <c r="BK313" s="61" t="inlineStr"/>
      <c r="BL313" s="61" t="inlineStr">
        <is>
          <t>Bar permitted</t>
        </is>
      </c>
      <c r="BM313" s="61">
        <f>INDEX('Scoring Method'!$B$358:$B$363,MATCH(BL313,'Scoring Method'!$A$358:$A$363,0))</f>
        <v/>
      </c>
    </row>
    <row r="314" ht="15" customHeight="1" s="62">
      <c r="A314" s="92" t="n">
        <v>313</v>
      </c>
      <c r="B314" s="92" t="inlineStr">
        <is>
          <t>054-22-07-020.00</t>
        </is>
      </c>
      <c r="C314" s="92" t="inlineStr">
        <is>
          <t>350 W PIKE ST</t>
        </is>
      </c>
      <c r="D314" s="92" t="inlineStr">
        <is>
          <t>SCHAMER ENTERPRISES INC</t>
        </is>
      </c>
      <c r="E314" s="92" t="inlineStr">
        <is>
          <t>350 PIKE ST</t>
        </is>
      </c>
      <c r="F314" s="92" t="inlineStr">
        <is>
          <t>COVINGTON</t>
        </is>
      </c>
      <c r="G314" s="92" t="inlineStr">
        <is>
          <t>KY</t>
        </is>
      </c>
      <c r="H314" s="92" t="inlineStr">
        <is>
          <t>RETAIL W/APARTMENTS</t>
        </is>
      </c>
      <c r="I314" s="93" t="n">
        <v>8100</v>
      </c>
      <c r="J314" s="94">
        <f>I314/43560</f>
        <v/>
      </c>
      <c r="K314" s="93" t="n">
        <v>435</v>
      </c>
      <c r="L314" s="95">
        <f>I314/(K314^2)</f>
        <v/>
      </c>
      <c r="M314" s="92" t="inlineStr">
        <is>
          <t>Poor &lt;10k/&gt;60k</t>
        </is>
      </c>
      <c r="N314" s="92" t="inlineStr">
        <is>
          <t>E</t>
        </is>
      </c>
      <c r="O314" s="92" t="inlineStr">
        <is>
          <t>Elongated .035-.045</t>
        </is>
      </c>
      <c r="P314" s="92" t="inlineStr">
        <is>
          <t>Low</t>
        </is>
      </c>
      <c r="Q314" s="92" t="inlineStr">
        <is>
          <t>Owner-occupied</t>
        </is>
      </c>
      <c r="R314" s="92" t="inlineStr">
        <is>
          <t>Passive vehicle</t>
        </is>
      </c>
      <c r="S314" s="92" t="n">
        <v>2</v>
      </c>
      <c r="T314" s="96">
        <f>INDEX('Scoring Method'!$B$6:$B$9,MATCH(M314,'Scoring Method'!$A$6:$A$9,0))+INDEX('Scoring Method'!$B$12:$B$16,MATCH(N314,'Scoring Method'!$A$12:$A$16,0))+INDEX('Scoring Method'!$B$19:$B$22,MATCH(O314,'Scoring Method'!$A$19:$A$22,0))+INDEX('Scoring Method'!$B$25:$B$27,MATCH(P314,'Scoring Method'!$A$25:$A$27,0))</f>
        <v/>
      </c>
      <c r="U314" s="96">
        <f>(INDEX('Scoring Method'!$B$30:$B$33,MATCH(Q314,'Scoring Method'!$A$30:$A$33,0))+INDEX('Scoring Method'!$B$36:$B$42,MATCH(R314,'Scoring Method'!$A$36:$A$42,0))+INDEX('Scoring Method'!$B$45:$B$47,MATCH(IF(S314=1,"1",IF(S314=2,"2","3+")),'Scoring Method'!$A$45:$A$47,0)))/90*100</f>
        <v/>
      </c>
      <c r="V314" s="96">
        <f>T314*U314/100</f>
        <v/>
      </c>
      <c r="W314" s="93" t="n">
        <v>10125</v>
      </c>
      <c r="X314" s="92" t="inlineStr">
        <is>
          <t>X (minimal hazard)</t>
        </is>
      </c>
      <c r="Y314" s="93" t="n">
        <v>0</v>
      </c>
      <c r="Z314" s="97" t="n"/>
      <c r="AA314" s="98">
        <f>MAX(0,(Y314-5000)/300)</f>
        <v/>
      </c>
      <c r="AB314" s="92" t="n"/>
      <c r="AC314" s="92" t="n"/>
      <c r="AD314" s="92" t="n"/>
      <c r="AE314" s="92" t="inlineStr">
        <is>
          <t>Oversize 6-12k</t>
        </is>
      </c>
      <c r="AF314" s="96">
        <f>INDEX('Scoring Method'!$B$63:$B$71,MATCH(AE314,'Scoring Method'!$A$63:$A$71,0))+INDEX('Scoring Method'!$B$75:$B$79,MATCH("Insufficient &lt;2k",'Scoring Method'!$A$75:$A$79,0))+INDEX('Scoring Method'!$B$343:$B$347,MATCH(X314,'Scoring Method'!$A$343:$A$347,0))+INDEX('Scoring Method'!$B$25:$B$27,MATCH(P314,'Scoring Method'!$A$25:$A$27,0))</f>
        <v/>
      </c>
      <c r="AG314" s="96">
        <f>AF314*U314/100</f>
        <v/>
      </c>
      <c r="AH314" s="92" t="inlineStr">
        <is>
          <t>LINK-GIS + LoopNet (2026-08-03)</t>
        </is>
      </c>
      <c r="AI314" s="99" t="n">
        <v>39.07957</v>
      </c>
      <c r="AJ314" s="99" t="n">
        <v>-84.51635</v>
      </c>
      <c r="AK314" s="94" t="n">
        <v>0.34</v>
      </c>
      <c r="AL314" s="94" t="n">
        <v>0.89</v>
      </c>
      <c r="AM314" s="94" t="n">
        <v>1.53</v>
      </c>
      <c r="AN314" s="94" t="n">
        <v>0.34</v>
      </c>
      <c r="AO314" s="92" t="inlineStr">
        <is>
          <t>Core &lt;=0.35mi</t>
        </is>
      </c>
      <c r="AP314" s="92" t="inlineStr">
        <is>
          <t>Cellular</t>
        </is>
      </c>
      <c r="AQ314" s="92" t="inlineStr">
        <is>
          <t>Insufficient &lt;2k</t>
        </is>
      </c>
      <c r="AR314" s="100" t="n"/>
      <c r="AS314" s="96">
        <f>ROUND(INDEX('Scoring Method'!$B$63:$B$70,MATCH(AE314,'Scoring Method'!$A$63:$A$70,0))*0.625+INDEX('Scoring Method'!$B$105:$B$113,MATCH(AP314,'Scoring Method'!$A$105:$A$113,0))+INDEX('Scoring Method'!$B$74:$B$78,MATCH(AQ314,'Scoring Method'!$A$74:$A$78,0))*0.6667+INDEX('Scoring Method'!$B$96:$B$101,MATCH(AO314,'Scoring Method'!$A$96:$A$101,0))+INDEX('Scoring Method'!$B$343:$B$347,MATCH(X314,'Scoring Method'!$A$343:$A$347,0))*0.3333+INDEX('Scoring Method'!$B$25:$B$27,MATCH(P314,'Scoring Method'!$A$25:$A$27,0))*0.3333,1)</f>
        <v/>
      </c>
      <c r="AT314" s="96">
        <f>AS314*U314/100</f>
        <v/>
      </c>
      <c r="AU314" s="92" t="inlineStr">
        <is>
          <t>MainStrasse</t>
        </is>
      </c>
      <c r="AV314" s="92" t="n">
        <v>75</v>
      </c>
      <c r="AW314" s="92" t="inlineStr">
        <is>
          <t>Sourced</t>
        </is>
      </c>
      <c r="AX314" s="92" t="inlineStr">
        <is>
          <t>Safe 70-79</t>
        </is>
      </c>
      <c r="AY314" s="96">
        <f>ROUND(INDEX('Scoring Method'!$B$132:$B$140,MATCH(AE314,'Scoring Method'!$A$132:$A$140,0))+INDEX('Scoring Method'!$B$144:$B$152,MATCH(AP314,'Scoring Method'!$A$144:$A$152,0))+INDEX('Scoring Method'!$B$156:$B$160,MATCH(AQ314,'Scoring Method'!$A$156:$A$160,0))+INDEX('Scoring Method'!$B$164:$B$169,MATCH(AO314,'Scoring Method'!$A$164:$A$169,0))+INDEX('Scoring Method'!$B$173:$B$178,MATCH(AX314,'Scoring Method'!$A$173:$A$178,0))+INDEX('Scoring Method'!$B$349:$B$353,MATCH(X314,'Scoring Method'!$A$349:$A$353,0))+INDEX('Scoring Method'!$B$188:$B$190,MATCH(P314,'Scoring Method'!$A$188:$A$190,0)),1)</f>
        <v/>
      </c>
      <c r="AZ314" s="96">
        <f>AY314*U314/100</f>
        <v/>
      </c>
      <c r="BA314" s="92" t="inlineStr">
        <is>
          <t>Owner-occupied operator</t>
        </is>
      </c>
      <c r="BB314" s="94" t="n">
        <v>0.8</v>
      </c>
      <c r="BC314" s="103" t="inlineStr">
        <is>
          <t>Extra small 0.15-0.25 AC</t>
        </is>
      </c>
      <c r="BD314" s="94" t="n">
        <v>0.8</v>
      </c>
      <c r="BE314" s="96">
        <f>ROUND(INDEX('Scoring Method'!$B$268:$B$276,MATCH(AE314,'Scoring Method'!$A$268:$A$276,0))+INDEX('Scoring Method'!$B$280:$B$288,MATCH(AP314,'Scoring Method'!$A$280:$A$288,0))+INDEX('Scoring Method'!$B$292:$B$296,MATCH(AQ314,'Scoring Method'!$A$292:$A$296,0))+INDEX('Scoring Method'!$B$300:$B$305,MATCH(AO314,'Scoring Method'!$A$300:$A$305,0))+INDEX('Scoring Method'!$B$309:$B$314,MATCH(AX314,'Scoring Method'!$A$309:$A$314,0))+INDEX('Scoring Method'!$B$337:$B$341,MATCH(X314,'Scoring Method'!$A$337:$A$341,0))+INDEX('Scoring Method'!$B$324:$B$326,MATCH(P314,'Scoring Method'!$A$324:$A$326,0)),1)</f>
        <v/>
      </c>
      <c r="BF314" s="96">
        <f>ROUND(INDEX('Scoring Method'!$B$268:$B$276,MATCH(AE314,'Scoring Method'!$A$268:$A$276,0))*BB314*BD314+INDEX('Scoring Method'!$B$280:$B$288,MATCH(AP314,'Scoring Method'!$A$280:$A$288,0))*BM314*BB314*BD314+INDEX('Scoring Method'!$B$292:$B$296,MATCH(AQ314,'Scoring Method'!$A$292:$A$296,0))*BD314+INDEX('Scoring Method'!$B$300:$B$305,MATCH(AO314,'Scoring Method'!$A$300:$A$305,0))*BM314*BB314+INDEX('Scoring Method'!$B$309:$B$314,MATCH(AX314,'Scoring Method'!$A$309:$A$314,0))+INDEX('Scoring Method'!$B$337:$B$341,MATCH(X314,'Scoring Method'!$A$337:$A$341,0))+INDEX('Scoring Method'!$B$324:$B$326,MATCH(P314,'Scoring Method'!$A$324:$A$326,0)),1)</f>
        <v/>
      </c>
      <c r="BG314" s="92" t="inlineStr">
        <is>
          <t>Fits (~$9,281/mo)</t>
        </is>
      </c>
      <c r="BH314" s="61" t="inlineStr">
        <is>
          <t>DTC (HP)</t>
        </is>
      </c>
      <c r="BI314" s="61" t="inlineStr">
        <is>
          <t>Downtown Core</t>
        </is>
      </c>
      <c r="BJ314" s="61" t="inlineStr">
        <is>
          <t>HP</t>
        </is>
      </c>
      <c r="BK314" s="61" t="inlineStr"/>
      <c r="BL314" s="61" t="inlineStr">
        <is>
          <t>Bar permitted</t>
        </is>
      </c>
      <c r="BM314" s="61">
        <f>INDEX('Scoring Method'!$B$358:$B$363,MATCH(BL314,'Scoring Method'!$A$358:$A$363,0))</f>
        <v/>
      </c>
    </row>
    <row r="315" ht="15" customHeight="1" s="62">
      <c r="A315" s="92" t="n">
        <v>314</v>
      </c>
      <c r="B315" s="92" t="inlineStr">
        <is>
          <t>056-32-18-012.00</t>
        </is>
      </c>
      <c r="C315" s="92" t="inlineStr">
        <is>
          <t>3912 DECOURSEY AVE</t>
        </is>
      </c>
      <c r="D315" s="92" t="inlineStr">
        <is>
          <t>LATONIA CHRISTIAN CHURCH INC</t>
        </is>
      </c>
      <c r="E315" s="92" t="inlineStr">
        <is>
          <t>PO BOX 15194</t>
        </is>
      </c>
      <c r="F315" s="92" t="inlineStr">
        <is>
          <t>COVINGTON</t>
        </is>
      </c>
      <c r="G315" s="92" t="inlineStr">
        <is>
          <t>KY</t>
        </is>
      </c>
      <c r="H315" s="92" t="inlineStr">
        <is>
          <t>PAVED LOT</t>
        </is>
      </c>
      <c r="I315" s="93" t="n">
        <v>9247</v>
      </c>
      <c r="J315" s="94">
        <f>I315/43560</f>
        <v/>
      </c>
      <c r="K315" s="93" t="n">
        <v>472</v>
      </c>
      <c r="L315" s="95">
        <f>I315/(K315^2)</f>
        <v/>
      </c>
      <c r="M315" s="92" t="inlineStr">
        <is>
          <t>Poor &lt;10k/&gt;60k</t>
        </is>
      </c>
      <c r="N315" s="92" t="inlineStr">
        <is>
          <t>D</t>
        </is>
      </c>
      <c r="O315" s="92" t="inlineStr">
        <is>
          <t>Elongated .035-.045</t>
        </is>
      </c>
      <c r="P315" s="92" t="inlineStr">
        <is>
          <t>Low</t>
        </is>
      </c>
      <c r="Q315" s="92" t="inlineStr">
        <is>
          <t>Local absentee</t>
        </is>
      </c>
      <c r="R315" s="92" t="inlineStr">
        <is>
          <t>Religious</t>
        </is>
      </c>
      <c r="S315" s="92" t="n">
        <v>1</v>
      </c>
      <c r="T315" s="96">
        <f>INDEX('Scoring Method'!$B$6:$B$9,MATCH(M315,'Scoring Method'!$A$6:$A$9,0))+INDEX('Scoring Method'!$B$12:$B$16,MATCH(N315,'Scoring Method'!$A$12:$A$16,0))+INDEX('Scoring Method'!$B$19:$B$22,MATCH(O315,'Scoring Method'!$A$19:$A$22,0))+INDEX('Scoring Method'!$B$25:$B$27,MATCH(P315,'Scoring Method'!$A$25:$A$27,0))</f>
        <v/>
      </c>
      <c r="U315" s="96">
        <f>(INDEX('Scoring Method'!$B$30:$B$33,MATCH(Q315,'Scoring Method'!$A$30:$A$33,0))+INDEX('Scoring Method'!$B$36:$B$42,MATCH(R315,'Scoring Method'!$A$36:$A$42,0))+INDEX('Scoring Method'!$B$45:$B$47,MATCH(IF(S315=1,"1",IF(S315=2,"2","3+")),'Scoring Method'!$A$45:$A$47,0)))/90*100</f>
        <v/>
      </c>
      <c r="V315" s="96">
        <f>T315*U315/100</f>
        <v/>
      </c>
      <c r="W315" s="93" t="n"/>
      <c r="X315" s="92" t="inlineStr">
        <is>
          <t>Unknown</t>
        </is>
      </c>
      <c r="Y315" s="93" t="n"/>
      <c r="Z315" s="97" t="n"/>
      <c r="AA315" s="98" t="n"/>
      <c r="AB315" s="92" t="n"/>
      <c r="AC315" s="92" t="n"/>
      <c r="AD315" s="92" t="n"/>
      <c r="AE315" s="92" t="n"/>
      <c r="AF315" s="96" t="n"/>
      <c r="AG315" s="96" t="n"/>
      <c r="AH315" s="92" t="inlineStr">
        <is>
          <t>LINK-GIS only</t>
        </is>
      </c>
      <c r="AI315" s="99" t="n">
        <v>39.0446</v>
      </c>
      <c r="AJ315" s="99" t="n">
        <v>-84.49952999999999</v>
      </c>
      <c r="AK315" s="94" t="n">
        <v>2.92</v>
      </c>
      <c r="AL315" s="94" t="n">
        <v>3.23</v>
      </c>
      <c r="AM315" s="94" t="n">
        <v>3.99</v>
      </c>
      <c r="AN315" s="94" t="n">
        <v>2.79</v>
      </c>
      <c r="AO315" s="92" t="inlineStr">
        <is>
          <t>Distant 2-3mi</t>
        </is>
      </c>
      <c r="AP315" s="92" t="inlineStr">
        <is>
          <t>Lot / minimal bldg</t>
        </is>
      </c>
      <c r="AQ315" s="92" t="n"/>
      <c r="AR315" s="100" t="n"/>
      <c r="AS315" s="96" t="n"/>
      <c r="AT315" s="96" t="n"/>
      <c r="AU315" s="92" t="inlineStr">
        <is>
          <t>Rittes East / Winston Park</t>
        </is>
      </c>
      <c r="AV315" s="92" t="n">
        <v>82</v>
      </c>
      <c r="AW315" s="92" t="inlineStr">
        <is>
          <t>Sourced</t>
        </is>
      </c>
      <c r="AX315" s="92" t="inlineStr">
        <is>
          <t>Very safe 80+</t>
        </is>
      </c>
      <c r="AY315" s="96" t="n"/>
      <c r="AZ315" s="96" t="n"/>
      <c r="BA315" s="92" t="inlineStr">
        <is>
          <t>No chain signal</t>
        </is>
      </c>
      <c r="BB315" s="94" t="n">
        <v>1</v>
      </c>
      <c r="BC315" s="103" t="inlineStr">
        <is>
          <t>Extra small 0.15-0.25 AC</t>
        </is>
      </c>
      <c r="BD315" s="94" t="n">
        <v>0.8</v>
      </c>
      <c r="BE315" s="96" t="n"/>
      <c r="BF315" s="96" t="n"/>
      <c r="BG315" s="92" t="n"/>
      <c r="BH315" s="61" t="inlineStr">
        <is>
          <t>Not joined</t>
        </is>
      </c>
      <c r="BL315" s="61" t="inlineStr">
        <is>
          <t>Not joined</t>
        </is>
      </c>
      <c r="BM315" s="61" t="n">
        <v>1</v>
      </c>
    </row>
    <row r="316" ht="15" customHeight="1" s="62">
      <c r="A316" s="92" t="n">
        <v>315</v>
      </c>
      <c r="B316" s="92" t="inlineStr">
        <is>
          <t>054-14-08-002.00</t>
        </is>
      </c>
      <c r="C316" s="92" t="inlineStr">
        <is>
          <t>128 E 2ND ST</t>
        </is>
      </c>
      <c r="D316" s="92" t="inlineStr">
        <is>
          <t>NC PHARMACY LLC</t>
        </is>
      </c>
      <c r="E316" s="92" t="inlineStr">
        <is>
          <t>128 E 2ND ST</t>
        </is>
      </c>
      <c r="F316" s="92" t="inlineStr">
        <is>
          <t>COVINGTON</t>
        </is>
      </c>
      <c r="G316" s="92" t="inlineStr">
        <is>
          <t>KY</t>
        </is>
      </c>
      <c r="H316" s="92" t="inlineStr">
        <is>
          <t>OFFICE BLDG 1 OR 2 STORY</t>
        </is>
      </c>
      <c r="I316" s="93" t="n">
        <v>20391</v>
      </c>
      <c r="J316" s="94">
        <f>I316/43560</f>
        <v/>
      </c>
      <c r="K316" s="93" t="n">
        <v>651</v>
      </c>
      <c r="L316" s="95">
        <f>I316/(K316^2)</f>
        <v/>
      </c>
      <c r="M316" s="92" t="inlineStr">
        <is>
          <t>Ideal 18-32k</t>
        </is>
      </c>
      <c r="N316" s="92" t="inlineStr">
        <is>
          <t>E</t>
        </is>
      </c>
      <c r="O316" s="92" t="inlineStr">
        <is>
          <t>Regular .045-.055</t>
        </is>
      </c>
      <c r="P316" s="92" t="inlineStr">
        <is>
          <t>Low</t>
        </is>
      </c>
      <c r="Q316" s="92" t="inlineStr">
        <is>
          <t>Owner-occupied</t>
        </is>
      </c>
      <c r="R316" s="92" t="inlineStr">
        <is>
          <t>Operating entity</t>
        </is>
      </c>
      <c r="S316" s="92" t="n">
        <v>1</v>
      </c>
      <c r="T316" s="96">
        <f>INDEX('Scoring Method'!$B$6:$B$9,MATCH(M316,'Scoring Method'!$A$6:$A$9,0))+INDEX('Scoring Method'!$B$12:$B$16,MATCH(N316,'Scoring Method'!$A$12:$A$16,0))+INDEX('Scoring Method'!$B$19:$B$22,MATCH(O316,'Scoring Method'!$A$19:$A$22,0))+INDEX('Scoring Method'!$B$25:$B$27,MATCH(P316,'Scoring Method'!$A$25:$A$27,0))</f>
        <v/>
      </c>
      <c r="U316" s="96">
        <f>(INDEX('Scoring Method'!$B$30:$B$33,MATCH(Q316,'Scoring Method'!$A$30:$A$33,0))+INDEX('Scoring Method'!$B$36:$B$42,MATCH(R316,'Scoring Method'!$A$36:$A$42,0))+INDEX('Scoring Method'!$B$45:$B$47,MATCH(IF(S316=1,"1",IF(S316=2,"2","3+")),'Scoring Method'!$A$45:$A$47,0)))/90*100</f>
        <v/>
      </c>
      <c r="V316" s="96">
        <f>T316*U316/100</f>
        <v/>
      </c>
      <c r="W316" s="93" t="n">
        <v>16360</v>
      </c>
      <c r="X316" s="92" t="inlineStr">
        <is>
          <t>X (levee-protected)</t>
        </is>
      </c>
      <c r="Y316" s="93" t="n">
        <v>13325</v>
      </c>
      <c r="Z316" s="97" t="n"/>
      <c r="AA316" s="98">
        <f>MAX(0,(Y316-5000)/300)</f>
        <v/>
      </c>
      <c r="AB316" s="92" t="n"/>
      <c r="AC316" s="92" t="n"/>
      <c r="AD316" s="92" t="n"/>
      <c r="AE316" s="92" t="inlineStr">
        <is>
          <t>Far oversize &gt;12k</t>
        </is>
      </c>
      <c r="AF316" s="96">
        <f>INDEX('Scoring Method'!$B$63:$B$71,MATCH(AE316,'Scoring Method'!$A$63:$A$71,0))+INDEX('Scoring Method'!$B$75:$B$79,MATCH("Good 8-15k",'Scoring Method'!$A$75:$A$79,0))+INDEX('Scoring Method'!$B$343:$B$347,MATCH(X316,'Scoring Method'!$A$343:$A$347,0))+INDEX('Scoring Method'!$B$25:$B$27,MATCH(P316,'Scoring Method'!$A$25:$A$27,0))</f>
        <v/>
      </c>
      <c r="AG316" s="96">
        <f>AF316*U316/100</f>
        <v/>
      </c>
      <c r="AH316" s="92" t="inlineStr">
        <is>
          <t>LINK-GIS + LoopNet (2026-08-02)</t>
        </is>
      </c>
      <c r="AI316" s="99" t="n">
        <v>39.0904</v>
      </c>
      <c r="AJ316" s="99" t="n">
        <v>-84.50885</v>
      </c>
      <c r="AK316" s="94" t="n">
        <v>0.64</v>
      </c>
      <c r="AL316" s="94" t="n">
        <v>0.04</v>
      </c>
      <c r="AM316" s="94" t="n">
        <v>0.79</v>
      </c>
      <c r="AN316" s="94" t="n">
        <v>0.04</v>
      </c>
      <c r="AO316" s="92" t="inlineStr">
        <is>
          <t>Core &lt;=0.35mi</t>
        </is>
      </c>
      <c r="AP316" s="92" t="inlineStr">
        <is>
          <t>Office/institutional</t>
        </is>
      </c>
      <c r="AQ316" s="92" t="inlineStr">
        <is>
          <t>Good 8-15k</t>
        </is>
      </c>
      <c r="AR316" s="100" t="n"/>
      <c r="AS316" s="96">
        <f>ROUND(INDEX('Scoring Method'!$B$63:$B$70,MATCH(AE316,'Scoring Method'!$A$63:$A$70,0))*0.625+INDEX('Scoring Method'!$B$105:$B$113,MATCH(AP316,'Scoring Method'!$A$105:$A$113,0))+INDEX('Scoring Method'!$B$74:$B$78,MATCH(AQ316,'Scoring Method'!$A$74:$A$78,0))*0.6667+INDEX('Scoring Method'!$B$96:$B$101,MATCH(AO316,'Scoring Method'!$A$96:$A$101,0))+INDEX('Scoring Method'!$B$343:$B$347,MATCH(X316,'Scoring Method'!$A$343:$A$347,0))*0.3333+INDEX('Scoring Method'!$B$25:$B$27,MATCH(P316,'Scoring Method'!$A$25:$A$27,0))*0.3333,1)</f>
        <v/>
      </c>
      <c r="AT316" s="96">
        <f>AS316*U316/100</f>
        <v/>
      </c>
      <c r="AU316" s="92" t="inlineStr">
        <is>
          <t>Central Business District</t>
        </is>
      </c>
      <c r="AV316" s="92" t="n">
        <v>48</v>
      </c>
      <c r="AW316" s="101" t="inlineStr">
        <is>
          <t>ESTIMATED</t>
        </is>
      </c>
      <c r="AX316" s="92" t="inlineStr">
        <is>
          <t>Mixed 45-59</t>
        </is>
      </c>
      <c r="AY316" s="96">
        <f>ROUND(INDEX('Scoring Method'!$B$132:$B$140,MATCH(AE316,'Scoring Method'!$A$132:$A$140,0))+INDEX('Scoring Method'!$B$144:$B$152,MATCH(AP316,'Scoring Method'!$A$144:$A$152,0))+INDEX('Scoring Method'!$B$156:$B$160,MATCH(AQ316,'Scoring Method'!$A$156:$A$160,0))+INDEX('Scoring Method'!$B$164:$B$169,MATCH(AO316,'Scoring Method'!$A$164:$A$169,0))+INDEX('Scoring Method'!$B$173:$B$178,MATCH(AX316,'Scoring Method'!$A$173:$A$178,0))+INDEX('Scoring Method'!$B$349:$B$353,MATCH(X316,'Scoring Method'!$A$349:$A$353,0))+INDEX('Scoring Method'!$B$188:$B$190,MATCH(P316,'Scoring Method'!$A$188:$A$190,0)),1)</f>
        <v/>
      </c>
      <c r="AZ316" s="96">
        <f>AY316*U316/100</f>
        <v/>
      </c>
      <c r="BA316" s="92" t="inlineStr">
        <is>
          <t>Owner-occupied operator</t>
        </is>
      </c>
      <c r="BB316" s="94" t="n">
        <v>0.8</v>
      </c>
      <c r="BC316" s="92" t="inlineStr">
        <is>
          <t>Right-sized 0.35-0.75 AC</t>
        </is>
      </c>
      <c r="BD316" s="94" t="n">
        <v>1</v>
      </c>
      <c r="BE316" s="96">
        <f>ROUND(INDEX('Scoring Method'!$B$268:$B$276,MATCH(AE316,'Scoring Method'!$A$268:$A$276,0))+INDEX('Scoring Method'!$B$280:$B$288,MATCH(AP316,'Scoring Method'!$A$280:$A$288,0))+INDEX('Scoring Method'!$B$292:$B$296,MATCH(AQ316,'Scoring Method'!$A$292:$A$296,0))+INDEX('Scoring Method'!$B$300:$B$305,MATCH(AO316,'Scoring Method'!$A$300:$A$305,0))+INDEX('Scoring Method'!$B$309:$B$314,MATCH(AX316,'Scoring Method'!$A$309:$A$314,0))+INDEX('Scoring Method'!$B$337:$B$341,MATCH(X316,'Scoring Method'!$A$337:$A$341,0))+INDEX('Scoring Method'!$B$324:$B$326,MATCH(P316,'Scoring Method'!$A$324:$A$326,0)),1)</f>
        <v/>
      </c>
      <c r="BF316" s="96">
        <f>ROUND(INDEX('Scoring Method'!$B$268:$B$276,MATCH(AE316,'Scoring Method'!$A$268:$A$276,0))*BB316*BD316+INDEX('Scoring Method'!$B$280:$B$288,MATCH(AP316,'Scoring Method'!$A$280:$A$288,0))*BM316*BB316*BD316+INDEX('Scoring Method'!$B$292:$B$296,MATCH(AQ316,'Scoring Method'!$A$292:$A$296,0))*BD316+INDEX('Scoring Method'!$B$300:$B$305,MATCH(AO316,'Scoring Method'!$A$300:$A$305,0))*BM316*BB316+INDEX('Scoring Method'!$B$309:$B$314,MATCH(AX316,'Scoring Method'!$A$309:$A$314,0))+INDEX('Scoring Method'!$B$337:$B$341,MATCH(X316,'Scoring Method'!$A$337:$A$341,0))+INDEX('Scoring Method'!$B$324:$B$326,MATCH(P316,'Scoring Method'!$A$324:$A$326,0)),1)</f>
        <v/>
      </c>
      <c r="BG316" s="92" t="inlineStr">
        <is>
          <t>Over (~$14,997/mo)</t>
        </is>
      </c>
      <c r="BH316" s="61" t="inlineStr">
        <is>
          <t>DTR</t>
        </is>
      </c>
      <c r="BI316" s="61" t="inlineStr">
        <is>
          <t>Downtown Riverfront</t>
        </is>
      </c>
      <c r="BJ316" s="61" t="inlineStr"/>
      <c r="BK316" s="61" t="inlineStr"/>
      <c r="BL316" s="61" t="inlineStr">
        <is>
          <t>Bar permitted</t>
        </is>
      </c>
      <c r="BM316" s="61">
        <f>INDEX('Scoring Method'!$B$358:$B$363,MATCH(BL316,'Scoring Method'!$A$358:$A$363,0))</f>
        <v/>
      </c>
    </row>
    <row r="317" ht="15" customHeight="1" s="62">
      <c r="A317" s="92" t="n">
        <v>316</v>
      </c>
      <c r="B317" s="92" t="inlineStr">
        <is>
          <t>054-23-25-011.00</t>
        </is>
      </c>
      <c r="C317" s="92" t="inlineStr">
        <is>
          <t>430 GARRARD ST</t>
        </is>
      </c>
      <c r="D317" s="92" t="inlineStr">
        <is>
          <t>GARRARD CONVALESCENT HOME INC</t>
        </is>
      </c>
      <c r="E317" s="92" t="inlineStr">
        <is>
          <t>430 GARRARD ST</t>
        </is>
      </c>
      <c r="F317" s="92" t="inlineStr">
        <is>
          <t>COVINGTON</t>
        </is>
      </c>
      <c r="G317" s="92" t="inlineStr">
        <is>
          <t>KY</t>
        </is>
      </c>
      <c r="H317" s="92" t="inlineStr">
        <is>
          <t>OFFICE BLDG 1 OR 2 STORY</t>
        </is>
      </c>
      <c r="I317" s="93" t="n">
        <v>24914</v>
      </c>
      <c r="J317" s="94">
        <f>I317/43560</f>
        <v/>
      </c>
      <c r="K317" s="93" t="n">
        <v>719</v>
      </c>
      <c r="L317" s="95">
        <f>I317/(K317^2)</f>
        <v/>
      </c>
      <c r="M317" s="92" t="inlineStr">
        <is>
          <t>Ideal 18-32k</t>
        </is>
      </c>
      <c r="N317" s="92" t="inlineStr">
        <is>
          <t>E</t>
        </is>
      </c>
      <c r="O317" s="92" t="inlineStr">
        <is>
          <t>Regular .045-.055</t>
        </is>
      </c>
      <c r="P317" s="92" t="inlineStr">
        <is>
          <t>Low</t>
        </is>
      </c>
      <c r="Q317" s="92" t="inlineStr">
        <is>
          <t>Owner-occupied</t>
        </is>
      </c>
      <c r="R317" s="92" t="inlineStr">
        <is>
          <t>Operating entity</t>
        </is>
      </c>
      <c r="S317" s="92" t="n">
        <v>1</v>
      </c>
      <c r="T317" s="96">
        <f>INDEX('Scoring Method'!$B$6:$B$9,MATCH(M317,'Scoring Method'!$A$6:$A$9,0))+INDEX('Scoring Method'!$B$12:$B$16,MATCH(N317,'Scoring Method'!$A$12:$A$16,0))+INDEX('Scoring Method'!$B$19:$B$22,MATCH(O317,'Scoring Method'!$A$19:$A$22,0))+INDEX('Scoring Method'!$B$25:$B$27,MATCH(P317,'Scoring Method'!$A$25:$A$27,0))</f>
        <v/>
      </c>
      <c r="U317" s="96">
        <f>(INDEX('Scoring Method'!$B$30:$B$33,MATCH(Q317,'Scoring Method'!$A$30:$A$33,0))+INDEX('Scoring Method'!$B$36:$B$42,MATCH(R317,'Scoring Method'!$A$36:$A$42,0))+INDEX('Scoring Method'!$B$45:$B$47,MATCH(IF(S317=1,"1",IF(S317=2,"2","3+")),'Scoring Method'!$A$45:$A$47,0)))/90*100</f>
        <v/>
      </c>
      <c r="V317" s="96">
        <f>T317*U317/100</f>
        <v/>
      </c>
      <c r="W317" s="93" t="n">
        <v>5012</v>
      </c>
      <c r="X317" s="92" t="inlineStr">
        <is>
          <t>X shaded (0.2%)</t>
        </is>
      </c>
      <c r="Y317" s="93" t="n">
        <v>20725</v>
      </c>
      <c r="Z317" s="97" t="n"/>
      <c r="AA317" s="98">
        <f>MAX(0,(Y317-5000)/300)</f>
        <v/>
      </c>
      <c r="AB317" s="92" t="n"/>
      <c r="AC317" s="92" t="n"/>
      <c r="AD317" s="92" t="n"/>
      <c r="AE317" s="92" t="inlineStr">
        <is>
          <t>Large 4-6k</t>
        </is>
      </c>
      <c r="AF317" s="96">
        <f>INDEX('Scoring Method'!$B$63:$B$71,MATCH(AE317,'Scoring Method'!$A$63:$A$71,0))+INDEX('Scoring Method'!$B$75:$B$79,MATCH("Ample &gt;=15k",'Scoring Method'!$A$75:$A$79,0))+INDEX('Scoring Method'!$B$343:$B$347,MATCH(X317,'Scoring Method'!$A$343:$A$347,0))+INDEX('Scoring Method'!$B$25:$B$27,MATCH(P317,'Scoring Method'!$A$25:$A$27,0))</f>
        <v/>
      </c>
      <c r="AG317" s="96">
        <f>AF317*U317/100</f>
        <v/>
      </c>
      <c r="AH317" s="92" t="inlineStr">
        <is>
          <t>LINK-GIS + LoopNet (2026-08-02)</t>
        </is>
      </c>
      <c r="AI317" s="99" t="n">
        <v>39.08704</v>
      </c>
      <c r="AJ317" s="99" t="n">
        <v>-84.50533</v>
      </c>
      <c r="AK317" s="94" t="n">
        <v>0.7</v>
      </c>
      <c r="AL317" s="94" t="n">
        <v>0.31</v>
      </c>
      <c r="AM317" s="94" t="n">
        <v>1.07</v>
      </c>
      <c r="AN317" s="94" t="n">
        <v>0.31</v>
      </c>
      <c r="AO317" s="92" t="inlineStr">
        <is>
          <t>Core &lt;=0.35mi</t>
        </is>
      </c>
      <c r="AP317" s="92" t="inlineStr">
        <is>
          <t>Office/institutional</t>
        </is>
      </c>
      <c r="AQ317" s="92" t="inlineStr">
        <is>
          <t>Ample &gt;=15k</t>
        </is>
      </c>
      <c r="AR317" s="100" t="n"/>
      <c r="AS317" s="96">
        <f>ROUND(INDEX('Scoring Method'!$B$63:$B$70,MATCH(AE317,'Scoring Method'!$A$63:$A$70,0))*0.625+INDEX('Scoring Method'!$B$105:$B$113,MATCH(AP317,'Scoring Method'!$A$105:$A$113,0))+INDEX('Scoring Method'!$B$74:$B$78,MATCH(AQ317,'Scoring Method'!$A$74:$A$78,0))*0.6667+INDEX('Scoring Method'!$B$96:$B$101,MATCH(AO317,'Scoring Method'!$A$96:$A$101,0))+INDEX('Scoring Method'!$B$343:$B$347,MATCH(X317,'Scoring Method'!$A$343:$A$347,0))*0.3333+INDEX('Scoring Method'!$B$25:$B$27,MATCH(P317,'Scoring Method'!$A$25:$A$27,0))*0.3333,1)</f>
        <v/>
      </c>
      <c r="AT317" s="96">
        <f>AS317*U317/100</f>
        <v/>
      </c>
      <c r="AU317" s="92" t="inlineStr">
        <is>
          <t>Licking Riverside</t>
        </is>
      </c>
      <c r="AV317" s="92" t="n">
        <v>62</v>
      </c>
      <c r="AW317" s="92" t="inlineStr">
        <is>
          <t>Sourced</t>
        </is>
      </c>
      <c r="AX317" s="92" t="inlineStr">
        <is>
          <t>Moderate 60-69</t>
        </is>
      </c>
      <c r="AY317" s="96">
        <f>ROUND(INDEX('Scoring Method'!$B$132:$B$140,MATCH(AE317,'Scoring Method'!$A$132:$A$140,0))+INDEX('Scoring Method'!$B$144:$B$152,MATCH(AP317,'Scoring Method'!$A$144:$A$152,0))+INDEX('Scoring Method'!$B$156:$B$160,MATCH(AQ317,'Scoring Method'!$A$156:$A$160,0))+INDEX('Scoring Method'!$B$164:$B$169,MATCH(AO317,'Scoring Method'!$A$164:$A$169,0))+INDEX('Scoring Method'!$B$173:$B$178,MATCH(AX317,'Scoring Method'!$A$173:$A$178,0))+INDEX('Scoring Method'!$B$349:$B$353,MATCH(X317,'Scoring Method'!$A$349:$A$353,0))+INDEX('Scoring Method'!$B$188:$B$190,MATCH(P317,'Scoring Method'!$A$188:$A$190,0)),1)</f>
        <v/>
      </c>
      <c r="AZ317" s="96">
        <f>AY317*U317/100</f>
        <v/>
      </c>
      <c r="BA317" s="92" t="inlineStr">
        <is>
          <t>Owner-occupied operator</t>
        </is>
      </c>
      <c r="BB317" s="94" t="n">
        <v>0.8</v>
      </c>
      <c r="BC317" s="92" t="inlineStr">
        <is>
          <t>Right-sized 0.35-0.75 AC</t>
        </is>
      </c>
      <c r="BD317" s="94" t="n">
        <v>1</v>
      </c>
      <c r="BE317" s="96">
        <f>ROUND(INDEX('Scoring Method'!$B$268:$B$276,MATCH(AE317,'Scoring Method'!$A$268:$A$276,0))+INDEX('Scoring Method'!$B$280:$B$288,MATCH(AP317,'Scoring Method'!$A$280:$A$288,0))+INDEX('Scoring Method'!$B$292:$B$296,MATCH(AQ317,'Scoring Method'!$A$292:$A$296,0))+INDEX('Scoring Method'!$B$300:$B$305,MATCH(AO317,'Scoring Method'!$A$300:$A$305,0))+INDEX('Scoring Method'!$B$309:$B$314,MATCH(AX317,'Scoring Method'!$A$309:$A$314,0))+INDEX('Scoring Method'!$B$337:$B$341,MATCH(X317,'Scoring Method'!$A$337:$A$341,0))+INDEX('Scoring Method'!$B$324:$B$326,MATCH(P317,'Scoring Method'!$A$324:$A$326,0)),1)</f>
        <v/>
      </c>
      <c r="BF317" s="96">
        <f>ROUND(INDEX('Scoring Method'!$B$268:$B$276,MATCH(AE317,'Scoring Method'!$A$268:$A$276,0))*BB317*BD317+INDEX('Scoring Method'!$B$280:$B$288,MATCH(AP317,'Scoring Method'!$A$280:$A$288,0))*BM317*BB317*BD317+INDEX('Scoring Method'!$B$292:$B$296,MATCH(AQ317,'Scoring Method'!$A$292:$A$296,0))*BD317+INDEX('Scoring Method'!$B$300:$B$305,MATCH(AO317,'Scoring Method'!$A$300:$A$305,0))*BM317*BB317+INDEX('Scoring Method'!$B$309:$B$314,MATCH(AX317,'Scoring Method'!$A$309:$A$314,0))+INDEX('Scoring Method'!$B$337:$B$341,MATCH(X317,'Scoring Method'!$A$337:$A$341,0))+INDEX('Scoring Method'!$B$324:$B$326,MATCH(P317,'Scoring Method'!$A$324:$A$326,0)),1)</f>
        <v/>
      </c>
      <c r="BG317" s="92" t="inlineStr">
        <is>
          <t>Fits (~$4,594/mo)</t>
        </is>
      </c>
      <c r="BH317" s="61" t="inlineStr">
        <is>
          <t>TUR (HP)</t>
        </is>
      </c>
      <c r="BI317" s="61" t="inlineStr">
        <is>
          <t>Traditional Urban Residential</t>
        </is>
      </c>
      <c r="BJ317" s="61" t="inlineStr">
        <is>
          <t>HP</t>
        </is>
      </c>
      <c r="BK317" s="61" t="inlineStr"/>
      <c r="BL317" s="61" t="inlineStr">
        <is>
          <t>Bar prohibited, alt-path</t>
        </is>
      </c>
      <c r="BM317" s="61">
        <f>INDEX('Scoring Method'!$B$358:$B$363,MATCH(BL317,'Scoring Method'!$A$358:$A$363,0))</f>
        <v/>
      </c>
    </row>
    <row r="318" ht="15" customHeight="1" s="62">
      <c r="A318" s="92" t="n">
        <v>317</v>
      </c>
      <c r="B318" s="92" t="inlineStr">
        <is>
          <t>040-43-13-001.06</t>
        </is>
      </c>
      <c r="C318" s="92" t="inlineStr">
        <is>
          <t>419 W 7TH ST</t>
        </is>
      </c>
      <c r="D318" s="92" t="inlineStr">
        <is>
          <t>419 W7TH LLC</t>
        </is>
      </c>
      <c r="E318" s="92" t="inlineStr">
        <is>
          <t>419 GREENUP ST</t>
        </is>
      </c>
      <c r="F318" s="92" t="inlineStr">
        <is>
          <t>COVINGTON</t>
        </is>
      </c>
      <c r="G318" s="92" t="inlineStr">
        <is>
          <t>KY</t>
        </is>
      </c>
      <c r="H318" s="92" t="inlineStr">
        <is>
          <t>PAVED LOT</t>
        </is>
      </c>
      <c r="I318" s="93" t="n">
        <v>18937</v>
      </c>
      <c r="J318" s="94">
        <f>I318/43560</f>
        <v/>
      </c>
      <c r="K318" s="93" t="n">
        <v>716</v>
      </c>
      <c r="L318" s="95">
        <f>I318/(K318^2)</f>
        <v/>
      </c>
      <c r="M318" s="92" t="inlineStr">
        <is>
          <t>Ideal 18-32k</t>
        </is>
      </c>
      <c r="N318" s="92" t="inlineStr">
        <is>
          <t>D</t>
        </is>
      </c>
      <c r="O318" s="92" t="inlineStr">
        <is>
          <t>Elongated .035-.045</t>
        </is>
      </c>
      <c r="P318" s="92" t="inlineStr">
        <is>
          <t>Low</t>
        </is>
      </c>
      <c r="Q318" s="92" t="inlineStr">
        <is>
          <t>Owner-occupied</t>
        </is>
      </c>
      <c r="R318" s="92" t="inlineStr">
        <is>
          <t>Operating entity</t>
        </is>
      </c>
      <c r="S318" s="92" t="n">
        <v>1</v>
      </c>
      <c r="T318" s="96">
        <f>INDEX('Scoring Method'!$B$6:$B$9,MATCH(M318,'Scoring Method'!$A$6:$A$9,0))+INDEX('Scoring Method'!$B$12:$B$16,MATCH(N318,'Scoring Method'!$A$12:$A$16,0))+INDEX('Scoring Method'!$B$19:$B$22,MATCH(O318,'Scoring Method'!$A$19:$A$22,0))+INDEX('Scoring Method'!$B$25:$B$27,MATCH(P318,'Scoring Method'!$A$25:$A$27,0))</f>
        <v/>
      </c>
      <c r="U318" s="96">
        <f>(INDEX('Scoring Method'!$B$30:$B$33,MATCH(Q318,'Scoring Method'!$A$30:$A$33,0))+INDEX('Scoring Method'!$B$36:$B$42,MATCH(R318,'Scoring Method'!$A$36:$A$42,0))+INDEX('Scoring Method'!$B$45:$B$47,MATCH(IF(S318=1,"1",IF(S318=2,"2","3+")),'Scoring Method'!$A$45:$A$47,0)))/90*100</f>
        <v/>
      </c>
      <c r="V318" s="96">
        <f>T318*U318/100</f>
        <v/>
      </c>
      <c r="W318" s="93" t="n"/>
      <c r="X318" s="92" t="inlineStr">
        <is>
          <t>Unknown</t>
        </is>
      </c>
      <c r="Y318" s="93" t="n"/>
      <c r="Z318" s="97" t="n"/>
      <c r="AA318" s="98" t="n"/>
      <c r="AB318" s="92" t="n"/>
      <c r="AC318" s="92" t="n"/>
      <c r="AD318" s="92" t="n"/>
      <c r="AE318" s="92" t="n"/>
      <c r="AF318" s="96" t="n"/>
      <c r="AG318" s="96" t="n"/>
      <c r="AH318" s="92" t="inlineStr">
        <is>
          <t>LINK-GIS only</t>
        </is>
      </c>
      <c r="AI318" s="99" t="n">
        <v>39.08232</v>
      </c>
      <c r="AJ318" s="99" t="n">
        <v>-84.51831</v>
      </c>
      <c r="AK318" s="94" t="n">
        <v>0.15</v>
      </c>
      <c r="AL318" s="94" t="n">
        <v>0.79</v>
      </c>
      <c r="AM318" s="94" t="n">
        <v>1.36</v>
      </c>
      <c r="AN318" s="94" t="n">
        <v>0.15</v>
      </c>
      <c r="AO318" s="92" t="inlineStr">
        <is>
          <t>Core &lt;=0.35mi</t>
        </is>
      </c>
      <c r="AP318" s="92" t="inlineStr">
        <is>
          <t>Lot / minimal bldg</t>
        </is>
      </c>
      <c r="AQ318" s="92" t="n"/>
      <c r="AR318" s="100" t="n"/>
      <c r="AS318" s="96" t="n"/>
      <c r="AT318" s="96" t="n"/>
      <c r="AU318" s="92" t="inlineStr">
        <is>
          <t>MainStrasse</t>
        </is>
      </c>
      <c r="AV318" s="92" t="n">
        <v>75</v>
      </c>
      <c r="AW318" s="92" t="inlineStr">
        <is>
          <t>Sourced</t>
        </is>
      </c>
      <c r="AX318" s="92" t="inlineStr">
        <is>
          <t>Safe 70-79</t>
        </is>
      </c>
      <c r="AY318" s="96" t="n"/>
      <c r="AZ318" s="96" t="n"/>
      <c r="BA318" s="92" t="inlineStr">
        <is>
          <t>Owner-occupied operator</t>
        </is>
      </c>
      <c r="BB318" s="94" t="n">
        <v>0.8</v>
      </c>
      <c r="BC318" s="92" t="inlineStr">
        <is>
          <t>Right-sized 0.35-0.75 AC</t>
        </is>
      </c>
      <c r="BD318" s="94" t="n">
        <v>1</v>
      </c>
      <c r="BE318" s="96" t="n"/>
      <c r="BF318" s="96" t="n"/>
      <c r="BG318" s="92" t="n"/>
      <c r="BH318" s="61" t="inlineStr">
        <is>
          <t>Not joined</t>
        </is>
      </c>
      <c r="BL318" s="61" t="inlineStr">
        <is>
          <t>Not joined</t>
        </is>
      </c>
      <c r="BM318" s="61" t="n">
        <v>1</v>
      </c>
    </row>
    <row r="319" ht="15" customHeight="1" s="62">
      <c r="A319" s="92" t="n">
        <v>318</v>
      </c>
      <c r="B319" s="92" t="inlineStr">
        <is>
          <t>056-32-08-003.01</t>
        </is>
      </c>
      <c r="C319" s="92" t="inlineStr">
        <is>
          <t>104 E 38TH ST</t>
        </is>
      </c>
      <c r="D319" s="92" t="inlineStr">
        <is>
          <t>MATTHIAS FELTEN INC</t>
        </is>
      </c>
      <c r="E319" s="92" t="inlineStr">
        <is>
          <t>104 E 38TH ST STE 33</t>
        </is>
      </c>
      <c r="F319" s="92" t="inlineStr">
        <is>
          <t>COVINGTON</t>
        </is>
      </c>
      <c r="G319" s="92" t="inlineStr">
        <is>
          <t>KY</t>
        </is>
      </c>
      <c r="H319" s="92" t="inlineStr">
        <is>
          <t>WAREHOUSE 1-20000 SQ FT</t>
        </is>
      </c>
      <c r="I319" s="93" t="n">
        <v>12360</v>
      </c>
      <c r="J319" s="94">
        <f>I319/43560</f>
        <v/>
      </c>
      <c r="K319" s="93" t="n">
        <v>629.4</v>
      </c>
      <c r="L319" s="95">
        <f>I319/(K319^2)</f>
        <v/>
      </c>
      <c r="M319" s="92" t="inlineStr">
        <is>
          <t>Marginal 10-14k/45-60k</t>
        </is>
      </c>
      <c r="N319" s="92" t="inlineStr">
        <is>
          <t>A</t>
        </is>
      </c>
      <c r="O319" s="92" t="inlineStr">
        <is>
          <t>Irregular &lt;.035</t>
        </is>
      </c>
      <c r="P319" s="92" t="inlineStr">
        <is>
          <t>Low</t>
        </is>
      </c>
      <c r="Q319" s="92" t="inlineStr">
        <is>
          <t>Owner-occupied</t>
        </is>
      </c>
      <c r="R319" s="92" t="inlineStr">
        <is>
          <t>Operating entity</t>
        </is>
      </c>
      <c r="S319" s="92" t="n">
        <v>1</v>
      </c>
      <c r="T319" s="96">
        <f>INDEX('Scoring Method'!$B$6:$B$9,MATCH(M319,'Scoring Method'!$A$6:$A$9,0))+INDEX('Scoring Method'!$B$12:$B$16,MATCH(N319,'Scoring Method'!$A$12:$A$16,0))+INDEX('Scoring Method'!$B$19:$B$22,MATCH(O319,'Scoring Method'!$A$19:$A$22,0))+INDEX('Scoring Method'!$B$25:$B$27,MATCH(P319,'Scoring Method'!$A$25:$A$27,0))</f>
        <v/>
      </c>
      <c r="U319" s="96">
        <f>(INDEX('Scoring Method'!$B$30:$B$33,MATCH(Q319,'Scoring Method'!$A$30:$A$33,0))+INDEX('Scoring Method'!$B$36:$B$42,MATCH(R319,'Scoring Method'!$A$36:$A$42,0))+INDEX('Scoring Method'!$B$45:$B$47,MATCH(IF(S319=1,"1",IF(S319=2,"2","3+")),'Scoring Method'!$A$45:$A$47,0)))/90*100</f>
        <v/>
      </c>
      <c r="V319" s="96">
        <f>T319*U319/100</f>
        <v/>
      </c>
      <c r="W319" s="93" t="n">
        <v>6999</v>
      </c>
      <c r="X319" s="92" t="inlineStr">
        <is>
          <t>X (minimal hazard)</t>
        </is>
      </c>
      <c r="Y319" s="93" t="n">
        <v>5300</v>
      </c>
      <c r="Z319" s="97" t="n"/>
      <c r="AA319" s="98">
        <f>MAX(0,(Y319-5000)/300)</f>
        <v/>
      </c>
      <c r="AB319" s="92" t="n"/>
      <c r="AC319" s="92" t="n"/>
      <c r="AD319" s="92" t="n"/>
      <c r="AE319" s="92" t="inlineStr">
        <is>
          <t>Oversize 6-12k</t>
        </is>
      </c>
      <c r="AF319" s="96">
        <f>INDEX('Scoring Method'!$B$63:$B$71,MATCH(AE319,'Scoring Method'!$A$63:$A$71,0))+INDEX('Scoring Method'!$B$75:$B$79,MATCH("Adequate 5-8k",'Scoring Method'!$A$75:$A$79,0))+INDEX('Scoring Method'!$B$343:$B$347,MATCH(X319,'Scoring Method'!$A$343:$A$347,0))+INDEX('Scoring Method'!$B$25:$B$27,MATCH(P319,'Scoring Method'!$A$25:$A$27,0))</f>
        <v/>
      </c>
      <c r="AG319" s="96">
        <f>AF319*U319/100</f>
        <v/>
      </c>
      <c r="AH319" s="92" t="inlineStr">
        <is>
          <t>LINK-GIS + LoopNet (2026-08-02)</t>
        </is>
      </c>
      <c r="AI319" s="99" t="n">
        <v>39.04668</v>
      </c>
      <c r="AJ319" s="99" t="n">
        <v>-84.50115</v>
      </c>
      <c r="AK319" s="94" t="n">
        <v>2.76</v>
      </c>
      <c r="AL319" s="94" t="n">
        <v>3.08</v>
      </c>
      <c r="AM319" s="94" t="n">
        <v>3.84</v>
      </c>
      <c r="AN319" s="94" t="n">
        <v>2.63</v>
      </c>
      <c r="AO319" s="92" t="inlineStr">
        <is>
          <t>Distant 2-3mi</t>
        </is>
      </c>
      <c r="AP319" s="92" t="inlineStr">
        <is>
          <t>Open span</t>
        </is>
      </c>
      <c r="AQ319" s="92" t="inlineStr">
        <is>
          <t>Adequate 5-8k</t>
        </is>
      </c>
      <c r="AR319" s="100" t="n"/>
      <c r="AS319" s="96">
        <f>ROUND(INDEX('Scoring Method'!$B$63:$B$70,MATCH(AE319,'Scoring Method'!$A$63:$A$70,0))*0.625+INDEX('Scoring Method'!$B$105:$B$113,MATCH(AP319,'Scoring Method'!$A$105:$A$113,0))+INDEX('Scoring Method'!$B$74:$B$78,MATCH(AQ319,'Scoring Method'!$A$74:$A$78,0))*0.6667+INDEX('Scoring Method'!$B$96:$B$101,MATCH(AO319,'Scoring Method'!$A$96:$A$101,0))+INDEX('Scoring Method'!$B$343:$B$347,MATCH(X319,'Scoring Method'!$A$343:$A$347,0))*0.3333+INDEX('Scoring Method'!$B$25:$B$27,MATCH(P319,'Scoring Method'!$A$25:$A$27,0))*0.3333,1)</f>
        <v/>
      </c>
      <c r="AT319" s="96">
        <f>AS319*U319/100</f>
        <v/>
      </c>
      <c r="AU319" s="92" t="inlineStr">
        <is>
          <t>Latonia</t>
        </is>
      </c>
      <c r="AV319" s="92" t="n">
        <v>78</v>
      </c>
      <c r="AW319" s="92" t="inlineStr">
        <is>
          <t>Sourced</t>
        </is>
      </c>
      <c r="AX319" s="92" t="inlineStr">
        <is>
          <t>Safe 70-79</t>
        </is>
      </c>
      <c r="AY319" s="96">
        <f>ROUND(INDEX('Scoring Method'!$B$132:$B$140,MATCH(AE319,'Scoring Method'!$A$132:$A$140,0))+INDEX('Scoring Method'!$B$144:$B$152,MATCH(AP319,'Scoring Method'!$A$144:$A$152,0))+INDEX('Scoring Method'!$B$156:$B$160,MATCH(AQ319,'Scoring Method'!$A$156:$A$160,0))+INDEX('Scoring Method'!$B$164:$B$169,MATCH(AO319,'Scoring Method'!$A$164:$A$169,0))+INDEX('Scoring Method'!$B$173:$B$178,MATCH(AX319,'Scoring Method'!$A$173:$A$178,0))+INDEX('Scoring Method'!$B$349:$B$353,MATCH(X319,'Scoring Method'!$A$349:$A$353,0))+INDEX('Scoring Method'!$B$188:$B$190,MATCH(P319,'Scoring Method'!$A$188:$A$190,0)),1)</f>
        <v/>
      </c>
      <c r="AZ319" s="96">
        <f>AY319*U319/100</f>
        <v/>
      </c>
      <c r="BA319" s="92" t="inlineStr">
        <is>
          <t>Owner-occupied operator</t>
        </is>
      </c>
      <c r="BB319" s="94" t="n">
        <v>0.8</v>
      </c>
      <c r="BC319" s="102" t="inlineStr">
        <is>
          <t>Small 0.25-0.35 AC</t>
        </is>
      </c>
      <c r="BD319" s="94" t="n">
        <v>0.9</v>
      </c>
      <c r="BE319" s="96">
        <f>ROUND(INDEX('Scoring Method'!$B$268:$B$276,MATCH(AE319,'Scoring Method'!$A$268:$A$276,0))+INDEX('Scoring Method'!$B$280:$B$288,MATCH(AP319,'Scoring Method'!$A$280:$A$288,0))+INDEX('Scoring Method'!$B$292:$B$296,MATCH(AQ319,'Scoring Method'!$A$292:$A$296,0))+INDEX('Scoring Method'!$B$300:$B$305,MATCH(AO319,'Scoring Method'!$A$300:$A$305,0))+INDEX('Scoring Method'!$B$309:$B$314,MATCH(AX319,'Scoring Method'!$A$309:$A$314,0))+INDEX('Scoring Method'!$B$337:$B$341,MATCH(X319,'Scoring Method'!$A$337:$A$341,0))+INDEX('Scoring Method'!$B$324:$B$326,MATCH(P319,'Scoring Method'!$A$324:$A$326,0)),1)</f>
        <v/>
      </c>
      <c r="BF319" s="96">
        <f>ROUND(INDEX('Scoring Method'!$B$268:$B$276,MATCH(AE319,'Scoring Method'!$A$268:$A$276,0))*BB319*BD319+INDEX('Scoring Method'!$B$280:$B$288,MATCH(AP319,'Scoring Method'!$A$280:$A$288,0))*BM319*BB319*BD319+INDEX('Scoring Method'!$B$292:$B$296,MATCH(AQ319,'Scoring Method'!$A$292:$A$296,0))*BD319+INDEX('Scoring Method'!$B$300:$B$305,MATCH(AO319,'Scoring Method'!$A$300:$A$305,0))*BM319*BB319+INDEX('Scoring Method'!$B$309:$B$314,MATCH(AX319,'Scoring Method'!$A$309:$A$314,0))+INDEX('Scoring Method'!$B$337:$B$341,MATCH(X319,'Scoring Method'!$A$337:$A$341,0))+INDEX('Scoring Method'!$B$324:$B$326,MATCH(P319,'Scoring Method'!$A$324:$A$326,0)),1)</f>
        <v/>
      </c>
      <c r="BG319" s="92" t="inlineStr">
        <is>
          <t>Fits (~$6,416/mo)</t>
        </is>
      </c>
      <c r="BH319" s="61" t="inlineStr">
        <is>
          <t>SU</t>
        </is>
      </c>
      <c r="BI319" s="61" t="inlineStr">
        <is>
          <t>Semi-Urban Residential</t>
        </is>
      </c>
      <c r="BJ319" s="61" t="inlineStr"/>
      <c r="BK319" s="61" t="inlineStr"/>
      <c r="BL319" s="61" t="inlineStr">
        <is>
          <t>SU corner unverified</t>
        </is>
      </c>
      <c r="BM319" s="61">
        <f>INDEX('Scoring Method'!$B$358:$B$363,MATCH(BL319,'Scoring Method'!$A$358:$A$363,0))</f>
        <v/>
      </c>
    </row>
    <row r="320" ht="15" customHeight="1" s="62">
      <c r="A320" s="92" t="n">
        <v>319</v>
      </c>
      <c r="B320" s="92" t="inlineStr">
        <is>
          <t>054-14-02-002.06</t>
        </is>
      </c>
      <c r="C320" s="92" t="inlineStr">
        <is>
          <t>231 SCOTT ST</t>
        </is>
      </c>
      <c r="D320" s="92" t="inlineStr">
        <is>
          <t>BANK OF KENTUCKY BLDG INC</t>
        </is>
      </c>
      <c r="E320" s="92" t="inlineStr">
        <is>
          <t>231 SCOTT ST STE 3</t>
        </is>
      </c>
      <c r="F320" s="92" t="inlineStr">
        <is>
          <t>COVINGTON</t>
        </is>
      </c>
      <c r="G320" s="92" t="inlineStr">
        <is>
          <t>KY</t>
        </is>
      </c>
      <c r="H320" s="92" t="inlineStr">
        <is>
          <t>OFFICE TOWER - 3 STORY &amp; UP</t>
        </is>
      </c>
      <c r="I320" s="93" t="n">
        <v>17571</v>
      </c>
      <c r="J320" s="94">
        <f>I320/43560</f>
        <v/>
      </c>
      <c r="K320" s="93" t="n">
        <v>544</v>
      </c>
      <c r="L320" s="95">
        <f>I320/(K320^2)</f>
        <v/>
      </c>
      <c r="M320" s="92" t="inlineStr">
        <is>
          <t>Near 14-18k/32-45k</t>
        </is>
      </c>
      <c r="N320" s="92" t="inlineStr">
        <is>
          <t>E</t>
        </is>
      </c>
      <c r="O320" s="92" t="inlineStr">
        <is>
          <t>Compact &gt;=.055</t>
        </is>
      </c>
      <c r="P320" s="92" t="inlineStr">
        <is>
          <t>Low</t>
        </is>
      </c>
      <c r="Q320" s="92" t="inlineStr">
        <is>
          <t>Owner-occupied</t>
        </is>
      </c>
      <c r="R320" s="92" t="inlineStr">
        <is>
          <t>Operating entity</t>
        </is>
      </c>
      <c r="S320" s="92" t="n">
        <v>1</v>
      </c>
      <c r="T320" s="96">
        <f>INDEX('Scoring Method'!$B$6:$B$9,MATCH(M320,'Scoring Method'!$A$6:$A$9,0))+INDEX('Scoring Method'!$B$12:$B$16,MATCH(N320,'Scoring Method'!$A$12:$A$16,0))+INDEX('Scoring Method'!$B$19:$B$22,MATCH(O320,'Scoring Method'!$A$19:$A$22,0))+INDEX('Scoring Method'!$B$25:$B$27,MATCH(P320,'Scoring Method'!$A$25:$A$27,0))</f>
        <v/>
      </c>
      <c r="U320" s="96">
        <f>(INDEX('Scoring Method'!$B$30:$B$33,MATCH(Q320,'Scoring Method'!$A$30:$A$33,0))+INDEX('Scoring Method'!$B$36:$B$42,MATCH(R320,'Scoring Method'!$A$36:$A$42,0))+INDEX('Scoring Method'!$B$45:$B$47,MATCH(IF(S320=1,"1",IF(S320=2,"2","3+")),'Scoring Method'!$A$45:$A$47,0)))/90*100</f>
        <v/>
      </c>
      <c r="V320" s="96">
        <f>T320*U320/100</f>
        <v/>
      </c>
      <c r="W320" s="93" t="n">
        <v>7346</v>
      </c>
      <c r="X320" s="92" t="inlineStr">
        <is>
          <t>X (minimal hazard)</t>
        </is>
      </c>
      <c r="Y320" s="93" t="n">
        <v>8275</v>
      </c>
      <c r="Z320" s="97" t="n"/>
      <c r="AA320" s="98">
        <f>MAX(0,(Y320-5000)/300)</f>
        <v/>
      </c>
      <c r="AB320" s="92" t="n"/>
      <c r="AC320" s="92" t="n"/>
      <c r="AD320" s="92" t="n"/>
      <c r="AE320" s="92" t="inlineStr">
        <is>
          <t>Office tower 3+ storey</t>
        </is>
      </c>
      <c r="AF320" s="96">
        <f>INDEX('Scoring Method'!$B$63:$B$71,MATCH(AE320,'Scoring Method'!$A$63:$A$71,0))+INDEX('Scoring Method'!$B$75:$B$79,MATCH("Good 8-15k",'Scoring Method'!$A$75:$A$79,0))+INDEX('Scoring Method'!$B$343:$B$347,MATCH(X320,'Scoring Method'!$A$343:$A$347,0))+INDEX('Scoring Method'!$B$25:$B$27,MATCH(P320,'Scoring Method'!$A$25:$A$27,0))</f>
        <v/>
      </c>
      <c r="AG320" s="96">
        <f>AF320*U320/100</f>
        <v/>
      </c>
      <c r="AH320" s="92" t="inlineStr">
        <is>
          <t>LINK-GIS only</t>
        </is>
      </c>
      <c r="AI320" s="99" t="n">
        <v>39.08868</v>
      </c>
      <c r="AJ320" s="99" t="n">
        <v>-84.51013</v>
      </c>
      <c r="AK320" s="94" t="n">
        <v>0.51</v>
      </c>
      <c r="AL320" s="94" t="n">
        <v>0.18</v>
      </c>
      <c r="AM320" s="94" t="n">
        <v>0.89</v>
      </c>
      <c r="AN320" s="94" t="n">
        <v>0.18</v>
      </c>
      <c r="AO320" s="92" t="inlineStr">
        <is>
          <t>Core &lt;=0.35mi</t>
        </is>
      </c>
      <c r="AP320" s="92" t="inlineStr">
        <is>
          <t>Office tower 3+ storey</t>
        </is>
      </c>
      <c r="AQ320" s="92" t="inlineStr">
        <is>
          <t>Good 8-15k</t>
        </is>
      </c>
      <c r="AR320" s="100" t="n"/>
      <c r="AS320" s="96">
        <f>ROUND(INDEX('Scoring Method'!$B$63:$B$70,MATCH(AE320,'Scoring Method'!$A$63:$A$70,0))*0.625+INDEX('Scoring Method'!$B$105:$B$113,MATCH(AP320,'Scoring Method'!$A$105:$A$113,0))+INDEX('Scoring Method'!$B$74:$B$78,MATCH(AQ320,'Scoring Method'!$A$74:$A$78,0))*0.6667+INDEX('Scoring Method'!$B$96:$B$101,MATCH(AO320,'Scoring Method'!$A$96:$A$101,0))+INDEX('Scoring Method'!$B$343:$B$347,MATCH(X320,'Scoring Method'!$A$343:$A$347,0))*0.3333+INDEX('Scoring Method'!$B$25:$B$27,MATCH(P320,'Scoring Method'!$A$25:$A$27,0))*0.3333,1)</f>
        <v/>
      </c>
      <c r="AT320" s="96">
        <f>AS320*U320/100</f>
        <v/>
      </c>
      <c r="AU320" s="92" t="inlineStr">
        <is>
          <t>Central Business District</t>
        </is>
      </c>
      <c r="AV320" s="92" t="n">
        <v>48</v>
      </c>
      <c r="AW320" s="101" t="inlineStr">
        <is>
          <t>ESTIMATED</t>
        </is>
      </c>
      <c r="AX320" s="92" t="inlineStr">
        <is>
          <t>Mixed 45-59</t>
        </is>
      </c>
      <c r="AY320" s="96">
        <f>ROUND(INDEX('Scoring Method'!$B$132:$B$140,MATCH(AE320,'Scoring Method'!$A$132:$A$140,0))+INDEX('Scoring Method'!$B$144:$B$152,MATCH(AP320,'Scoring Method'!$A$144:$A$152,0))+INDEX('Scoring Method'!$B$156:$B$160,MATCH(AQ320,'Scoring Method'!$A$156:$A$160,0))+INDEX('Scoring Method'!$B$164:$B$169,MATCH(AO320,'Scoring Method'!$A$164:$A$169,0))+INDEX('Scoring Method'!$B$173:$B$178,MATCH(AX320,'Scoring Method'!$A$173:$A$178,0))+INDEX('Scoring Method'!$B$349:$B$353,MATCH(X320,'Scoring Method'!$A$349:$A$353,0))+INDEX('Scoring Method'!$B$188:$B$190,MATCH(P320,'Scoring Method'!$A$188:$A$190,0)),1)</f>
        <v/>
      </c>
      <c r="AZ320" s="96">
        <f>AY320*U320/100</f>
        <v/>
      </c>
      <c r="BA320" s="103" t="inlineStr">
        <is>
          <t>Brand-owned / net lease</t>
        </is>
      </c>
      <c r="BB320" s="94" t="n">
        <v>0.3</v>
      </c>
      <c r="BC320" s="92" t="inlineStr">
        <is>
          <t>Right-sized 0.35-0.75 AC</t>
        </is>
      </c>
      <c r="BD320" s="94" t="n">
        <v>1</v>
      </c>
      <c r="BE320" s="96">
        <f>ROUND(INDEX('Scoring Method'!$B$268:$B$276,MATCH(AE320,'Scoring Method'!$A$268:$A$276,0))+INDEX('Scoring Method'!$B$280:$B$288,MATCH(AP320,'Scoring Method'!$A$280:$A$288,0))+INDEX('Scoring Method'!$B$292:$B$296,MATCH(AQ320,'Scoring Method'!$A$292:$A$296,0))+INDEX('Scoring Method'!$B$300:$B$305,MATCH(AO320,'Scoring Method'!$A$300:$A$305,0))+INDEX('Scoring Method'!$B$309:$B$314,MATCH(AX320,'Scoring Method'!$A$309:$A$314,0))+INDEX('Scoring Method'!$B$337:$B$341,MATCH(X320,'Scoring Method'!$A$337:$A$341,0))+INDEX('Scoring Method'!$B$324:$B$326,MATCH(P320,'Scoring Method'!$A$324:$A$326,0)),1)</f>
        <v/>
      </c>
      <c r="BF320" s="96">
        <f>ROUND(INDEX('Scoring Method'!$B$268:$B$276,MATCH(AE320,'Scoring Method'!$A$268:$A$276,0))*BB320*BD320+INDEX('Scoring Method'!$B$280:$B$288,MATCH(AP320,'Scoring Method'!$A$280:$A$288,0))*BM320*BB320*BD320+INDEX('Scoring Method'!$B$292:$B$296,MATCH(AQ320,'Scoring Method'!$A$292:$A$296,0))*BD320+INDEX('Scoring Method'!$B$300:$B$305,MATCH(AO320,'Scoring Method'!$A$300:$A$305,0))*BM320*BB320+INDEX('Scoring Method'!$B$309:$B$314,MATCH(AX320,'Scoring Method'!$A$309:$A$314,0))+INDEX('Scoring Method'!$B$337:$B$341,MATCH(X320,'Scoring Method'!$A$337:$A$341,0))+INDEX('Scoring Method'!$B$324:$B$326,MATCH(P320,'Scoring Method'!$A$324:$A$326,0)),1)</f>
        <v/>
      </c>
      <c r="BG320" s="92" t="inlineStr">
        <is>
          <t>Fits (~$6,734/mo)</t>
        </is>
      </c>
      <c r="BH320" s="61" t="inlineStr">
        <is>
          <t>DTR</t>
        </is>
      </c>
      <c r="BI320" s="61" t="inlineStr">
        <is>
          <t>Downtown Riverfront</t>
        </is>
      </c>
      <c r="BJ320" s="61" t="inlineStr"/>
      <c r="BK320" s="61" t="inlineStr"/>
      <c r="BL320" s="61" t="inlineStr">
        <is>
          <t>Bar permitted</t>
        </is>
      </c>
      <c r="BM320" s="61">
        <f>INDEX('Scoring Method'!$B$358:$B$363,MATCH(BL320,'Scoring Method'!$A$358:$A$363,0))</f>
        <v/>
      </c>
    </row>
    <row r="321" ht="15" customHeight="1" s="62">
      <c r="A321" s="92" t="n">
        <v>320</v>
      </c>
      <c r="B321" s="92" t="inlineStr">
        <is>
          <t>054-14-17-006.00</t>
        </is>
      </c>
      <c r="C321" s="92" t="inlineStr">
        <is>
          <t>320 GARRARD ST</t>
        </is>
      </c>
      <c r="D321" s="92" t="inlineStr">
        <is>
          <t>320 LLC</t>
        </is>
      </c>
      <c r="E321" s="92" t="inlineStr">
        <is>
          <t>320 GARRARD ST</t>
        </is>
      </c>
      <c r="F321" s="92" t="inlineStr">
        <is>
          <t>COVINGTON</t>
        </is>
      </c>
      <c r="G321" s="92" t="inlineStr">
        <is>
          <t>KY</t>
        </is>
      </c>
      <c r="H321" s="92" t="inlineStr">
        <is>
          <t>OFFICE BLDG 1 OR 2 STORY</t>
        </is>
      </c>
      <c r="I321" s="93" t="n">
        <v>28366</v>
      </c>
      <c r="J321" s="94">
        <f>I321/43560</f>
        <v/>
      </c>
      <c r="K321" s="93" t="n">
        <v>841</v>
      </c>
      <c r="L321" s="95">
        <f>I321/(K321^2)</f>
        <v/>
      </c>
      <c r="M321" s="92" t="inlineStr">
        <is>
          <t>Ideal 18-32k</t>
        </is>
      </c>
      <c r="N321" s="92" t="inlineStr">
        <is>
          <t>E</t>
        </is>
      </c>
      <c r="O321" s="92" t="inlineStr">
        <is>
          <t>Elongated .035-.045</t>
        </is>
      </c>
      <c r="P321" s="92" t="inlineStr">
        <is>
          <t>Low</t>
        </is>
      </c>
      <c r="Q321" s="92" t="inlineStr">
        <is>
          <t>Owner-occupied</t>
        </is>
      </c>
      <c r="R321" s="92" t="inlineStr">
        <is>
          <t>Operating entity</t>
        </is>
      </c>
      <c r="S321" s="92" t="n">
        <v>1</v>
      </c>
      <c r="T321" s="96">
        <f>INDEX('Scoring Method'!$B$6:$B$9,MATCH(M321,'Scoring Method'!$A$6:$A$9,0))+INDEX('Scoring Method'!$B$12:$B$16,MATCH(N321,'Scoring Method'!$A$12:$A$16,0))+INDEX('Scoring Method'!$B$19:$B$22,MATCH(O321,'Scoring Method'!$A$19:$A$22,0))+INDEX('Scoring Method'!$B$25:$B$27,MATCH(P321,'Scoring Method'!$A$25:$A$27,0))</f>
        <v/>
      </c>
      <c r="U321" s="96">
        <f>(INDEX('Scoring Method'!$B$30:$B$33,MATCH(Q321,'Scoring Method'!$A$30:$A$33,0))+INDEX('Scoring Method'!$B$36:$B$42,MATCH(R321,'Scoring Method'!$A$36:$A$42,0))+INDEX('Scoring Method'!$B$45:$B$47,MATCH(IF(S321=1,"1",IF(S321=2,"2","3+")),'Scoring Method'!$A$45:$A$47,0)))/90*100</f>
        <v/>
      </c>
      <c r="V321" s="96">
        <f>T321*U321/100</f>
        <v/>
      </c>
      <c r="W321" s="93" t="n">
        <v>5766</v>
      </c>
      <c r="X321" s="92" t="inlineStr">
        <is>
          <t>X (minimal hazard)</t>
        </is>
      </c>
      <c r="Y321" s="93" t="n">
        <v>19250</v>
      </c>
      <c r="Z321" s="97" t="n"/>
      <c r="AA321" s="98">
        <f>MAX(0,(Y321-5000)/300)</f>
        <v/>
      </c>
      <c r="AB321" s="92" t="n"/>
      <c r="AC321" s="92" t="n"/>
      <c r="AD321" s="92" t="n"/>
      <c r="AE321" s="92" t="inlineStr">
        <is>
          <t>Large 4-6k</t>
        </is>
      </c>
      <c r="AF321" s="96">
        <f>INDEX('Scoring Method'!$B$63:$B$71,MATCH(AE321,'Scoring Method'!$A$63:$A$71,0))+INDEX('Scoring Method'!$B$75:$B$79,MATCH("Ample &gt;=15k",'Scoring Method'!$A$75:$A$79,0))+INDEX('Scoring Method'!$B$343:$B$347,MATCH(X321,'Scoring Method'!$A$343:$A$347,0))+INDEX('Scoring Method'!$B$25:$B$27,MATCH(P321,'Scoring Method'!$A$25:$A$27,0))</f>
        <v/>
      </c>
      <c r="AG321" s="96">
        <f>AF321*U321/100</f>
        <v/>
      </c>
      <c r="AH321" s="92" t="inlineStr">
        <is>
          <t>LINK-GIS only</t>
        </is>
      </c>
      <c r="AI321" s="99" t="n">
        <v>39.08812</v>
      </c>
      <c r="AJ321" s="99" t="n">
        <v>-84.50569</v>
      </c>
      <c r="AK321" s="94" t="n">
        <v>0.7</v>
      </c>
      <c r="AL321" s="94" t="n">
        <v>0.24</v>
      </c>
      <c r="AM321" s="94" t="n">
        <v>0.99</v>
      </c>
      <c r="AN321" s="94" t="n">
        <v>0.24</v>
      </c>
      <c r="AO321" s="92" t="inlineStr">
        <is>
          <t>Core &lt;=0.35mi</t>
        </is>
      </c>
      <c r="AP321" s="92" t="inlineStr">
        <is>
          <t>Office/institutional</t>
        </is>
      </c>
      <c r="AQ321" s="92" t="inlineStr">
        <is>
          <t>Ample &gt;=15k</t>
        </is>
      </c>
      <c r="AR321" s="100" t="n"/>
      <c r="AS321" s="96">
        <f>ROUND(INDEX('Scoring Method'!$B$63:$B$70,MATCH(AE321,'Scoring Method'!$A$63:$A$70,0))*0.625+INDEX('Scoring Method'!$B$105:$B$113,MATCH(AP321,'Scoring Method'!$A$105:$A$113,0))+INDEX('Scoring Method'!$B$74:$B$78,MATCH(AQ321,'Scoring Method'!$A$74:$A$78,0))*0.6667+INDEX('Scoring Method'!$B$96:$B$101,MATCH(AO321,'Scoring Method'!$A$96:$A$101,0))+INDEX('Scoring Method'!$B$343:$B$347,MATCH(X321,'Scoring Method'!$A$343:$A$347,0))*0.3333+INDEX('Scoring Method'!$B$25:$B$27,MATCH(P321,'Scoring Method'!$A$25:$A$27,0))*0.3333,1)</f>
        <v/>
      </c>
      <c r="AT321" s="96">
        <f>AS321*U321/100</f>
        <v/>
      </c>
      <c r="AU321" s="92" t="inlineStr">
        <is>
          <t>Licking Riverside</t>
        </is>
      </c>
      <c r="AV321" s="92" t="n">
        <v>62</v>
      </c>
      <c r="AW321" s="92" t="inlineStr">
        <is>
          <t>Sourced</t>
        </is>
      </c>
      <c r="AX321" s="92" t="inlineStr">
        <is>
          <t>Moderate 60-69</t>
        </is>
      </c>
      <c r="AY321" s="96">
        <f>ROUND(INDEX('Scoring Method'!$B$132:$B$140,MATCH(AE321,'Scoring Method'!$A$132:$A$140,0))+INDEX('Scoring Method'!$B$144:$B$152,MATCH(AP321,'Scoring Method'!$A$144:$A$152,0))+INDEX('Scoring Method'!$B$156:$B$160,MATCH(AQ321,'Scoring Method'!$A$156:$A$160,0))+INDEX('Scoring Method'!$B$164:$B$169,MATCH(AO321,'Scoring Method'!$A$164:$A$169,0))+INDEX('Scoring Method'!$B$173:$B$178,MATCH(AX321,'Scoring Method'!$A$173:$A$178,0))+INDEX('Scoring Method'!$B$349:$B$353,MATCH(X321,'Scoring Method'!$A$349:$A$353,0))+INDEX('Scoring Method'!$B$188:$B$190,MATCH(P321,'Scoring Method'!$A$188:$A$190,0)),1)</f>
        <v/>
      </c>
      <c r="AZ321" s="96">
        <f>AY321*U321/100</f>
        <v/>
      </c>
      <c r="BA321" s="92" t="inlineStr">
        <is>
          <t>Owner-occupied operator</t>
        </is>
      </c>
      <c r="BB321" s="94" t="n">
        <v>0.8</v>
      </c>
      <c r="BC321" s="92" t="inlineStr">
        <is>
          <t>Right-sized 0.35-0.75 AC</t>
        </is>
      </c>
      <c r="BD321" s="94" t="n">
        <v>1</v>
      </c>
      <c r="BE321" s="96">
        <f>ROUND(INDEX('Scoring Method'!$B$268:$B$276,MATCH(AE321,'Scoring Method'!$A$268:$A$276,0))+INDEX('Scoring Method'!$B$280:$B$288,MATCH(AP321,'Scoring Method'!$A$280:$A$288,0))+INDEX('Scoring Method'!$B$292:$B$296,MATCH(AQ321,'Scoring Method'!$A$292:$A$296,0))+INDEX('Scoring Method'!$B$300:$B$305,MATCH(AO321,'Scoring Method'!$A$300:$A$305,0))+INDEX('Scoring Method'!$B$309:$B$314,MATCH(AX321,'Scoring Method'!$A$309:$A$314,0))+INDEX('Scoring Method'!$B$337:$B$341,MATCH(X321,'Scoring Method'!$A$337:$A$341,0))+INDEX('Scoring Method'!$B$324:$B$326,MATCH(P321,'Scoring Method'!$A$324:$A$326,0)),1)</f>
        <v/>
      </c>
      <c r="BF321" s="96">
        <f>ROUND(INDEX('Scoring Method'!$B$268:$B$276,MATCH(AE321,'Scoring Method'!$A$268:$A$276,0))*BB321*BD321+INDEX('Scoring Method'!$B$280:$B$288,MATCH(AP321,'Scoring Method'!$A$280:$A$288,0))*BM321*BB321*BD321+INDEX('Scoring Method'!$B$292:$B$296,MATCH(AQ321,'Scoring Method'!$A$292:$A$296,0))*BD321+INDEX('Scoring Method'!$B$300:$B$305,MATCH(AO321,'Scoring Method'!$A$300:$A$305,0))*BM321*BB321+INDEX('Scoring Method'!$B$309:$B$314,MATCH(AX321,'Scoring Method'!$A$309:$A$314,0))+INDEX('Scoring Method'!$B$337:$B$341,MATCH(X321,'Scoring Method'!$A$337:$A$341,0))+INDEX('Scoring Method'!$B$324:$B$326,MATCH(P321,'Scoring Method'!$A$324:$A$326,0)),1)</f>
        <v/>
      </c>
      <c r="BG321" s="92" t="inlineStr">
        <is>
          <t>Fits (~$5,286/mo)</t>
        </is>
      </c>
      <c r="BH321" s="61" t="inlineStr">
        <is>
          <t>TUR (HP)</t>
        </is>
      </c>
      <c r="BI321" s="61" t="inlineStr">
        <is>
          <t>Traditional Urban Residential</t>
        </is>
      </c>
      <c r="BJ321" s="61" t="inlineStr">
        <is>
          <t>HP</t>
        </is>
      </c>
      <c r="BK321" s="61" t="inlineStr"/>
      <c r="BL321" s="61" t="inlineStr">
        <is>
          <t>Bar prohibited, alt-path</t>
        </is>
      </c>
      <c r="BM321" s="61">
        <f>INDEX('Scoring Method'!$B$358:$B$363,MATCH(BL321,'Scoring Method'!$A$358:$A$363,0))</f>
        <v/>
      </c>
    </row>
    <row r="322" ht="15" customHeight="1" s="62">
      <c r="A322" s="92" t="n">
        <v>321</v>
      </c>
      <c r="B322" s="92" t="inlineStr">
        <is>
          <t>054-23-18-001.00</t>
        </is>
      </c>
      <c r="C322" s="92" t="inlineStr">
        <is>
          <t>502 GREENUP ST</t>
        </is>
      </c>
      <c r="D322" s="92" t="inlineStr">
        <is>
          <t>BARBARADALE ASSOCIATES</t>
        </is>
      </c>
      <c r="E322" s="92" t="inlineStr">
        <is>
          <t>502 GREENUP ST</t>
        </is>
      </c>
      <c r="F322" s="92" t="inlineStr">
        <is>
          <t>COVINGTON</t>
        </is>
      </c>
      <c r="G322" s="92" t="inlineStr">
        <is>
          <t>KY</t>
        </is>
      </c>
      <c r="H322" s="92" t="inlineStr">
        <is>
          <t>OFFICE BLDG 1 OR 2 STORY</t>
        </is>
      </c>
      <c r="I322" s="93" t="n">
        <v>9025</v>
      </c>
      <c r="J322" s="94">
        <f>I322/43560</f>
        <v/>
      </c>
      <c r="K322" s="93" t="n">
        <v>475</v>
      </c>
      <c r="L322" s="95">
        <f>I322/(K322^2)</f>
        <v/>
      </c>
      <c r="M322" s="92" t="inlineStr">
        <is>
          <t>Poor &lt;10k/&gt;60k</t>
        </is>
      </c>
      <c r="N322" s="92" t="inlineStr">
        <is>
          <t>E</t>
        </is>
      </c>
      <c r="O322" s="92" t="inlineStr">
        <is>
          <t>Elongated .035-.045</t>
        </is>
      </c>
      <c r="P322" s="92" t="inlineStr">
        <is>
          <t>Low</t>
        </is>
      </c>
      <c r="Q322" s="92" t="inlineStr">
        <is>
          <t>Owner-occupied</t>
        </is>
      </c>
      <c r="R322" s="92" t="inlineStr">
        <is>
          <t>Individual</t>
        </is>
      </c>
      <c r="S322" s="92" t="n">
        <v>1</v>
      </c>
      <c r="T322" s="96">
        <f>INDEX('Scoring Method'!$B$6:$B$9,MATCH(M322,'Scoring Method'!$A$6:$A$9,0))+INDEX('Scoring Method'!$B$12:$B$16,MATCH(N322,'Scoring Method'!$A$12:$A$16,0))+INDEX('Scoring Method'!$B$19:$B$22,MATCH(O322,'Scoring Method'!$A$19:$A$22,0))+INDEX('Scoring Method'!$B$25:$B$27,MATCH(P322,'Scoring Method'!$A$25:$A$27,0))</f>
        <v/>
      </c>
      <c r="U322" s="96">
        <f>(INDEX('Scoring Method'!$B$30:$B$33,MATCH(Q322,'Scoring Method'!$A$30:$A$33,0))+INDEX('Scoring Method'!$B$36:$B$42,MATCH(R322,'Scoring Method'!$A$36:$A$42,0))+INDEX('Scoring Method'!$B$45:$B$47,MATCH(IF(S322=1,"1",IF(S322=2,"2","3+")),'Scoring Method'!$A$45:$A$47,0)))/90*100</f>
        <v/>
      </c>
      <c r="V322" s="96">
        <f>T322*U322/100</f>
        <v/>
      </c>
      <c r="W322" s="93" t="n">
        <v>5675</v>
      </c>
      <c r="X322" s="92" t="inlineStr">
        <is>
          <t>X (minimal hazard)</t>
        </is>
      </c>
      <c r="Y322" s="93" t="n">
        <v>5125</v>
      </c>
      <c r="Z322" s="97" t="n"/>
      <c r="AA322" s="98">
        <f>MAX(0,(Y322-5000)/300)</f>
        <v/>
      </c>
      <c r="AB322" s="92" t="n"/>
      <c r="AC322" s="92" t="n"/>
      <c r="AD322" s="92" t="n"/>
      <c r="AE322" s="92" t="inlineStr">
        <is>
          <t>Large 4-6k</t>
        </is>
      </c>
      <c r="AF322" s="96">
        <f>INDEX('Scoring Method'!$B$63:$B$71,MATCH(AE322,'Scoring Method'!$A$63:$A$71,0))+INDEX('Scoring Method'!$B$75:$B$79,MATCH("Adequate 5-8k",'Scoring Method'!$A$75:$A$79,0))+INDEX('Scoring Method'!$B$343:$B$347,MATCH(X322,'Scoring Method'!$A$343:$A$347,0))+INDEX('Scoring Method'!$B$25:$B$27,MATCH(P322,'Scoring Method'!$A$25:$A$27,0))</f>
        <v/>
      </c>
      <c r="AG322" s="96">
        <f>AF322*U322/100</f>
        <v/>
      </c>
      <c r="AH322" s="92" t="inlineStr">
        <is>
          <t>LINK-GIS + LoopNet (2026-08-03)</t>
        </is>
      </c>
      <c r="AI322" s="99" t="n">
        <v>39.08626</v>
      </c>
      <c r="AJ322" s="99" t="n">
        <v>-84.50707</v>
      </c>
      <c r="AK322" s="94" t="n">
        <v>0.59</v>
      </c>
      <c r="AL322" s="94" t="n">
        <v>0.32</v>
      </c>
      <c r="AM322" s="94" t="n">
        <v>1.09</v>
      </c>
      <c r="AN322" s="94" t="n">
        <v>0.27</v>
      </c>
      <c r="AO322" s="92" t="inlineStr">
        <is>
          <t>Core &lt;=0.35mi</t>
        </is>
      </c>
      <c r="AP322" s="92" t="inlineStr">
        <is>
          <t>Office/institutional</t>
        </is>
      </c>
      <c r="AQ322" s="92" t="inlineStr">
        <is>
          <t>Adequate 5-8k</t>
        </is>
      </c>
      <c r="AR322" s="100" t="n"/>
      <c r="AS322" s="96">
        <f>ROUND(INDEX('Scoring Method'!$B$63:$B$70,MATCH(AE322,'Scoring Method'!$A$63:$A$70,0))*0.625+INDEX('Scoring Method'!$B$105:$B$113,MATCH(AP322,'Scoring Method'!$A$105:$A$113,0))+INDEX('Scoring Method'!$B$74:$B$78,MATCH(AQ322,'Scoring Method'!$A$74:$A$78,0))*0.6667+INDEX('Scoring Method'!$B$96:$B$101,MATCH(AO322,'Scoring Method'!$A$96:$A$101,0))+INDEX('Scoring Method'!$B$343:$B$347,MATCH(X322,'Scoring Method'!$A$343:$A$347,0))*0.3333+INDEX('Scoring Method'!$B$25:$B$27,MATCH(P322,'Scoring Method'!$A$25:$A$27,0))*0.3333,1)</f>
        <v/>
      </c>
      <c r="AT322" s="96">
        <f>AS322*U322/100</f>
        <v/>
      </c>
      <c r="AU322" s="92" t="inlineStr">
        <is>
          <t>Central Business District</t>
        </is>
      </c>
      <c r="AV322" s="92" t="n">
        <v>48</v>
      </c>
      <c r="AW322" s="101" t="inlineStr">
        <is>
          <t>ESTIMATED</t>
        </is>
      </c>
      <c r="AX322" s="92" t="inlineStr">
        <is>
          <t>Mixed 45-59</t>
        </is>
      </c>
      <c r="AY322" s="96">
        <f>ROUND(INDEX('Scoring Method'!$B$132:$B$140,MATCH(AE322,'Scoring Method'!$A$132:$A$140,0))+INDEX('Scoring Method'!$B$144:$B$152,MATCH(AP322,'Scoring Method'!$A$144:$A$152,0))+INDEX('Scoring Method'!$B$156:$B$160,MATCH(AQ322,'Scoring Method'!$A$156:$A$160,0))+INDEX('Scoring Method'!$B$164:$B$169,MATCH(AO322,'Scoring Method'!$A$164:$A$169,0))+INDEX('Scoring Method'!$B$173:$B$178,MATCH(AX322,'Scoring Method'!$A$173:$A$178,0))+INDEX('Scoring Method'!$B$349:$B$353,MATCH(X322,'Scoring Method'!$A$349:$A$353,0))+INDEX('Scoring Method'!$B$188:$B$190,MATCH(P322,'Scoring Method'!$A$188:$A$190,0)),1)</f>
        <v/>
      </c>
      <c r="AZ322" s="96">
        <f>AY322*U322/100</f>
        <v/>
      </c>
      <c r="BA322" s="92" t="inlineStr">
        <is>
          <t>Owner-occupied operator</t>
        </is>
      </c>
      <c r="BB322" s="94" t="n">
        <v>0.8</v>
      </c>
      <c r="BC322" s="103" t="inlineStr">
        <is>
          <t>Extra small 0.15-0.25 AC</t>
        </is>
      </c>
      <c r="BD322" s="94" t="n">
        <v>0.8</v>
      </c>
      <c r="BE322" s="96">
        <f>ROUND(INDEX('Scoring Method'!$B$268:$B$276,MATCH(AE322,'Scoring Method'!$A$268:$A$276,0))+INDEX('Scoring Method'!$B$280:$B$288,MATCH(AP322,'Scoring Method'!$A$280:$A$288,0))+INDEX('Scoring Method'!$B$292:$B$296,MATCH(AQ322,'Scoring Method'!$A$292:$A$296,0))+INDEX('Scoring Method'!$B$300:$B$305,MATCH(AO322,'Scoring Method'!$A$300:$A$305,0))+INDEX('Scoring Method'!$B$309:$B$314,MATCH(AX322,'Scoring Method'!$A$309:$A$314,0))+INDEX('Scoring Method'!$B$337:$B$341,MATCH(X322,'Scoring Method'!$A$337:$A$341,0))+INDEX('Scoring Method'!$B$324:$B$326,MATCH(P322,'Scoring Method'!$A$324:$A$326,0)),1)</f>
        <v/>
      </c>
      <c r="BF322" s="96">
        <f>ROUND(INDEX('Scoring Method'!$B$268:$B$276,MATCH(AE322,'Scoring Method'!$A$268:$A$276,0))*BB322*BD322+INDEX('Scoring Method'!$B$280:$B$288,MATCH(AP322,'Scoring Method'!$A$280:$A$288,0))*BM322*BB322*BD322+INDEX('Scoring Method'!$B$292:$B$296,MATCH(AQ322,'Scoring Method'!$A$292:$A$296,0))*BD322+INDEX('Scoring Method'!$B$300:$B$305,MATCH(AO322,'Scoring Method'!$A$300:$A$305,0))*BM322*BB322+INDEX('Scoring Method'!$B$309:$B$314,MATCH(AX322,'Scoring Method'!$A$309:$A$314,0))+INDEX('Scoring Method'!$B$337:$B$341,MATCH(X322,'Scoring Method'!$A$337:$A$341,0))+INDEX('Scoring Method'!$B$324:$B$326,MATCH(P322,'Scoring Method'!$A$324:$A$326,0)),1)</f>
        <v/>
      </c>
      <c r="BG322" s="92" t="inlineStr">
        <is>
          <t>Fits (~$5,202/mo)</t>
        </is>
      </c>
      <c r="BH322" s="61" t="inlineStr">
        <is>
          <t>TUR (HP)</t>
        </is>
      </c>
      <c r="BI322" s="61" t="inlineStr">
        <is>
          <t>Traditional Urban Residential</t>
        </is>
      </c>
      <c r="BJ322" s="61" t="inlineStr">
        <is>
          <t>HP</t>
        </is>
      </c>
      <c r="BK322" s="61" t="inlineStr"/>
      <c r="BL322" s="61" t="inlineStr">
        <is>
          <t>Bar prohibited, alt-path</t>
        </is>
      </c>
      <c r="BM322" s="61">
        <f>INDEX('Scoring Method'!$B$358:$B$363,MATCH(BL322,'Scoring Method'!$A$358:$A$363,0))</f>
        <v/>
      </c>
    </row>
    <row r="323" ht="15" customHeight="1" s="62">
      <c r="A323" s="92" t="n">
        <v>322</v>
      </c>
      <c r="B323" s="92" t="inlineStr">
        <is>
          <t>040-43-02-002.00</t>
        </is>
      </c>
      <c r="C323" s="92" t="inlineStr">
        <is>
          <t>501 CRESCENT AVE</t>
        </is>
      </c>
      <c r="D323" s="92" t="inlineStr">
        <is>
          <t>5 GRAPES LLC</t>
        </is>
      </c>
      <c r="E323" s="92" t="inlineStr">
        <is>
          <t>501 CRESCENT AVE 2ND FLOOR</t>
        </is>
      </c>
      <c r="F323" s="92" t="inlineStr">
        <is>
          <t>COVINGTON</t>
        </is>
      </c>
      <c r="G323" s="92" t="inlineStr">
        <is>
          <t>KY</t>
        </is>
      </c>
      <c r="H323" s="92" t="inlineStr">
        <is>
          <t>OTHER RETAIL</t>
        </is>
      </c>
      <c r="I323" s="93" t="n">
        <v>39540</v>
      </c>
      <c r="J323" s="94">
        <f>I323/43560</f>
        <v/>
      </c>
      <c r="K323" s="93" t="n">
        <v>1105.2</v>
      </c>
      <c r="L323" s="95">
        <f>I323/(K323^2)</f>
        <v/>
      </c>
      <c r="M323" s="92" t="inlineStr">
        <is>
          <t>Near 14-18k/32-45k</t>
        </is>
      </c>
      <c r="N323" s="92" t="inlineStr">
        <is>
          <t>C</t>
        </is>
      </c>
      <c r="O323" s="92" t="inlineStr">
        <is>
          <t>Irregular &lt;.035</t>
        </is>
      </c>
      <c r="P323" s="92" t="inlineStr">
        <is>
          <t>Low</t>
        </is>
      </c>
      <c r="Q323" s="92" t="inlineStr">
        <is>
          <t>Owner-occupied</t>
        </is>
      </c>
      <c r="R323" s="92" t="inlineStr">
        <is>
          <t>Operating entity</t>
        </is>
      </c>
      <c r="S323" s="92" t="n">
        <v>1</v>
      </c>
      <c r="T323" s="96">
        <f>INDEX('Scoring Method'!$B$6:$B$9,MATCH(M323,'Scoring Method'!$A$6:$A$9,0))+INDEX('Scoring Method'!$B$12:$B$16,MATCH(N323,'Scoring Method'!$A$12:$A$16,0))+INDEX('Scoring Method'!$B$19:$B$22,MATCH(O323,'Scoring Method'!$A$19:$A$22,0))+INDEX('Scoring Method'!$B$25:$B$27,MATCH(P323,'Scoring Method'!$A$25:$A$27,0))</f>
        <v/>
      </c>
      <c r="U323" s="96">
        <f>(INDEX('Scoring Method'!$B$30:$B$33,MATCH(Q323,'Scoring Method'!$A$30:$A$33,0))+INDEX('Scoring Method'!$B$36:$B$42,MATCH(R323,'Scoring Method'!$A$36:$A$42,0))+INDEX('Scoring Method'!$B$45:$B$47,MATCH(IF(S323=1,"1",IF(S323=2,"2","3+")),'Scoring Method'!$A$45:$A$47,0)))/90*100</f>
        <v/>
      </c>
      <c r="V323" s="96">
        <f>T323*U323/100</f>
        <v/>
      </c>
      <c r="W323" s="93" t="n">
        <v>11748</v>
      </c>
      <c r="X323" s="92" t="inlineStr">
        <is>
          <t>X (minimal hazard)</t>
        </is>
      </c>
      <c r="Y323" s="93" t="n">
        <v>27875</v>
      </c>
      <c r="Z323" s="97" t="n"/>
      <c r="AA323" s="98">
        <f>MAX(0,(Y323-5000)/300)</f>
        <v/>
      </c>
      <c r="AB323" s="92" t="n"/>
      <c r="AC323" s="92" t="n"/>
      <c r="AD323" s="92" t="n"/>
      <c r="AE323" s="92" t="inlineStr">
        <is>
          <t>Oversize 6-12k</t>
        </is>
      </c>
      <c r="AF323" s="96">
        <f>INDEX('Scoring Method'!$B$63:$B$71,MATCH(AE323,'Scoring Method'!$A$63:$A$71,0))+INDEX('Scoring Method'!$B$75:$B$79,MATCH("Ample &gt;=15k",'Scoring Method'!$A$75:$A$79,0))+INDEX('Scoring Method'!$B$343:$B$347,MATCH(X323,'Scoring Method'!$A$343:$A$347,0))+INDEX('Scoring Method'!$B$25:$B$27,MATCH(P323,'Scoring Method'!$A$25:$A$27,0))</f>
        <v/>
      </c>
      <c r="AG323" s="96">
        <f>AF323*U323/100</f>
        <v/>
      </c>
      <c r="AH323" s="92" t="inlineStr">
        <is>
          <t>LINK-GIS + LoopNet (2026-08-02)</t>
        </is>
      </c>
      <c r="AI323" s="99" t="n">
        <v>39.08497</v>
      </c>
      <c r="AJ323" s="99" t="n">
        <v>-84.52428</v>
      </c>
      <c r="AK323" s="94" t="n">
        <v>0.35</v>
      </c>
      <c r="AL323" s="94" t="n">
        <v>0.95</v>
      </c>
      <c r="AM323" s="94" t="n">
        <v>1.31</v>
      </c>
      <c r="AN323" s="94" t="n">
        <v>0.35</v>
      </c>
      <c r="AO323" s="92" t="inlineStr">
        <is>
          <t>Core &lt;=0.35mi</t>
        </is>
      </c>
      <c r="AP323" s="92" t="inlineStr">
        <is>
          <t>Retail shell</t>
        </is>
      </c>
      <c r="AQ323" s="92" t="inlineStr">
        <is>
          <t>Ample &gt;=15k</t>
        </is>
      </c>
      <c r="AR323" s="100" t="n"/>
      <c r="AS323" s="96">
        <f>ROUND(INDEX('Scoring Method'!$B$63:$B$70,MATCH(AE323,'Scoring Method'!$A$63:$A$70,0))*0.625+INDEX('Scoring Method'!$B$105:$B$113,MATCH(AP323,'Scoring Method'!$A$105:$A$113,0))+INDEX('Scoring Method'!$B$74:$B$78,MATCH(AQ323,'Scoring Method'!$A$74:$A$78,0))*0.6667+INDEX('Scoring Method'!$B$96:$B$101,MATCH(AO323,'Scoring Method'!$A$96:$A$101,0))+INDEX('Scoring Method'!$B$343:$B$347,MATCH(X323,'Scoring Method'!$A$343:$A$347,0))*0.3333+INDEX('Scoring Method'!$B$25:$B$27,MATCH(P323,'Scoring Method'!$A$25:$A$27,0))*0.3333,1)</f>
        <v/>
      </c>
      <c r="AT323" s="96">
        <f>AS323*U323/100</f>
        <v/>
      </c>
      <c r="AU323" s="92" t="inlineStr">
        <is>
          <t>Kenton Hills</t>
        </is>
      </c>
      <c r="AV323" s="92" t="n">
        <v>85</v>
      </c>
      <c r="AW323" s="92" t="inlineStr">
        <is>
          <t>Sourced</t>
        </is>
      </c>
      <c r="AX323" s="92" t="inlineStr">
        <is>
          <t>Very safe 80+</t>
        </is>
      </c>
      <c r="AY323" s="96">
        <f>ROUND(INDEX('Scoring Method'!$B$132:$B$140,MATCH(AE323,'Scoring Method'!$A$132:$A$140,0))+INDEX('Scoring Method'!$B$144:$B$152,MATCH(AP323,'Scoring Method'!$A$144:$A$152,0))+INDEX('Scoring Method'!$B$156:$B$160,MATCH(AQ323,'Scoring Method'!$A$156:$A$160,0))+INDEX('Scoring Method'!$B$164:$B$169,MATCH(AO323,'Scoring Method'!$A$164:$A$169,0))+INDEX('Scoring Method'!$B$173:$B$178,MATCH(AX323,'Scoring Method'!$A$173:$A$178,0))+INDEX('Scoring Method'!$B$349:$B$353,MATCH(X323,'Scoring Method'!$A$349:$A$353,0))+INDEX('Scoring Method'!$B$188:$B$190,MATCH(P323,'Scoring Method'!$A$188:$A$190,0)),1)</f>
        <v/>
      </c>
      <c r="AZ323" s="96">
        <f>AY323*U323/100</f>
        <v/>
      </c>
      <c r="BA323" s="92" t="inlineStr">
        <is>
          <t>Owner-occupied operator</t>
        </is>
      </c>
      <c r="BB323" s="94" t="n">
        <v>0.8</v>
      </c>
      <c r="BC323" s="102" t="inlineStr">
        <is>
          <t>Large 0.75-1.25 AC</t>
        </is>
      </c>
      <c r="BD323" s="94" t="n">
        <v>0.9</v>
      </c>
      <c r="BE323" s="96">
        <f>ROUND(INDEX('Scoring Method'!$B$268:$B$276,MATCH(AE323,'Scoring Method'!$A$268:$A$276,0))+INDEX('Scoring Method'!$B$280:$B$288,MATCH(AP323,'Scoring Method'!$A$280:$A$288,0))+INDEX('Scoring Method'!$B$292:$B$296,MATCH(AQ323,'Scoring Method'!$A$292:$A$296,0))+INDEX('Scoring Method'!$B$300:$B$305,MATCH(AO323,'Scoring Method'!$A$300:$A$305,0))+INDEX('Scoring Method'!$B$309:$B$314,MATCH(AX323,'Scoring Method'!$A$309:$A$314,0))+INDEX('Scoring Method'!$B$337:$B$341,MATCH(X323,'Scoring Method'!$A$337:$A$341,0))+INDEX('Scoring Method'!$B$324:$B$326,MATCH(P323,'Scoring Method'!$A$324:$A$326,0)),1)</f>
        <v/>
      </c>
      <c r="BF323" s="96">
        <f>ROUND(INDEX('Scoring Method'!$B$268:$B$276,MATCH(AE323,'Scoring Method'!$A$268:$A$276,0))*BB323*BD323+INDEX('Scoring Method'!$B$280:$B$288,MATCH(AP323,'Scoring Method'!$A$280:$A$288,0))*BM323*BB323*BD323+INDEX('Scoring Method'!$B$292:$B$296,MATCH(AQ323,'Scoring Method'!$A$292:$A$296,0))*BD323+INDEX('Scoring Method'!$B$300:$B$305,MATCH(AO323,'Scoring Method'!$A$300:$A$305,0))*BM323*BB323+INDEX('Scoring Method'!$B$309:$B$314,MATCH(AX323,'Scoring Method'!$A$309:$A$314,0))+INDEX('Scoring Method'!$B$337:$B$341,MATCH(X323,'Scoring Method'!$A$337:$A$341,0))+INDEX('Scoring Method'!$B$324:$B$326,MATCH(P323,'Scoring Method'!$A$324:$A$326,0)),1)</f>
        <v/>
      </c>
      <c r="BG323" s="92" t="inlineStr">
        <is>
          <t>Fits (~$10,769/mo)</t>
        </is>
      </c>
      <c r="BH323" s="61" t="inlineStr">
        <is>
          <t>AUC</t>
        </is>
      </c>
      <c r="BI323" s="61" t="inlineStr">
        <is>
          <t>Auto-Urban Commercial</t>
        </is>
      </c>
      <c r="BJ323" s="61" t="inlineStr"/>
      <c r="BK323" s="61" t="inlineStr"/>
      <c r="BL323" s="61" t="inlineStr">
        <is>
          <t>Bar permitted</t>
        </is>
      </c>
      <c r="BM323" s="61">
        <f>INDEX('Scoring Method'!$B$358:$B$363,MATCH(BL323,'Scoring Method'!$A$358:$A$363,0))</f>
        <v/>
      </c>
    </row>
    <row r="324" ht="15" customHeight="1" s="62">
      <c r="A324" s="92" t="n">
        <v>323</v>
      </c>
      <c r="B324" s="92" t="inlineStr">
        <is>
          <t>055-13-02-014.00</t>
        </is>
      </c>
      <c r="C324" s="92" t="inlineStr">
        <is>
          <t>1550 RUSSELL ST</t>
        </is>
      </c>
      <c r="D324" s="92" t="inlineStr">
        <is>
          <t>FEDDERS J H INC</t>
        </is>
      </c>
      <c r="E324" s="92" t="inlineStr">
        <is>
          <t>1550 RUSSELL ST</t>
        </is>
      </c>
      <c r="F324" s="92" t="inlineStr">
        <is>
          <t>COVINGTON</t>
        </is>
      </c>
      <c r="G324" s="92" t="inlineStr">
        <is>
          <t>KY</t>
        </is>
      </c>
      <c r="H324" s="92" t="inlineStr">
        <is>
          <t>OTHER RETAIL</t>
        </is>
      </c>
      <c r="I324" s="93" t="n">
        <v>58659</v>
      </c>
      <c r="J324" s="94">
        <f>I324/43560</f>
        <v/>
      </c>
      <c r="K324" s="93" t="n">
        <v>1049.9</v>
      </c>
      <c r="L324" s="95">
        <f>I324/(K324^2)</f>
        <v/>
      </c>
      <c r="M324" s="92" t="inlineStr">
        <is>
          <t>Marginal 10-14k/45-60k</t>
        </is>
      </c>
      <c r="N324" s="92" t="inlineStr">
        <is>
          <t>C</t>
        </is>
      </c>
      <c r="O324" s="92" t="inlineStr">
        <is>
          <t>Regular .045-.055</t>
        </is>
      </c>
      <c r="P324" s="92" t="inlineStr">
        <is>
          <t>Low</t>
        </is>
      </c>
      <c r="Q324" s="92" t="inlineStr">
        <is>
          <t>Owner-occupied</t>
        </is>
      </c>
      <c r="R324" s="92" t="inlineStr">
        <is>
          <t>Operating entity</t>
        </is>
      </c>
      <c r="S324" s="92" t="n">
        <v>1</v>
      </c>
      <c r="T324" s="96">
        <f>INDEX('Scoring Method'!$B$6:$B$9,MATCH(M324,'Scoring Method'!$A$6:$A$9,0))+INDEX('Scoring Method'!$B$12:$B$16,MATCH(N324,'Scoring Method'!$A$12:$A$16,0))+INDEX('Scoring Method'!$B$19:$B$22,MATCH(O324,'Scoring Method'!$A$19:$A$22,0))+INDEX('Scoring Method'!$B$25:$B$27,MATCH(P324,'Scoring Method'!$A$25:$A$27,0))</f>
        <v/>
      </c>
      <c r="U324" s="96">
        <f>(INDEX('Scoring Method'!$B$30:$B$33,MATCH(Q324,'Scoring Method'!$A$30:$A$33,0))+INDEX('Scoring Method'!$B$36:$B$42,MATCH(R324,'Scoring Method'!$A$36:$A$42,0))+INDEX('Scoring Method'!$B$45:$B$47,MATCH(IF(S324=1,"1",IF(S324=2,"2","3+")),'Scoring Method'!$A$45:$A$47,0)))/90*100</f>
        <v/>
      </c>
      <c r="V324" s="96">
        <f>T324*U324/100</f>
        <v/>
      </c>
      <c r="W324" s="93" t="n">
        <v>11098</v>
      </c>
      <c r="X324" s="92" t="inlineStr">
        <is>
          <t>X (minimal hazard)</t>
        </is>
      </c>
      <c r="Y324" s="93" t="n">
        <v>38975</v>
      </c>
      <c r="Z324" s="97" t="n"/>
      <c r="AA324" s="98">
        <f>MAX(0,(Y324-5000)/300)</f>
        <v/>
      </c>
      <c r="AB324" s="92" t="n"/>
      <c r="AC324" s="92" t="n"/>
      <c r="AD324" s="92" t="n"/>
      <c r="AE324" s="92" t="inlineStr">
        <is>
          <t>Oversize 6-12k</t>
        </is>
      </c>
      <c r="AF324" s="96">
        <f>INDEX('Scoring Method'!$B$63:$B$71,MATCH(AE324,'Scoring Method'!$A$63:$A$71,0))+INDEX('Scoring Method'!$B$75:$B$79,MATCH("Ample &gt;=15k",'Scoring Method'!$A$75:$A$79,0))+INDEX('Scoring Method'!$B$343:$B$347,MATCH(X324,'Scoring Method'!$A$343:$A$347,0))+INDEX('Scoring Method'!$B$25:$B$27,MATCH(P324,'Scoring Method'!$A$25:$A$27,0))</f>
        <v/>
      </c>
      <c r="AG324" s="96">
        <f>AF324*U324/100</f>
        <v/>
      </c>
      <c r="AH324" s="92" t="inlineStr">
        <is>
          <t>LINK-GIS + LoopNet (2026-08-03)</t>
        </is>
      </c>
      <c r="AI324" s="99" t="n">
        <v>39.07154</v>
      </c>
      <c r="AJ324" s="99" t="n">
        <v>-84.50962</v>
      </c>
      <c r="AK324" s="94" t="n">
        <v>0.99</v>
      </c>
      <c r="AL324" s="94" t="n">
        <v>1.34</v>
      </c>
      <c r="AM324" s="94" t="n">
        <v>2.08</v>
      </c>
      <c r="AN324" s="94" t="n">
        <v>0.86</v>
      </c>
      <c r="AO324" s="92" t="inlineStr">
        <is>
          <t>Fringe 0.75-1.25mi</t>
        </is>
      </c>
      <c r="AP324" s="92" t="inlineStr">
        <is>
          <t>Retail shell</t>
        </is>
      </c>
      <c r="AQ324" s="92" t="inlineStr">
        <is>
          <t>Ample &gt;=15k</t>
        </is>
      </c>
      <c r="AR324" s="100" t="n"/>
      <c r="AS324" s="96">
        <f>ROUND(INDEX('Scoring Method'!$B$63:$B$70,MATCH(AE324,'Scoring Method'!$A$63:$A$70,0))*0.625+INDEX('Scoring Method'!$B$105:$B$113,MATCH(AP324,'Scoring Method'!$A$105:$A$113,0))+INDEX('Scoring Method'!$B$74:$B$78,MATCH(AQ324,'Scoring Method'!$A$74:$A$78,0))*0.6667+INDEX('Scoring Method'!$B$96:$B$101,MATCH(AO324,'Scoring Method'!$A$96:$A$101,0))+INDEX('Scoring Method'!$B$343:$B$347,MATCH(X324,'Scoring Method'!$A$343:$A$347,0))*0.3333+INDEX('Scoring Method'!$B$25:$B$27,MATCH(P324,'Scoring Method'!$A$25:$A$27,0))*0.3333,1)</f>
        <v/>
      </c>
      <c r="AT324" s="96">
        <f>AS324*U324/100</f>
        <v/>
      </c>
      <c r="AU324" s="92" t="inlineStr">
        <is>
          <t>Eastside</t>
        </is>
      </c>
      <c r="AV324" s="92" t="n">
        <v>28</v>
      </c>
      <c r="AW324" s="101" t="inlineStr">
        <is>
          <t>ESTIMATED</t>
        </is>
      </c>
      <c r="AX324" s="92" t="inlineStr">
        <is>
          <t>High &lt;35</t>
        </is>
      </c>
      <c r="AY324" s="96">
        <f>ROUND(INDEX('Scoring Method'!$B$132:$B$140,MATCH(AE324,'Scoring Method'!$A$132:$A$140,0))+INDEX('Scoring Method'!$B$144:$B$152,MATCH(AP324,'Scoring Method'!$A$144:$A$152,0))+INDEX('Scoring Method'!$B$156:$B$160,MATCH(AQ324,'Scoring Method'!$A$156:$A$160,0))+INDEX('Scoring Method'!$B$164:$B$169,MATCH(AO324,'Scoring Method'!$A$164:$A$169,0))+INDEX('Scoring Method'!$B$173:$B$178,MATCH(AX324,'Scoring Method'!$A$173:$A$178,0))+INDEX('Scoring Method'!$B$349:$B$353,MATCH(X324,'Scoring Method'!$A$349:$A$353,0))+INDEX('Scoring Method'!$B$188:$B$190,MATCH(P324,'Scoring Method'!$A$188:$A$190,0)),1)</f>
        <v/>
      </c>
      <c r="AZ324" s="96">
        <f>AY324*U324/100</f>
        <v/>
      </c>
      <c r="BA324" s="92" t="inlineStr">
        <is>
          <t>Owner-occupied operator</t>
        </is>
      </c>
      <c r="BB324" s="94" t="n">
        <v>0.8</v>
      </c>
      <c r="BC324" s="103" t="inlineStr">
        <is>
          <t>Oversized &gt;1.25 AC</t>
        </is>
      </c>
      <c r="BD324" s="94" t="n">
        <v>0.65</v>
      </c>
      <c r="BE324" s="96">
        <f>ROUND(INDEX('Scoring Method'!$B$268:$B$276,MATCH(AE324,'Scoring Method'!$A$268:$A$276,0))+INDEX('Scoring Method'!$B$280:$B$288,MATCH(AP324,'Scoring Method'!$A$280:$A$288,0))+INDEX('Scoring Method'!$B$292:$B$296,MATCH(AQ324,'Scoring Method'!$A$292:$A$296,0))+INDEX('Scoring Method'!$B$300:$B$305,MATCH(AO324,'Scoring Method'!$A$300:$A$305,0))+INDEX('Scoring Method'!$B$309:$B$314,MATCH(AX324,'Scoring Method'!$A$309:$A$314,0))+INDEX('Scoring Method'!$B$337:$B$341,MATCH(X324,'Scoring Method'!$A$337:$A$341,0))+INDEX('Scoring Method'!$B$324:$B$326,MATCH(P324,'Scoring Method'!$A$324:$A$326,0)),1)</f>
        <v/>
      </c>
      <c r="BF324" s="96">
        <f>ROUND(INDEX('Scoring Method'!$B$268:$B$276,MATCH(AE324,'Scoring Method'!$A$268:$A$276,0))*BB324*BD324+INDEX('Scoring Method'!$B$280:$B$288,MATCH(AP324,'Scoring Method'!$A$280:$A$288,0))*BM324*BB324*BD324+INDEX('Scoring Method'!$B$292:$B$296,MATCH(AQ324,'Scoring Method'!$A$292:$A$296,0))*BD324+INDEX('Scoring Method'!$B$300:$B$305,MATCH(AO324,'Scoring Method'!$A$300:$A$305,0))*BM324*BB324+INDEX('Scoring Method'!$B$309:$B$314,MATCH(AX324,'Scoring Method'!$A$309:$A$314,0))+INDEX('Scoring Method'!$B$337:$B$341,MATCH(X324,'Scoring Method'!$A$337:$A$341,0))+INDEX('Scoring Method'!$B$324:$B$326,MATCH(P324,'Scoring Method'!$A$324:$A$326,0)),1)</f>
        <v/>
      </c>
      <c r="BG324" s="102" t="inlineStr">
        <is>
          <t>Fits (~$10,173/mo)</t>
        </is>
      </c>
      <c r="BH324" s="61" t="inlineStr">
        <is>
          <t>LI</t>
        </is>
      </c>
      <c r="BI324" s="61" t="inlineStr">
        <is>
          <t>Limited Industrial</t>
        </is>
      </c>
      <c r="BJ324" s="61" t="inlineStr"/>
      <c r="BK324" s="61" t="inlineStr"/>
      <c r="BL324" s="61" t="inlineStr">
        <is>
          <t>Bar prohibited, alt-path</t>
        </is>
      </c>
      <c r="BM324" s="61">
        <f>INDEX('Scoring Method'!$B$358:$B$363,MATCH(BL324,'Scoring Method'!$A$358:$A$363,0))</f>
        <v/>
      </c>
    </row>
    <row r="325" ht="15" customHeight="1" s="62">
      <c r="A325" s="92" t="n">
        <v>324</v>
      </c>
      <c r="B325" s="92" t="inlineStr">
        <is>
          <t>044-20-00-038.00</t>
        </is>
      </c>
      <c r="C325" s="92" t="inlineStr">
        <is>
          <t>4051 OLD MADISON PIKE</t>
        </is>
      </c>
      <c r="D325" s="92" t="inlineStr">
        <is>
          <t>R &amp; D ASSOCIATES INC</t>
        </is>
      </c>
      <c r="E325" s="92" t="inlineStr">
        <is>
          <t>4051 OLD MADISON PK</t>
        </is>
      </c>
      <c r="F325" s="92" t="inlineStr">
        <is>
          <t>COVINGTON</t>
        </is>
      </c>
      <c r="G325" s="92" t="inlineStr">
        <is>
          <t>KY</t>
        </is>
      </c>
      <c r="H325" s="92" t="inlineStr">
        <is>
          <t>COMM WITH RESIDENTIAL STRUCTURE</t>
        </is>
      </c>
      <c r="I325" s="93" t="n">
        <v>68587</v>
      </c>
      <c r="J325" s="94">
        <f>I325/43560</f>
        <v/>
      </c>
      <c r="K325" s="93" t="n">
        <v>1098</v>
      </c>
      <c r="L325" s="95">
        <f>I325/(K325^2)</f>
        <v/>
      </c>
      <c r="M325" s="92" t="inlineStr">
        <is>
          <t>Poor &lt;10k/&gt;60k</t>
        </is>
      </c>
      <c r="N325" s="92" t="inlineStr">
        <is>
          <t>C</t>
        </is>
      </c>
      <c r="O325" s="92" t="inlineStr">
        <is>
          <t>Compact &gt;=.055</t>
        </is>
      </c>
      <c r="P325" s="92" t="inlineStr">
        <is>
          <t>Low</t>
        </is>
      </c>
      <c r="Q325" s="92" t="inlineStr">
        <is>
          <t>Owner-occupied</t>
        </is>
      </c>
      <c r="R325" s="92" t="inlineStr">
        <is>
          <t>Operating entity</t>
        </is>
      </c>
      <c r="S325" s="92" t="n">
        <v>1</v>
      </c>
      <c r="T325" s="96">
        <f>INDEX('Scoring Method'!$B$6:$B$9,MATCH(M325,'Scoring Method'!$A$6:$A$9,0))+INDEX('Scoring Method'!$B$12:$B$16,MATCH(N325,'Scoring Method'!$A$12:$A$16,0))+INDEX('Scoring Method'!$B$19:$B$22,MATCH(O325,'Scoring Method'!$A$19:$A$22,0))+INDEX('Scoring Method'!$B$25:$B$27,MATCH(P325,'Scoring Method'!$A$25:$A$27,0))</f>
        <v/>
      </c>
      <c r="U325" s="96">
        <f>(INDEX('Scoring Method'!$B$30:$B$33,MATCH(Q325,'Scoring Method'!$A$30:$A$33,0))+INDEX('Scoring Method'!$B$36:$B$42,MATCH(R325,'Scoring Method'!$A$36:$A$42,0))+INDEX('Scoring Method'!$B$45:$B$47,MATCH(IF(S325=1,"1",IF(S325=2,"2","3+")),'Scoring Method'!$A$45:$A$47,0)))/90*100</f>
        <v/>
      </c>
      <c r="V325" s="96">
        <f>T325*U325/100</f>
        <v/>
      </c>
      <c r="W325" s="93" t="n">
        <v>1754</v>
      </c>
      <c r="X325" s="92" t="inlineStr">
        <is>
          <t>X (minimal hazard)</t>
        </is>
      </c>
      <c r="Y325" s="93" t="n">
        <v>60825</v>
      </c>
      <c r="Z325" s="97">
        <f>W325/I325</f>
        <v/>
      </c>
      <c r="AA325" s="98">
        <f>MAX(0,(Y325-5000)/300)</f>
        <v/>
      </c>
      <c r="AB325" s="92" t="n"/>
      <c r="AC325" s="92" t="n">
        <v>1.56</v>
      </c>
      <c r="AD325" s="92" t="inlineStr">
        <is>
          <t>ok</t>
        </is>
      </c>
      <c r="AE325" s="92" t="inlineStr">
        <is>
          <t>Target 1.5-2.5k</t>
        </is>
      </c>
      <c r="AF325" s="96">
        <f>INDEX('Scoring Method'!$B$63:$B$71,MATCH(AE325,'Scoring Method'!$A$63:$A$71,0))+INDEX('Scoring Method'!$B$75:$B$79,MATCH("Ample &gt;=15k",'Scoring Method'!$A$75:$A$79,0))+INDEX('Scoring Method'!$B$343:$B$347,MATCH(X325,'Scoring Method'!$A$343:$A$347,0))+INDEX('Scoring Method'!$B$25:$B$27,MATCH(P325,'Scoring Method'!$A$25:$A$27,0))</f>
        <v/>
      </c>
      <c r="AG325" s="96">
        <f>AF325*U325/100</f>
        <v/>
      </c>
      <c r="AH325" s="92" t="inlineStr">
        <is>
          <t>LINK-GIS + LoopNet</t>
        </is>
      </c>
      <c r="AI325" s="99" t="n">
        <v>38.9969</v>
      </c>
      <c r="AJ325" s="99" t="n">
        <v>-84.53797</v>
      </c>
      <c r="AK325" s="94" t="n">
        <v>6.14</v>
      </c>
      <c r="AL325" s="94" t="n">
        <v>6.68</v>
      </c>
      <c r="AM325" s="94" t="n">
        <v>7.36</v>
      </c>
      <c r="AN325" s="94" t="n">
        <v>6.14</v>
      </c>
      <c r="AO325" s="92" t="inlineStr">
        <is>
          <t>Remote &gt;3mi</t>
        </is>
      </c>
      <c r="AP325" s="92" t="inlineStr">
        <is>
          <t>Cellular</t>
        </is>
      </c>
      <c r="AQ325" s="92" t="inlineStr">
        <is>
          <t>Ample &gt;=15k</t>
        </is>
      </c>
      <c r="AR325" s="100" t="n"/>
      <c r="AS325" s="96">
        <f>ROUND(INDEX('Scoring Method'!$B$63:$B$70,MATCH(AE325,'Scoring Method'!$A$63:$A$70,0))*0.625+INDEX('Scoring Method'!$B$105:$B$113,MATCH(AP325,'Scoring Method'!$A$105:$A$113,0))+INDEX('Scoring Method'!$B$74:$B$78,MATCH(AQ325,'Scoring Method'!$A$74:$A$78,0))*0.6667+INDEX('Scoring Method'!$B$96:$B$101,MATCH(AO325,'Scoring Method'!$A$96:$A$101,0))+INDEX('Scoring Method'!$B$343:$B$347,MATCH(X325,'Scoring Method'!$A$343:$A$347,0))*0.3333+INDEX('Scoring Method'!$B$25:$B$27,MATCH(P325,'Scoring Method'!$A$25:$A$27,0))*0.3333,1)</f>
        <v/>
      </c>
      <c r="AT325" s="96">
        <f>AS325*U325/100</f>
        <v/>
      </c>
      <c r="AU325" s="92" t="inlineStr">
        <is>
          <t>South Covington</t>
        </is>
      </c>
      <c r="AV325" s="92" t="n">
        <v>88</v>
      </c>
      <c r="AW325" s="92" t="inlineStr">
        <is>
          <t>Sourced</t>
        </is>
      </c>
      <c r="AX325" s="92" t="inlineStr">
        <is>
          <t>Very safe 80+</t>
        </is>
      </c>
      <c r="AY325" s="96">
        <f>ROUND(INDEX('Scoring Method'!$B$132:$B$140,MATCH(AE325,'Scoring Method'!$A$132:$A$140,0))+INDEX('Scoring Method'!$B$144:$B$152,MATCH(AP325,'Scoring Method'!$A$144:$A$152,0))+INDEX('Scoring Method'!$B$156:$B$160,MATCH(AQ325,'Scoring Method'!$A$156:$A$160,0))+INDEX('Scoring Method'!$B$164:$B$169,MATCH(AO325,'Scoring Method'!$A$164:$A$169,0))+INDEX('Scoring Method'!$B$173:$B$178,MATCH(AX325,'Scoring Method'!$A$173:$A$178,0))+INDEX('Scoring Method'!$B$349:$B$353,MATCH(X325,'Scoring Method'!$A$349:$A$353,0))+INDEX('Scoring Method'!$B$188:$B$190,MATCH(P325,'Scoring Method'!$A$188:$A$190,0)),1)</f>
        <v/>
      </c>
      <c r="AZ325" s="96">
        <f>AY325*U325/100</f>
        <v/>
      </c>
      <c r="BA325" s="92" t="inlineStr">
        <is>
          <t>Owner-occupied operator</t>
        </is>
      </c>
      <c r="BB325" s="94" t="n">
        <v>0.8</v>
      </c>
      <c r="BC325" s="103" t="inlineStr">
        <is>
          <t>Oversized &gt;1.25 AC</t>
        </is>
      </c>
      <c r="BD325" s="94" t="n">
        <v>0.65</v>
      </c>
      <c r="BE325" s="96">
        <f>ROUND(INDEX('Scoring Method'!$B$268:$B$276,MATCH(AE325,'Scoring Method'!$A$268:$A$276,0))+INDEX('Scoring Method'!$B$280:$B$288,MATCH(AP325,'Scoring Method'!$A$280:$A$288,0))+INDEX('Scoring Method'!$B$292:$B$296,MATCH(AQ325,'Scoring Method'!$A$292:$A$296,0))+INDEX('Scoring Method'!$B$300:$B$305,MATCH(AO325,'Scoring Method'!$A$300:$A$305,0))+INDEX('Scoring Method'!$B$309:$B$314,MATCH(AX325,'Scoring Method'!$A$309:$A$314,0))+INDEX('Scoring Method'!$B$337:$B$341,MATCH(X325,'Scoring Method'!$A$337:$A$341,0))+INDEX('Scoring Method'!$B$324:$B$326,MATCH(P325,'Scoring Method'!$A$324:$A$326,0)),1)</f>
        <v/>
      </c>
      <c r="BF325" s="96">
        <f>ROUND(INDEX('Scoring Method'!$B$268:$B$276,MATCH(AE325,'Scoring Method'!$A$268:$A$276,0))*BB325*BD325+INDEX('Scoring Method'!$B$280:$B$288,MATCH(AP325,'Scoring Method'!$A$280:$A$288,0))*BM325*BB325*BD325+INDEX('Scoring Method'!$B$292:$B$296,MATCH(AQ325,'Scoring Method'!$A$292:$A$296,0))*BD325+INDEX('Scoring Method'!$B$300:$B$305,MATCH(AO325,'Scoring Method'!$A$300:$A$305,0))*BM325*BB325+INDEX('Scoring Method'!$B$309:$B$314,MATCH(AX325,'Scoring Method'!$A$309:$A$314,0))+INDEX('Scoring Method'!$B$337:$B$341,MATCH(X325,'Scoring Method'!$A$337:$A$341,0))+INDEX('Scoring Method'!$B$324:$B$326,MATCH(P325,'Scoring Method'!$A$324:$A$326,0)),1)</f>
        <v/>
      </c>
      <c r="BG325" s="92" t="inlineStr">
        <is>
          <t>Fits (~$1,608/mo)</t>
        </is>
      </c>
      <c r="BH325" s="61" t="inlineStr">
        <is>
          <t>SR</t>
        </is>
      </c>
      <c r="BI325" s="61" t="inlineStr">
        <is>
          <t>Suburban Residential</t>
        </is>
      </c>
      <c r="BJ325" s="61" t="inlineStr"/>
      <c r="BK325" s="61" t="inlineStr"/>
      <c r="BL325" s="61" t="inlineStr">
        <is>
          <t>No path</t>
        </is>
      </c>
      <c r="BM325" s="61">
        <f>INDEX('Scoring Method'!$B$358:$B$363,MATCH(BL325,'Scoring Method'!$A$358:$A$363,0))</f>
        <v/>
      </c>
    </row>
    <row r="326" ht="15" customHeight="1" s="62">
      <c r="A326" s="92" t="n">
        <v>325</v>
      </c>
      <c r="B326" s="92" t="inlineStr">
        <is>
          <t>055-12-20-017.00</t>
        </is>
      </c>
      <c r="C326" s="92" t="inlineStr">
        <is>
          <t>1847 HOLMAN ST</t>
        </is>
      </c>
      <c r="D326" s="92" t="inlineStr">
        <is>
          <t>PADA INC</t>
        </is>
      </c>
      <c r="E326" s="92" t="inlineStr">
        <is>
          <t>1847 HOLMAN AVE</t>
        </is>
      </c>
      <c r="F326" s="92" t="inlineStr">
        <is>
          <t>COVINGTON</t>
        </is>
      </c>
      <c r="G326" s="92" t="inlineStr">
        <is>
          <t>KY</t>
        </is>
      </c>
      <c r="H326" s="92" t="inlineStr">
        <is>
          <t>RETAIL W/APARTMENTS</t>
        </is>
      </c>
      <c r="I326" s="93" t="n">
        <v>18360</v>
      </c>
      <c r="J326" s="94">
        <f>I326/43560</f>
        <v/>
      </c>
      <c r="K326" s="93" t="n">
        <v>826</v>
      </c>
      <c r="L326" s="95">
        <f>I326/(K326^2)</f>
        <v/>
      </c>
      <c r="M326" s="92" t="inlineStr">
        <is>
          <t>Ideal 18-32k</t>
        </is>
      </c>
      <c r="N326" s="92" t="inlineStr">
        <is>
          <t>E</t>
        </is>
      </c>
      <c r="O326" s="92" t="inlineStr">
        <is>
          <t>Irregular &lt;.035</t>
        </is>
      </c>
      <c r="P326" s="92" t="inlineStr">
        <is>
          <t>Low</t>
        </is>
      </c>
      <c r="Q326" s="92" t="inlineStr">
        <is>
          <t>Owner-occupied</t>
        </is>
      </c>
      <c r="R326" s="92" t="inlineStr">
        <is>
          <t>Operating entity</t>
        </is>
      </c>
      <c r="S326" s="92" t="n">
        <v>1</v>
      </c>
      <c r="T326" s="96">
        <f>INDEX('Scoring Method'!$B$6:$B$9,MATCH(M326,'Scoring Method'!$A$6:$A$9,0))+INDEX('Scoring Method'!$B$12:$B$16,MATCH(N326,'Scoring Method'!$A$12:$A$16,0))+INDEX('Scoring Method'!$B$19:$B$22,MATCH(O326,'Scoring Method'!$A$19:$A$22,0))+INDEX('Scoring Method'!$B$25:$B$27,MATCH(P326,'Scoring Method'!$A$25:$A$27,0))</f>
        <v/>
      </c>
      <c r="U326" s="96">
        <f>(INDEX('Scoring Method'!$B$30:$B$33,MATCH(Q326,'Scoring Method'!$A$30:$A$33,0))+INDEX('Scoring Method'!$B$36:$B$42,MATCH(R326,'Scoring Method'!$A$36:$A$42,0))+INDEX('Scoring Method'!$B$45:$B$47,MATCH(IF(S326=1,"1",IF(S326=2,"2","3+")),'Scoring Method'!$A$45:$A$47,0)))/90*100</f>
        <v/>
      </c>
      <c r="V326" s="96">
        <f>T326*U326/100</f>
        <v/>
      </c>
      <c r="W326" s="93" t="n">
        <v>7522</v>
      </c>
      <c r="X326" s="92" t="inlineStr">
        <is>
          <t>X (minimal hazard)</t>
        </is>
      </c>
      <c r="Y326" s="93" t="n">
        <v>11500</v>
      </c>
      <c r="Z326" s="97" t="n"/>
      <c r="AA326" s="98">
        <f>MAX(0,(Y326-5000)/300)</f>
        <v/>
      </c>
      <c r="AB326" s="92" t="n"/>
      <c r="AC326" s="92" t="n"/>
      <c r="AD326" s="92" t="n"/>
      <c r="AE326" s="92" t="inlineStr">
        <is>
          <t>Oversize 6-12k</t>
        </is>
      </c>
      <c r="AF326" s="96">
        <f>INDEX('Scoring Method'!$B$63:$B$71,MATCH(AE326,'Scoring Method'!$A$63:$A$71,0))+INDEX('Scoring Method'!$B$75:$B$79,MATCH("Good 8-15k",'Scoring Method'!$A$75:$A$79,0))+INDEX('Scoring Method'!$B$343:$B$347,MATCH(X326,'Scoring Method'!$A$343:$A$347,0))+INDEX('Scoring Method'!$B$25:$B$27,MATCH(P326,'Scoring Method'!$A$25:$A$27,0))</f>
        <v/>
      </c>
      <c r="AG326" s="96">
        <f>AF326*U326/100</f>
        <v/>
      </c>
      <c r="AH326" s="92" t="inlineStr">
        <is>
          <t>LINK-GIS + LoopNet (2026-08-03)</t>
        </is>
      </c>
      <c r="AI326" s="99" t="n">
        <v>39.06643</v>
      </c>
      <c r="AJ326" s="99" t="n">
        <v>-84.51105</v>
      </c>
      <c r="AK326" s="94" t="n">
        <v>1.29</v>
      </c>
      <c r="AL326" s="94" t="n">
        <v>1.69</v>
      </c>
      <c r="AM326" s="94" t="n">
        <v>2.42</v>
      </c>
      <c r="AN326" s="94" t="n">
        <v>1.21</v>
      </c>
      <c r="AO326" s="92" t="inlineStr">
        <is>
          <t>Fringe 0.75-1.25mi</t>
        </is>
      </c>
      <c r="AP326" s="92" t="inlineStr">
        <is>
          <t>Cellular</t>
        </is>
      </c>
      <c r="AQ326" s="92" t="inlineStr">
        <is>
          <t>Good 8-15k</t>
        </is>
      </c>
      <c r="AR326" s="100" t="n"/>
      <c r="AS326" s="96">
        <f>ROUND(INDEX('Scoring Method'!$B$63:$B$70,MATCH(AE326,'Scoring Method'!$A$63:$A$70,0))*0.625+INDEX('Scoring Method'!$B$105:$B$113,MATCH(AP326,'Scoring Method'!$A$105:$A$113,0))+INDEX('Scoring Method'!$B$74:$B$78,MATCH(AQ326,'Scoring Method'!$A$74:$A$78,0))*0.6667+INDEX('Scoring Method'!$B$96:$B$101,MATCH(AO326,'Scoring Method'!$A$96:$A$101,0))+INDEX('Scoring Method'!$B$343:$B$347,MATCH(X326,'Scoring Method'!$A$343:$A$347,0))*0.3333+INDEX('Scoring Method'!$B$25:$B$27,MATCH(P326,'Scoring Method'!$A$25:$A$27,0))*0.3333,1)</f>
        <v/>
      </c>
      <c r="AT326" s="96">
        <f>AS326*U326/100</f>
        <v/>
      </c>
      <c r="AU326" s="92" t="inlineStr">
        <is>
          <t>Levassor Park</t>
        </is>
      </c>
      <c r="AV326" s="92" t="n">
        <v>42</v>
      </c>
      <c r="AW326" s="101" t="inlineStr">
        <is>
          <t>ESTIMATED</t>
        </is>
      </c>
      <c r="AX326" s="92" t="inlineStr">
        <is>
          <t>Elevated 35-44</t>
        </is>
      </c>
      <c r="AY326" s="96">
        <f>ROUND(INDEX('Scoring Method'!$B$132:$B$140,MATCH(AE326,'Scoring Method'!$A$132:$A$140,0))+INDEX('Scoring Method'!$B$144:$B$152,MATCH(AP326,'Scoring Method'!$A$144:$A$152,0))+INDEX('Scoring Method'!$B$156:$B$160,MATCH(AQ326,'Scoring Method'!$A$156:$A$160,0))+INDEX('Scoring Method'!$B$164:$B$169,MATCH(AO326,'Scoring Method'!$A$164:$A$169,0))+INDEX('Scoring Method'!$B$173:$B$178,MATCH(AX326,'Scoring Method'!$A$173:$A$178,0))+INDEX('Scoring Method'!$B$349:$B$353,MATCH(X326,'Scoring Method'!$A$349:$A$353,0))+INDEX('Scoring Method'!$B$188:$B$190,MATCH(P326,'Scoring Method'!$A$188:$A$190,0)),1)</f>
        <v/>
      </c>
      <c r="AZ326" s="96">
        <f>AY326*U326/100</f>
        <v/>
      </c>
      <c r="BA326" s="92" t="inlineStr">
        <is>
          <t>Owner-occupied operator</t>
        </is>
      </c>
      <c r="BB326" s="94" t="n">
        <v>0.8</v>
      </c>
      <c r="BC326" s="92" t="inlineStr">
        <is>
          <t>Right-sized 0.35-0.75 AC</t>
        </is>
      </c>
      <c r="BD326" s="94" t="n">
        <v>1</v>
      </c>
      <c r="BE326" s="96">
        <f>ROUND(INDEX('Scoring Method'!$B$268:$B$276,MATCH(AE326,'Scoring Method'!$A$268:$A$276,0))+INDEX('Scoring Method'!$B$280:$B$288,MATCH(AP326,'Scoring Method'!$A$280:$A$288,0))+INDEX('Scoring Method'!$B$292:$B$296,MATCH(AQ326,'Scoring Method'!$A$292:$A$296,0))+INDEX('Scoring Method'!$B$300:$B$305,MATCH(AO326,'Scoring Method'!$A$300:$A$305,0))+INDEX('Scoring Method'!$B$309:$B$314,MATCH(AX326,'Scoring Method'!$A$309:$A$314,0))+INDEX('Scoring Method'!$B$337:$B$341,MATCH(X326,'Scoring Method'!$A$337:$A$341,0))+INDEX('Scoring Method'!$B$324:$B$326,MATCH(P326,'Scoring Method'!$A$324:$A$326,0)),1)</f>
        <v/>
      </c>
      <c r="BF326" s="96">
        <f>ROUND(INDEX('Scoring Method'!$B$268:$B$276,MATCH(AE326,'Scoring Method'!$A$268:$A$276,0))*BB326*BD326+INDEX('Scoring Method'!$B$280:$B$288,MATCH(AP326,'Scoring Method'!$A$280:$A$288,0))*BM326*BB326*BD326+INDEX('Scoring Method'!$B$292:$B$296,MATCH(AQ326,'Scoring Method'!$A$292:$A$296,0))*BD326+INDEX('Scoring Method'!$B$300:$B$305,MATCH(AO326,'Scoring Method'!$A$300:$A$305,0))*BM326*BB326+INDEX('Scoring Method'!$B$309:$B$314,MATCH(AX326,'Scoring Method'!$A$309:$A$314,0))+INDEX('Scoring Method'!$B$337:$B$341,MATCH(X326,'Scoring Method'!$A$337:$A$341,0))+INDEX('Scoring Method'!$B$324:$B$326,MATCH(P326,'Scoring Method'!$A$324:$A$326,0)),1)</f>
        <v/>
      </c>
      <c r="BG326" s="92" t="inlineStr">
        <is>
          <t>Fits (~$6,895/mo)</t>
        </is>
      </c>
      <c r="BH326" s="61" t="inlineStr">
        <is>
          <t>SU</t>
        </is>
      </c>
      <c r="BI326" s="61" t="inlineStr">
        <is>
          <t>Semi-Urban Residential</t>
        </is>
      </c>
      <c r="BJ326" s="61" t="inlineStr"/>
      <c r="BK326" s="61" t="inlineStr"/>
      <c r="BL326" s="61" t="inlineStr">
        <is>
          <t>SU corner unverified</t>
        </is>
      </c>
      <c r="BM326" s="61">
        <f>INDEX('Scoring Method'!$B$358:$B$363,MATCH(BL326,'Scoring Method'!$A$358:$A$363,0))</f>
        <v/>
      </c>
    </row>
    <row r="327" ht="15" customHeight="1" s="62">
      <c r="A327" s="92" t="n">
        <v>326</v>
      </c>
      <c r="B327" s="92" t="inlineStr">
        <is>
          <t>054-21-24-004.00</t>
        </is>
      </c>
      <c r="C327" s="92" t="inlineStr">
        <is>
          <t>12 W 8TH ST</t>
        </is>
      </c>
      <c r="D327" s="92" t="inlineStr">
        <is>
          <t>NORTHERN KENTUCKY COMMUNITY</t>
        </is>
      </c>
      <c r="E327" s="92" t="inlineStr">
        <is>
          <t>717 MADISON AVE</t>
        </is>
      </c>
      <c r="F327" s="92" t="inlineStr">
        <is>
          <t>COVINGTON</t>
        </is>
      </c>
      <c r="G327" s="92" t="inlineStr">
        <is>
          <t>KY</t>
        </is>
      </c>
      <c r="H327" s="92" t="inlineStr">
        <is>
          <t>PAVED LOT</t>
        </is>
      </c>
      <c r="I327" s="93" t="n">
        <v>9749</v>
      </c>
      <c r="J327" s="94">
        <f>I327/43560</f>
        <v/>
      </c>
      <c r="K327" s="93" t="n">
        <v>490</v>
      </c>
      <c r="L327" s="95">
        <f>I327/(K327^2)</f>
        <v/>
      </c>
      <c r="M327" s="92" t="inlineStr">
        <is>
          <t>Poor &lt;10k/&gt;60k</t>
        </is>
      </c>
      <c r="N327" s="92" t="inlineStr">
        <is>
          <t>D</t>
        </is>
      </c>
      <c r="O327" s="92" t="inlineStr">
        <is>
          <t>Elongated .035-.045</t>
        </is>
      </c>
      <c r="P327" s="92" t="inlineStr">
        <is>
          <t>Low</t>
        </is>
      </c>
      <c r="Q327" s="92" t="inlineStr">
        <is>
          <t>Local absentee</t>
        </is>
      </c>
      <c r="R327" s="92" t="inlineStr">
        <is>
          <t>Nonprofit/Inst</t>
        </is>
      </c>
      <c r="S327" s="92" t="n">
        <v>1</v>
      </c>
      <c r="T327" s="96">
        <f>INDEX('Scoring Method'!$B$6:$B$9,MATCH(M327,'Scoring Method'!$A$6:$A$9,0))+INDEX('Scoring Method'!$B$12:$B$16,MATCH(N327,'Scoring Method'!$A$12:$A$16,0))+INDEX('Scoring Method'!$B$19:$B$22,MATCH(O327,'Scoring Method'!$A$19:$A$22,0))+INDEX('Scoring Method'!$B$25:$B$27,MATCH(P327,'Scoring Method'!$A$25:$A$27,0))</f>
        <v/>
      </c>
      <c r="U327" s="96">
        <f>(INDEX('Scoring Method'!$B$30:$B$33,MATCH(Q327,'Scoring Method'!$A$30:$A$33,0))+INDEX('Scoring Method'!$B$36:$B$42,MATCH(R327,'Scoring Method'!$A$36:$A$42,0))+INDEX('Scoring Method'!$B$45:$B$47,MATCH(IF(S327=1,"1",IF(S327=2,"2","3+")),'Scoring Method'!$A$45:$A$47,0)))/90*100</f>
        <v/>
      </c>
      <c r="V327" s="96">
        <f>T327*U327/100</f>
        <v/>
      </c>
      <c r="W327" s="93" t="n"/>
      <c r="X327" s="92" t="inlineStr">
        <is>
          <t>X (minimal hazard)</t>
        </is>
      </c>
      <c r="Y327" s="93" t="n">
        <v>9550</v>
      </c>
      <c r="Z327" s="97" t="n"/>
      <c r="AA327" s="98" t="n"/>
      <c r="AB327" s="92" t="n"/>
      <c r="AC327" s="92" t="n">
        <v>0.22</v>
      </c>
      <c r="AD327" s="92" t="inlineStr">
        <is>
          <t>ok</t>
        </is>
      </c>
      <c r="AE327" s="92" t="inlineStr">
        <is>
          <t>No building</t>
        </is>
      </c>
      <c r="AF327" s="96">
        <f>INDEX('Scoring Method'!$B$63:$B$71,MATCH(AE327,'Scoring Method'!$A$63:$A$71,0))+INDEX('Scoring Method'!$B$75:$B$79,MATCH("Good 8-15k",'Scoring Method'!$A$75:$A$79,0))+INDEX('Scoring Method'!$B$343:$B$347,MATCH(X327,'Scoring Method'!$A$343:$A$347,0))+INDEX('Scoring Method'!$B$25:$B$27,MATCH(P327,'Scoring Method'!$A$25:$A$27,0))</f>
        <v/>
      </c>
      <c r="AG327" s="96">
        <f>AF327*U327/100</f>
        <v/>
      </c>
      <c r="AH327" s="92" t="inlineStr">
        <is>
          <t>LINK-GIS + LoopNet</t>
        </is>
      </c>
      <c r="AI327" s="99" t="n">
        <v>39.08251</v>
      </c>
      <c r="AJ327" s="99" t="n">
        <v>-84.51054000000001</v>
      </c>
      <c r="AK327" s="94" t="n">
        <v>0.41</v>
      </c>
      <c r="AL327" s="94" t="n">
        <v>0.59</v>
      </c>
      <c r="AM327" s="94" t="n">
        <v>1.32</v>
      </c>
      <c r="AN327" s="94" t="n">
        <v>0.1</v>
      </c>
      <c r="AO327" s="92" t="inlineStr">
        <is>
          <t>Core &lt;=0.35mi</t>
        </is>
      </c>
      <c r="AP327" s="92" t="inlineStr">
        <is>
          <t>Lot / minimal bldg</t>
        </is>
      </c>
      <c r="AQ327" s="92" t="inlineStr">
        <is>
          <t>Good 8-15k</t>
        </is>
      </c>
      <c r="AR327" s="100" t="n"/>
      <c r="AS327" s="96">
        <f>ROUND(INDEX('Scoring Method'!$B$63:$B$70,MATCH(AE327,'Scoring Method'!$A$63:$A$70,0))*0.625+INDEX('Scoring Method'!$B$105:$B$113,MATCH(AP327,'Scoring Method'!$A$105:$A$113,0))+INDEX('Scoring Method'!$B$74:$B$78,MATCH(AQ327,'Scoring Method'!$A$74:$A$78,0))*0.6667+INDEX('Scoring Method'!$B$96:$B$101,MATCH(AO327,'Scoring Method'!$A$96:$A$101,0))+INDEX('Scoring Method'!$B$343:$B$347,MATCH(X327,'Scoring Method'!$A$343:$A$347,0))*0.3333+INDEX('Scoring Method'!$B$25:$B$27,MATCH(P327,'Scoring Method'!$A$25:$A$27,0))*0.3333,1)</f>
        <v/>
      </c>
      <c r="AT327" s="96">
        <f>AS327*U327/100</f>
        <v/>
      </c>
      <c r="AU327" s="92" t="inlineStr">
        <is>
          <t>Central Business District</t>
        </is>
      </c>
      <c r="AV327" s="92" t="n">
        <v>48</v>
      </c>
      <c r="AW327" s="101" t="inlineStr">
        <is>
          <t>ESTIMATED</t>
        </is>
      </c>
      <c r="AX327" s="92" t="inlineStr">
        <is>
          <t>Mixed 45-59</t>
        </is>
      </c>
      <c r="AY327" s="96">
        <f>ROUND(INDEX('Scoring Method'!$B$132:$B$140,MATCH(AE327,'Scoring Method'!$A$132:$A$140,0))+INDEX('Scoring Method'!$B$144:$B$152,MATCH(AP327,'Scoring Method'!$A$144:$A$152,0))+INDEX('Scoring Method'!$B$156:$B$160,MATCH(AQ327,'Scoring Method'!$A$156:$A$160,0))+INDEX('Scoring Method'!$B$164:$B$169,MATCH(AO327,'Scoring Method'!$A$164:$A$169,0))+INDEX('Scoring Method'!$B$173:$B$178,MATCH(AX327,'Scoring Method'!$A$173:$A$178,0))+INDEX('Scoring Method'!$B$349:$B$353,MATCH(X327,'Scoring Method'!$A$349:$A$353,0))+INDEX('Scoring Method'!$B$188:$B$190,MATCH(P327,'Scoring Method'!$A$188:$A$190,0)),1)</f>
        <v/>
      </c>
      <c r="AZ327" s="96">
        <f>AY327*U327/100</f>
        <v/>
      </c>
      <c r="BA327" s="92" t="inlineStr">
        <is>
          <t>No chain signal</t>
        </is>
      </c>
      <c r="BB327" s="94" t="n">
        <v>1</v>
      </c>
      <c r="BC327" s="103" t="inlineStr">
        <is>
          <t>Extra small 0.15-0.25 AC</t>
        </is>
      </c>
      <c r="BD327" s="94" t="n">
        <v>0.8</v>
      </c>
      <c r="BE327" s="96">
        <f>ROUND(INDEX('Scoring Method'!$B$268:$B$276,MATCH(AE327,'Scoring Method'!$A$268:$A$276,0))+INDEX('Scoring Method'!$B$280:$B$288,MATCH(AP327,'Scoring Method'!$A$280:$A$288,0))+INDEX('Scoring Method'!$B$292:$B$296,MATCH(AQ327,'Scoring Method'!$A$292:$A$296,0))+INDEX('Scoring Method'!$B$300:$B$305,MATCH(AO327,'Scoring Method'!$A$300:$A$305,0))+INDEX('Scoring Method'!$B$309:$B$314,MATCH(AX327,'Scoring Method'!$A$309:$A$314,0))+INDEX('Scoring Method'!$B$337:$B$341,MATCH(X327,'Scoring Method'!$A$337:$A$341,0))+INDEX('Scoring Method'!$B$324:$B$326,MATCH(P327,'Scoring Method'!$A$324:$A$326,0)),1)</f>
        <v/>
      </c>
      <c r="BF327" s="96">
        <f>ROUND(INDEX('Scoring Method'!$B$268:$B$276,MATCH(AE327,'Scoring Method'!$A$268:$A$276,0))*BB327*BD327+INDEX('Scoring Method'!$B$280:$B$288,MATCH(AP327,'Scoring Method'!$A$280:$A$288,0))*BM327*BB327*BD327+INDEX('Scoring Method'!$B$292:$B$296,MATCH(AQ327,'Scoring Method'!$A$292:$A$296,0))*BD327+INDEX('Scoring Method'!$B$300:$B$305,MATCH(AO327,'Scoring Method'!$A$300:$A$305,0))*BM327*BB327+INDEX('Scoring Method'!$B$309:$B$314,MATCH(AX327,'Scoring Method'!$A$309:$A$314,0))+INDEX('Scoring Method'!$B$337:$B$341,MATCH(X327,'Scoring Method'!$A$337:$A$341,0))+INDEX('Scoring Method'!$B$324:$B$326,MATCH(P327,'Scoring Method'!$A$324:$A$326,0)),1)</f>
        <v/>
      </c>
      <c r="BG327" s="92" t="n"/>
      <c r="BH327" s="61" t="inlineStr">
        <is>
          <t>DTC (HP)</t>
        </is>
      </c>
      <c r="BI327" s="61" t="inlineStr">
        <is>
          <t>Downtown Core</t>
        </is>
      </c>
      <c r="BJ327" s="61" t="inlineStr">
        <is>
          <t>HP</t>
        </is>
      </c>
      <c r="BK327" s="61" t="inlineStr"/>
      <c r="BL327" s="61" t="inlineStr">
        <is>
          <t>Bar permitted</t>
        </is>
      </c>
      <c r="BM327" s="61">
        <f>INDEX('Scoring Method'!$B$358:$B$363,MATCH(BL327,'Scoring Method'!$A$358:$A$363,0))</f>
        <v/>
      </c>
    </row>
    <row r="328" ht="15" customHeight="1" s="62">
      <c r="A328" s="92" t="n">
        <v>327</v>
      </c>
      <c r="B328" s="92" t="inlineStr">
        <is>
          <t>054-21-17-006.00</t>
        </is>
      </c>
      <c r="C328" s="92" t="inlineStr">
        <is>
          <t>411 MADISON AVE</t>
        </is>
      </c>
      <c r="D328" s="92" t="inlineStr">
        <is>
          <t>KENTUCKY LAW PROPERTIES LLC</t>
        </is>
      </c>
      <c r="E328" s="92" t="inlineStr">
        <is>
          <t>411 MADISON AVE</t>
        </is>
      </c>
      <c r="F328" s="92" t="inlineStr">
        <is>
          <t>COVINGTON</t>
        </is>
      </c>
      <c r="G328" s="92" t="inlineStr">
        <is>
          <t>KY</t>
        </is>
      </c>
      <c r="H328" s="92" t="inlineStr">
        <is>
          <t>OFFICE BLDG 1 OR 2 STORY</t>
        </is>
      </c>
      <c r="I328" s="93" t="n">
        <v>9025</v>
      </c>
      <c r="J328" s="94">
        <f>I328/43560</f>
        <v/>
      </c>
      <c r="K328" s="93" t="n">
        <v>475</v>
      </c>
      <c r="L328" s="95">
        <f>I328/(K328^2)</f>
        <v/>
      </c>
      <c r="M328" s="92" t="inlineStr">
        <is>
          <t>Poor &lt;10k/&gt;60k</t>
        </is>
      </c>
      <c r="N328" s="92" t="inlineStr">
        <is>
          <t>E</t>
        </is>
      </c>
      <c r="O328" s="92" t="inlineStr">
        <is>
          <t>Elongated .035-.045</t>
        </is>
      </c>
      <c r="P328" s="92" t="inlineStr">
        <is>
          <t>Low</t>
        </is>
      </c>
      <c r="Q328" s="92" t="inlineStr">
        <is>
          <t>Owner-occupied</t>
        </is>
      </c>
      <c r="R328" s="92" t="inlineStr">
        <is>
          <t>Passive vehicle</t>
        </is>
      </c>
      <c r="S328" s="92" t="n">
        <v>1</v>
      </c>
      <c r="T328" s="96">
        <f>INDEX('Scoring Method'!$B$6:$B$9,MATCH(M328,'Scoring Method'!$A$6:$A$9,0))+INDEX('Scoring Method'!$B$12:$B$16,MATCH(N328,'Scoring Method'!$A$12:$A$16,0))+INDEX('Scoring Method'!$B$19:$B$22,MATCH(O328,'Scoring Method'!$A$19:$A$22,0))+INDEX('Scoring Method'!$B$25:$B$27,MATCH(P328,'Scoring Method'!$A$25:$A$27,0))</f>
        <v/>
      </c>
      <c r="U328" s="96">
        <f>(INDEX('Scoring Method'!$B$30:$B$33,MATCH(Q328,'Scoring Method'!$A$30:$A$33,0))+INDEX('Scoring Method'!$B$36:$B$42,MATCH(R328,'Scoring Method'!$A$36:$A$42,0))+INDEX('Scoring Method'!$B$45:$B$47,MATCH(IF(S328=1,"1",IF(S328=2,"2","3+")),'Scoring Method'!$A$45:$A$47,0)))/90*100</f>
        <v/>
      </c>
      <c r="V328" s="96">
        <f>T328*U328/100</f>
        <v/>
      </c>
      <c r="W328" s="93" t="n">
        <v>2960</v>
      </c>
      <c r="X328" s="92" t="inlineStr">
        <is>
          <t>X (minimal hazard)</t>
        </is>
      </c>
      <c r="Y328" s="93" t="n">
        <v>3750</v>
      </c>
      <c r="Z328" s="97" t="n"/>
      <c r="AA328" s="98">
        <f>MAX(0,(Y328-5000)/300)</f>
        <v/>
      </c>
      <c r="AB328" s="92" t="n"/>
      <c r="AC328" s="92" t="n"/>
      <c r="AD328" s="92" t="n"/>
      <c r="AE328" s="92" t="inlineStr">
        <is>
          <t>Above 2.5-4k</t>
        </is>
      </c>
      <c r="AF328" s="96">
        <f>INDEX('Scoring Method'!$B$63:$B$71,MATCH(AE328,'Scoring Method'!$A$63:$A$71,0))+INDEX('Scoring Method'!$B$75:$B$79,MATCH("Tight 2-5k",'Scoring Method'!$A$75:$A$79,0))+INDEX('Scoring Method'!$B$343:$B$347,MATCH(X328,'Scoring Method'!$A$343:$A$347,0))+INDEX('Scoring Method'!$B$25:$B$27,MATCH(P328,'Scoring Method'!$A$25:$A$27,0))</f>
        <v/>
      </c>
      <c r="AG328" s="96">
        <f>AF328*U328/100</f>
        <v/>
      </c>
      <c r="AH328" s="92" t="inlineStr">
        <is>
          <t>LINK-GIS + LoopNet (2026-08-03)</t>
        </is>
      </c>
      <c r="AI328" s="99" t="n">
        <v>39.08662</v>
      </c>
      <c r="AJ328" s="99" t="n">
        <v>-84.51134</v>
      </c>
      <c r="AK328" s="94" t="n">
        <v>0.38</v>
      </c>
      <c r="AL328" s="94" t="n">
        <v>0.33</v>
      </c>
      <c r="AM328" s="94" t="n">
        <v>1.03</v>
      </c>
      <c r="AN328" s="94" t="n">
        <v>0.18</v>
      </c>
      <c r="AO328" s="92" t="inlineStr">
        <is>
          <t>Core &lt;=0.35mi</t>
        </is>
      </c>
      <c r="AP328" s="92" t="inlineStr">
        <is>
          <t>Office/institutional</t>
        </is>
      </c>
      <c r="AQ328" s="92" t="inlineStr">
        <is>
          <t>Tight 2-5k</t>
        </is>
      </c>
      <c r="AR328" s="100" t="n"/>
      <c r="AS328" s="96">
        <f>ROUND(INDEX('Scoring Method'!$B$63:$B$70,MATCH(AE328,'Scoring Method'!$A$63:$A$70,0))*0.625+INDEX('Scoring Method'!$B$105:$B$113,MATCH(AP328,'Scoring Method'!$A$105:$A$113,0))+INDEX('Scoring Method'!$B$74:$B$78,MATCH(AQ328,'Scoring Method'!$A$74:$A$78,0))*0.6667+INDEX('Scoring Method'!$B$96:$B$101,MATCH(AO328,'Scoring Method'!$A$96:$A$101,0))+INDEX('Scoring Method'!$B$343:$B$347,MATCH(X328,'Scoring Method'!$A$343:$A$347,0))*0.3333+INDEX('Scoring Method'!$B$25:$B$27,MATCH(P328,'Scoring Method'!$A$25:$A$27,0))*0.3333,1)</f>
        <v/>
      </c>
      <c r="AT328" s="96">
        <f>AS328*U328/100</f>
        <v/>
      </c>
      <c r="AU328" s="92" t="inlineStr">
        <is>
          <t>Central Business District</t>
        </is>
      </c>
      <c r="AV328" s="92" t="n">
        <v>48</v>
      </c>
      <c r="AW328" s="101" t="inlineStr">
        <is>
          <t>ESTIMATED</t>
        </is>
      </c>
      <c r="AX328" s="92" t="inlineStr">
        <is>
          <t>Mixed 45-59</t>
        </is>
      </c>
      <c r="AY328" s="96">
        <f>ROUND(INDEX('Scoring Method'!$B$132:$B$140,MATCH(AE328,'Scoring Method'!$A$132:$A$140,0))+INDEX('Scoring Method'!$B$144:$B$152,MATCH(AP328,'Scoring Method'!$A$144:$A$152,0))+INDEX('Scoring Method'!$B$156:$B$160,MATCH(AQ328,'Scoring Method'!$A$156:$A$160,0))+INDEX('Scoring Method'!$B$164:$B$169,MATCH(AO328,'Scoring Method'!$A$164:$A$169,0))+INDEX('Scoring Method'!$B$173:$B$178,MATCH(AX328,'Scoring Method'!$A$173:$A$178,0))+INDEX('Scoring Method'!$B$349:$B$353,MATCH(X328,'Scoring Method'!$A$349:$A$353,0))+INDEX('Scoring Method'!$B$188:$B$190,MATCH(P328,'Scoring Method'!$A$188:$A$190,0)),1)</f>
        <v/>
      </c>
      <c r="AZ328" s="96">
        <f>AY328*U328/100</f>
        <v/>
      </c>
      <c r="BA328" s="92" t="inlineStr">
        <is>
          <t>Owner-occupied operator</t>
        </is>
      </c>
      <c r="BB328" s="94" t="n">
        <v>0.8</v>
      </c>
      <c r="BC328" s="103" t="inlineStr">
        <is>
          <t>Extra small 0.15-0.25 AC</t>
        </is>
      </c>
      <c r="BD328" s="94" t="n">
        <v>0.8</v>
      </c>
      <c r="BE328" s="96">
        <f>ROUND(INDEX('Scoring Method'!$B$268:$B$276,MATCH(AE328,'Scoring Method'!$A$268:$A$276,0))+INDEX('Scoring Method'!$B$280:$B$288,MATCH(AP328,'Scoring Method'!$A$280:$A$288,0))+INDEX('Scoring Method'!$B$292:$B$296,MATCH(AQ328,'Scoring Method'!$A$292:$A$296,0))+INDEX('Scoring Method'!$B$300:$B$305,MATCH(AO328,'Scoring Method'!$A$300:$A$305,0))+INDEX('Scoring Method'!$B$309:$B$314,MATCH(AX328,'Scoring Method'!$A$309:$A$314,0))+INDEX('Scoring Method'!$B$337:$B$341,MATCH(X328,'Scoring Method'!$A$337:$A$341,0))+INDEX('Scoring Method'!$B$324:$B$326,MATCH(P328,'Scoring Method'!$A$324:$A$326,0)),1)</f>
        <v/>
      </c>
      <c r="BF328" s="96">
        <f>ROUND(INDEX('Scoring Method'!$B$268:$B$276,MATCH(AE328,'Scoring Method'!$A$268:$A$276,0))*BB328*BD328+INDEX('Scoring Method'!$B$280:$B$288,MATCH(AP328,'Scoring Method'!$A$280:$A$288,0))*BM328*BB328*BD328+INDEX('Scoring Method'!$B$292:$B$296,MATCH(AQ328,'Scoring Method'!$A$292:$A$296,0))*BD328+INDEX('Scoring Method'!$B$300:$B$305,MATCH(AO328,'Scoring Method'!$A$300:$A$305,0))*BM328*BB328+INDEX('Scoring Method'!$B$309:$B$314,MATCH(AX328,'Scoring Method'!$A$309:$A$314,0))+INDEX('Scoring Method'!$B$337:$B$341,MATCH(X328,'Scoring Method'!$A$337:$A$341,0))+INDEX('Scoring Method'!$B$324:$B$326,MATCH(P328,'Scoring Method'!$A$324:$A$326,0)),1)</f>
        <v/>
      </c>
      <c r="BG328" s="92" t="inlineStr">
        <is>
          <t>Fits (~$2,713/mo)</t>
        </is>
      </c>
      <c r="BH328" s="61" t="inlineStr">
        <is>
          <t>DTC (HP)</t>
        </is>
      </c>
      <c r="BI328" s="61" t="inlineStr">
        <is>
          <t>Downtown Core</t>
        </is>
      </c>
      <c r="BJ328" s="61" t="inlineStr">
        <is>
          <t>HP</t>
        </is>
      </c>
      <c r="BK328" s="61" t="inlineStr"/>
      <c r="BL328" s="61" t="inlineStr">
        <is>
          <t>Bar permitted</t>
        </is>
      </c>
      <c r="BM328" s="61">
        <f>INDEX('Scoring Method'!$B$358:$B$363,MATCH(BL328,'Scoring Method'!$A$358:$A$363,0))</f>
        <v/>
      </c>
    </row>
    <row r="329" ht="15" customHeight="1" s="62">
      <c r="A329" s="92" t="n">
        <v>328</v>
      </c>
      <c r="B329" s="92" t="inlineStr">
        <is>
          <t>054-21-21-005.00</t>
        </is>
      </c>
      <c r="C329" s="92" t="inlineStr">
        <is>
          <t>515 MADISON AVE</t>
        </is>
      </c>
      <c r="D329" s="92" t="inlineStr">
        <is>
          <t>MAD GROUP PROPERTIES LLC</t>
        </is>
      </c>
      <c r="E329" s="92" t="inlineStr">
        <is>
          <t>515 MADISON AVE STE 201</t>
        </is>
      </c>
      <c r="F329" s="92" t="inlineStr">
        <is>
          <t>COVINGTON</t>
        </is>
      </c>
      <c r="G329" s="92" t="inlineStr">
        <is>
          <t>KY</t>
        </is>
      </c>
      <c r="H329" s="92" t="inlineStr">
        <is>
          <t>OFFICE TOWER - 3 STORY &amp; UP</t>
        </is>
      </c>
      <c r="I329" s="93" t="n">
        <v>9025</v>
      </c>
      <c r="J329" s="94">
        <f>I329/43560</f>
        <v/>
      </c>
      <c r="K329" s="93" t="n">
        <v>475</v>
      </c>
      <c r="L329" s="95">
        <f>I329/(K329^2)</f>
        <v/>
      </c>
      <c r="M329" s="92" t="inlineStr">
        <is>
          <t>Poor &lt;10k/&gt;60k</t>
        </is>
      </c>
      <c r="N329" s="92" t="inlineStr">
        <is>
          <t>E</t>
        </is>
      </c>
      <c r="O329" s="92" t="inlineStr">
        <is>
          <t>Elongated .035-.045</t>
        </is>
      </c>
      <c r="P329" s="92" t="inlineStr">
        <is>
          <t>Low</t>
        </is>
      </c>
      <c r="Q329" s="92" t="inlineStr">
        <is>
          <t>Owner-occupied</t>
        </is>
      </c>
      <c r="R329" s="92" t="inlineStr">
        <is>
          <t>Passive vehicle</t>
        </is>
      </c>
      <c r="S329" s="92" t="n">
        <v>1</v>
      </c>
      <c r="T329" s="96">
        <f>INDEX('Scoring Method'!$B$6:$B$9,MATCH(M329,'Scoring Method'!$A$6:$A$9,0))+INDEX('Scoring Method'!$B$12:$B$16,MATCH(N329,'Scoring Method'!$A$12:$A$16,0))+INDEX('Scoring Method'!$B$19:$B$22,MATCH(O329,'Scoring Method'!$A$19:$A$22,0))+INDEX('Scoring Method'!$B$25:$B$27,MATCH(P329,'Scoring Method'!$A$25:$A$27,0))</f>
        <v/>
      </c>
      <c r="U329" s="96">
        <f>(INDEX('Scoring Method'!$B$30:$B$33,MATCH(Q329,'Scoring Method'!$A$30:$A$33,0))+INDEX('Scoring Method'!$B$36:$B$42,MATCH(R329,'Scoring Method'!$A$36:$A$42,0))+INDEX('Scoring Method'!$B$45:$B$47,MATCH(IF(S329=1,"1",IF(S329=2,"2","3+")),'Scoring Method'!$A$45:$A$47,0)))/90*100</f>
        <v/>
      </c>
      <c r="V329" s="96">
        <f>T329*U329/100</f>
        <v/>
      </c>
      <c r="W329" s="93" t="n">
        <v>3625</v>
      </c>
      <c r="X329" s="92" t="inlineStr">
        <is>
          <t>X (minimal hazard)</t>
        </is>
      </c>
      <c r="Y329" s="93" t="n">
        <v>4875</v>
      </c>
      <c r="Z329" s="97" t="n"/>
      <c r="AA329" s="98">
        <f>MAX(0,(Y329-5000)/300)</f>
        <v/>
      </c>
      <c r="AB329" s="92" t="n"/>
      <c r="AC329" s="92" t="n"/>
      <c r="AD329" s="92" t="n"/>
      <c r="AE329" s="92" t="inlineStr">
        <is>
          <t>Office tower 3+ storey</t>
        </is>
      </c>
      <c r="AF329" s="96">
        <f>INDEX('Scoring Method'!$B$63:$B$71,MATCH(AE329,'Scoring Method'!$A$63:$A$71,0))+INDEX('Scoring Method'!$B$75:$B$79,MATCH("Tight 2-5k",'Scoring Method'!$A$75:$A$79,0))+INDEX('Scoring Method'!$B$343:$B$347,MATCH(X329,'Scoring Method'!$A$343:$A$347,0))+INDEX('Scoring Method'!$B$25:$B$27,MATCH(P329,'Scoring Method'!$A$25:$A$27,0))</f>
        <v/>
      </c>
      <c r="AG329" s="96">
        <f>AF329*U329/100</f>
        <v/>
      </c>
      <c r="AH329" s="92" t="inlineStr">
        <is>
          <t>LINK-GIS only</t>
        </is>
      </c>
      <c r="AI329" s="99" t="n">
        <v>39.08525</v>
      </c>
      <c r="AJ329" s="99" t="n">
        <v>-84.5111</v>
      </c>
      <c r="AK329" s="94" t="n">
        <v>0.37</v>
      </c>
      <c r="AL329" s="94" t="n">
        <v>0.41</v>
      </c>
      <c r="AM329" s="94" t="n">
        <v>1.12</v>
      </c>
      <c r="AN329" s="94" t="n">
        <v>0.09</v>
      </c>
      <c r="AO329" s="92" t="inlineStr">
        <is>
          <t>Core &lt;=0.35mi</t>
        </is>
      </c>
      <c r="AP329" s="92" t="inlineStr">
        <is>
          <t>Office tower 3+ storey</t>
        </is>
      </c>
      <c r="AQ329" s="92" t="inlineStr">
        <is>
          <t>Tight 2-5k</t>
        </is>
      </c>
      <c r="AR329" s="100" t="n"/>
      <c r="AS329" s="96">
        <f>ROUND(INDEX('Scoring Method'!$B$63:$B$70,MATCH(AE329,'Scoring Method'!$A$63:$A$70,0))*0.625+INDEX('Scoring Method'!$B$105:$B$113,MATCH(AP329,'Scoring Method'!$A$105:$A$113,0))+INDEX('Scoring Method'!$B$74:$B$78,MATCH(AQ329,'Scoring Method'!$A$74:$A$78,0))*0.6667+INDEX('Scoring Method'!$B$96:$B$101,MATCH(AO329,'Scoring Method'!$A$96:$A$101,0))+INDEX('Scoring Method'!$B$343:$B$347,MATCH(X329,'Scoring Method'!$A$343:$A$347,0))*0.3333+INDEX('Scoring Method'!$B$25:$B$27,MATCH(P329,'Scoring Method'!$A$25:$A$27,0))*0.3333,1)</f>
        <v/>
      </c>
      <c r="AT329" s="96">
        <f>AS329*U329/100</f>
        <v/>
      </c>
      <c r="AU329" s="92" t="inlineStr">
        <is>
          <t>Central Business District</t>
        </is>
      </c>
      <c r="AV329" s="92" t="n">
        <v>48</v>
      </c>
      <c r="AW329" s="101" t="inlineStr">
        <is>
          <t>ESTIMATED</t>
        </is>
      </c>
      <c r="AX329" s="92" t="inlineStr">
        <is>
          <t>Mixed 45-59</t>
        </is>
      </c>
      <c r="AY329" s="96">
        <f>ROUND(INDEX('Scoring Method'!$B$132:$B$140,MATCH(AE329,'Scoring Method'!$A$132:$A$140,0))+INDEX('Scoring Method'!$B$144:$B$152,MATCH(AP329,'Scoring Method'!$A$144:$A$152,0))+INDEX('Scoring Method'!$B$156:$B$160,MATCH(AQ329,'Scoring Method'!$A$156:$A$160,0))+INDEX('Scoring Method'!$B$164:$B$169,MATCH(AO329,'Scoring Method'!$A$164:$A$169,0))+INDEX('Scoring Method'!$B$173:$B$178,MATCH(AX329,'Scoring Method'!$A$173:$A$178,0))+INDEX('Scoring Method'!$B$349:$B$353,MATCH(X329,'Scoring Method'!$A$349:$A$353,0))+INDEX('Scoring Method'!$B$188:$B$190,MATCH(P329,'Scoring Method'!$A$188:$A$190,0)),1)</f>
        <v/>
      </c>
      <c r="AZ329" s="96">
        <f>AY329*U329/100</f>
        <v/>
      </c>
      <c r="BA329" s="92" t="inlineStr">
        <is>
          <t>Owner-occupied operator</t>
        </is>
      </c>
      <c r="BB329" s="94" t="n">
        <v>0.8</v>
      </c>
      <c r="BC329" s="103" t="inlineStr">
        <is>
          <t>Extra small 0.15-0.25 AC</t>
        </is>
      </c>
      <c r="BD329" s="94" t="n">
        <v>0.8</v>
      </c>
      <c r="BE329" s="96">
        <f>ROUND(INDEX('Scoring Method'!$B$268:$B$276,MATCH(AE329,'Scoring Method'!$A$268:$A$276,0))+INDEX('Scoring Method'!$B$280:$B$288,MATCH(AP329,'Scoring Method'!$A$280:$A$288,0))+INDEX('Scoring Method'!$B$292:$B$296,MATCH(AQ329,'Scoring Method'!$A$292:$A$296,0))+INDEX('Scoring Method'!$B$300:$B$305,MATCH(AO329,'Scoring Method'!$A$300:$A$305,0))+INDEX('Scoring Method'!$B$309:$B$314,MATCH(AX329,'Scoring Method'!$A$309:$A$314,0))+INDEX('Scoring Method'!$B$337:$B$341,MATCH(X329,'Scoring Method'!$A$337:$A$341,0))+INDEX('Scoring Method'!$B$324:$B$326,MATCH(P329,'Scoring Method'!$A$324:$A$326,0)),1)</f>
        <v/>
      </c>
      <c r="BF329" s="96">
        <f>ROUND(INDEX('Scoring Method'!$B$268:$B$276,MATCH(AE329,'Scoring Method'!$A$268:$A$276,0))*BB329*BD329+INDEX('Scoring Method'!$B$280:$B$288,MATCH(AP329,'Scoring Method'!$A$280:$A$288,0))*BM329*BB329*BD329+INDEX('Scoring Method'!$B$292:$B$296,MATCH(AQ329,'Scoring Method'!$A$292:$A$296,0))*BD329+INDEX('Scoring Method'!$B$300:$B$305,MATCH(AO329,'Scoring Method'!$A$300:$A$305,0))*BM329*BB329+INDEX('Scoring Method'!$B$309:$B$314,MATCH(AX329,'Scoring Method'!$A$309:$A$314,0))+INDEX('Scoring Method'!$B$337:$B$341,MATCH(X329,'Scoring Method'!$A$337:$A$341,0))+INDEX('Scoring Method'!$B$324:$B$326,MATCH(P329,'Scoring Method'!$A$324:$A$326,0)),1)</f>
        <v/>
      </c>
      <c r="BG329" s="92" t="inlineStr">
        <is>
          <t>Fits (~$3,323/mo)</t>
        </is>
      </c>
      <c r="BH329" s="61" t="inlineStr">
        <is>
          <t>DTC (HP)</t>
        </is>
      </c>
      <c r="BI329" s="61" t="inlineStr">
        <is>
          <t>Downtown Core</t>
        </is>
      </c>
      <c r="BJ329" s="61" t="inlineStr">
        <is>
          <t>HP</t>
        </is>
      </c>
      <c r="BK329" s="61" t="inlineStr"/>
      <c r="BL329" s="61" t="inlineStr">
        <is>
          <t>Bar permitted</t>
        </is>
      </c>
      <c r="BM329" s="61">
        <f>INDEX('Scoring Method'!$B$358:$B$363,MATCH(BL329,'Scoring Method'!$A$358:$A$363,0))</f>
        <v/>
      </c>
    </row>
    <row r="330" ht="15" customHeight="1" s="62">
      <c r="A330" s="92" t="n">
        <v>329</v>
      </c>
      <c r="B330" s="92" t="inlineStr">
        <is>
          <t>055-14-09-001.04</t>
        </is>
      </c>
      <c r="C330" s="92" t="inlineStr">
        <is>
          <t>1717 MADISON AVE</t>
        </is>
      </c>
      <c r="D330" s="92" t="inlineStr">
        <is>
          <t>FOLTZ J C INC</t>
        </is>
      </c>
      <c r="E330" s="92" t="inlineStr">
        <is>
          <t>6 W HENRY CLAY AVE</t>
        </is>
      </c>
      <c r="F330" s="92" t="inlineStr">
        <is>
          <t>FT WRIGHT</t>
        </is>
      </c>
      <c r="G330" s="92" t="inlineStr">
        <is>
          <t>KY</t>
        </is>
      </c>
      <c r="H330" s="92" t="inlineStr">
        <is>
          <t>MEDICAL OFFICE</t>
        </is>
      </c>
      <c r="I330" s="93" t="n">
        <v>65784</v>
      </c>
      <c r="J330" s="94">
        <f>I330/43560</f>
        <v/>
      </c>
      <c r="K330" s="93" t="n">
        <v>1376</v>
      </c>
      <c r="L330" s="95">
        <f>I330/(K330^2)</f>
        <v/>
      </c>
      <c r="M330" s="92" t="inlineStr">
        <is>
          <t>Poor &lt;10k/&gt;60k</t>
        </is>
      </c>
      <c r="N330" s="92" t="inlineStr">
        <is>
          <t>E</t>
        </is>
      </c>
      <c r="O330" s="92" t="inlineStr">
        <is>
          <t>Irregular &lt;.035</t>
        </is>
      </c>
      <c r="P330" s="92" t="inlineStr">
        <is>
          <t>Low</t>
        </is>
      </c>
      <c r="Q330" s="92" t="inlineStr">
        <is>
          <t>Out-of-city KY</t>
        </is>
      </c>
      <c r="R330" s="92" t="inlineStr">
        <is>
          <t>Operating entity</t>
        </is>
      </c>
      <c r="S330" s="92" t="n">
        <v>1</v>
      </c>
      <c r="T330" s="96">
        <f>INDEX('Scoring Method'!$B$6:$B$9,MATCH(M330,'Scoring Method'!$A$6:$A$9,0))+INDEX('Scoring Method'!$B$12:$B$16,MATCH(N330,'Scoring Method'!$A$12:$A$16,0))+INDEX('Scoring Method'!$B$19:$B$22,MATCH(O330,'Scoring Method'!$A$19:$A$22,0))+INDEX('Scoring Method'!$B$25:$B$27,MATCH(P330,'Scoring Method'!$A$25:$A$27,0))</f>
        <v/>
      </c>
      <c r="U330" s="96">
        <f>(INDEX('Scoring Method'!$B$30:$B$33,MATCH(Q330,'Scoring Method'!$A$30:$A$33,0))+INDEX('Scoring Method'!$B$36:$B$42,MATCH(R330,'Scoring Method'!$A$36:$A$42,0))+INDEX('Scoring Method'!$B$45:$B$47,MATCH(IF(S330=1,"1",IF(S330=2,"2","3+")),'Scoring Method'!$A$45:$A$47,0)))/90*100</f>
        <v/>
      </c>
      <c r="V330" s="96">
        <f>T330*U330/100</f>
        <v/>
      </c>
      <c r="W330" s="93" t="n">
        <v>15180</v>
      </c>
      <c r="X330" s="92" t="inlineStr">
        <is>
          <t>X (minimal hazard)</t>
        </is>
      </c>
      <c r="Y330" s="93" t="n">
        <v>45400</v>
      </c>
      <c r="Z330" s="97" t="n"/>
      <c r="AA330" s="98">
        <f>MAX(0,(Y330-5000)/300)</f>
        <v/>
      </c>
      <c r="AB330" s="92" t="n"/>
      <c r="AC330" s="92" t="n"/>
      <c r="AD330" s="92" t="n"/>
      <c r="AE330" s="92" t="inlineStr">
        <is>
          <t>Far oversize &gt;12k</t>
        </is>
      </c>
      <c r="AF330" s="96">
        <f>INDEX('Scoring Method'!$B$63:$B$71,MATCH(AE330,'Scoring Method'!$A$63:$A$71,0))+INDEX('Scoring Method'!$B$75:$B$79,MATCH("Ample &gt;=15k",'Scoring Method'!$A$75:$A$79,0))+INDEX('Scoring Method'!$B$343:$B$347,MATCH(X330,'Scoring Method'!$A$343:$A$347,0))+INDEX('Scoring Method'!$B$25:$B$27,MATCH(P330,'Scoring Method'!$A$25:$A$27,0))</f>
        <v/>
      </c>
      <c r="AG330" s="96">
        <f>AF330*U330/100</f>
        <v/>
      </c>
      <c r="AH330" s="92" t="inlineStr">
        <is>
          <t>LINK-GIS + LoopNet (2026-08-03)</t>
        </is>
      </c>
      <c r="AI330" s="99" t="n">
        <v>39.06996</v>
      </c>
      <c r="AJ330" s="99" t="n">
        <v>-84.50714000000001</v>
      </c>
      <c r="AK330" s="94" t="n">
        <v>1.15</v>
      </c>
      <c r="AL330" s="94" t="n">
        <v>1.44</v>
      </c>
      <c r="AM330" s="94" t="n">
        <v>2.2</v>
      </c>
      <c r="AN330" s="94" t="n">
        <v>0.99</v>
      </c>
      <c r="AO330" s="92" t="inlineStr">
        <is>
          <t>Fringe 0.75-1.25mi</t>
        </is>
      </c>
      <c r="AP330" s="92" t="inlineStr">
        <is>
          <t>Office/institutional</t>
        </is>
      </c>
      <c r="AQ330" s="92" t="inlineStr">
        <is>
          <t>Ample &gt;=15k</t>
        </is>
      </c>
      <c r="AR330" s="100" t="n"/>
      <c r="AS330" s="96">
        <f>ROUND(INDEX('Scoring Method'!$B$63:$B$70,MATCH(AE330,'Scoring Method'!$A$63:$A$70,0))*0.625+INDEX('Scoring Method'!$B$105:$B$113,MATCH(AP330,'Scoring Method'!$A$105:$A$113,0))+INDEX('Scoring Method'!$B$74:$B$78,MATCH(AQ330,'Scoring Method'!$A$74:$A$78,0))*0.6667+INDEX('Scoring Method'!$B$96:$B$101,MATCH(AO330,'Scoring Method'!$A$96:$A$101,0))+INDEX('Scoring Method'!$B$343:$B$347,MATCH(X330,'Scoring Method'!$A$343:$A$347,0))*0.3333+INDEX('Scoring Method'!$B$25:$B$27,MATCH(P330,'Scoring Method'!$A$25:$A$27,0))*0.3333,1)</f>
        <v/>
      </c>
      <c r="AT330" s="96">
        <f>AS330*U330/100</f>
        <v/>
      </c>
      <c r="AU330" s="92" t="inlineStr">
        <is>
          <t>Levassor Park</t>
        </is>
      </c>
      <c r="AV330" s="92" t="n">
        <v>42</v>
      </c>
      <c r="AW330" s="101" t="inlineStr">
        <is>
          <t>ESTIMATED</t>
        </is>
      </c>
      <c r="AX330" s="92" t="inlineStr">
        <is>
          <t>Elevated 35-44</t>
        </is>
      </c>
      <c r="AY330" s="96">
        <f>ROUND(INDEX('Scoring Method'!$B$132:$B$140,MATCH(AE330,'Scoring Method'!$A$132:$A$140,0))+INDEX('Scoring Method'!$B$144:$B$152,MATCH(AP330,'Scoring Method'!$A$144:$A$152,0))+INDEX('Scoring Method'!$B$156:$B$160,MATCH(AQ330,'Scoring Method'!$A$156:$A$160,0))+INDEX('Scoring Method'!$B$164:$B$169,MATCH(AO330,'Scoring Method'!$A$164:$A$169,0))+INDEX('Scoring Method'!$B$173:$B$178,MATCH(AX330,'Scoring Method'!$A$173:$A$178,0))+INDEX('Scoring Method'!$B$349:$B$353,MATCH(X330,'Scoring Method'!$A$349:$A$353,0))+INDEX('Scoring Method'!$B$188:$B$190,MATCH(P330,'Scoring Method'!$A$188:$A$190,0)),1)</f>
        <v/>
      </c>
      <c r="AZ330" s="96">
        <f>AY330*U330/100</f>
        <v/>
      </c>
      <c r="BA330" s="92" t="inlineStr">
        <is>
          <t>No chain signal</t>
        </is>
      </c>
      <c r="BB330" s="94" t="n">
        <v>1</v>
      </c>
      <c r="BC330" s="103" t="inlineStr">
        <is>
          <t>Oversized &gt;1.25 AC</t>
        </is>
      </c>
      <c r="BD330" s="94" t="n">
        <v>0.65</v>
      </c>
      <c r="BE330" s="96">
        <f>ROUND(INDEX('Scoring Method'!$B$268:$B$276,MATCH(AE330,'Scoring Method'!$A$268:$A$276,0))+INDEX('Scoring Method'!$B$280:$B$288,MATCH(AP330,'Scoring Method'!$A$280:$A$288,0))+INDEX('Scoring Method'!$B$292:$B$296,MATCH(AQ330,'Scoring Method'!$A$292:$A$296,0))+INDEX('Scoring Method'!$B$300:$B$305,MATCH(AO330,'Scoring Method'!$A$300:$A$305,0))+INDEX('Scoring Method'!$B$309:$B$314,MATCH(AX330,'Scoring Method'!$A$309:$A$314,0))+INDEX('Scoring Method'!$B$337:$B$341,MATCH(X330,'Scoring Method'!$A$337:$A$341,0))+INDEX('Scoring Method'!$B$324:$B$326,MATCH(P330,'Scoring Method'!$A$324:$A$326,0)),1)</f>
        <v/>
      </c>
      <c r="BF330" s="96">
        <f>ROUND(INDEX('Scoring Method'!$B$268:$B$276,MATCH(AE330,'Scoring Method'!$A$268:$A$276,0))*BB330*BD330+INDEX('Scoring Method'!$B$280:$B$288,MATCH(AP330,'Scoring Method'!$A$280:$A$288,0))*BM330*BB330*BD330+INDEX('Scoring Method'!$B$292:$B$296,MATCH(AQ330,'Scoring Method'!$A$292:$A$296,0))*BD330+INDEX('Scoring Method'!$B$300:$B$305,MATCH(AO330,'Scoring Method'!$A$300:$A$305,0))*BM330*BB330+INDEX('Scoring Method'!$B$309:$B$314,MATCH(AX330,'Scoring Method'!$A$309:$A$314,0))+INDEX('Scoring Method'!$B$337:$B$341,MATCH(X330,'Scoring Method'!$A$337:$A$341,0))+INDEX('Scoring Method'!$B$324:$B$326,MATCH(P330,'Scoring Method'!$A$324:$A$326,0)),1)</f>
        <v/>
      </c>
      <c r="BG330" s="102" t="inlineStr">
        <is>
          <t>Over (~$13,915/mo)</t>
        </is>
      </c>
      <c r="BH330" s="61" t="inlineStr">
        <is>
          <t>AUC</t>
        </is>
      </c>
      <c r="BI330" s="61" t="inlineStr">
        <is>
          <t>Auto-Urban Commercial</t>
        </is>
      </c>
      <c r="BJ330" s="61" t="inlineStr"/>
      <c r="BK330" s="61" t="inlineStr"/>
      <c r="BL330" s="61" t="inlineStr">
        <is>
          <t>Bar permitted</t>
        </is>
      </c>
      <c r="BM330" s="61">
        <f>INDEX('Scoring Method'!$B$358:$B$363,MATCH(BL330,'Scoring Method'!$A$358:$A$363,0))</f>
        <v/>
      </c>
    </row>
    <row r="331" ht="15" customHeight="1" s="62">
      <c r="A331" s="92" t="n">
        <v>330</v>
      </c>
      <c r="B331" s="92" t="inlineStr">
        <is>
          <t>055-13-09-030.00</t>
        </is>
      </c>
      <c r="C331" s="92" t="inlineStr">
        <is>
          <t>1552 MADISON AVE</t>
        </is>
      </c>
      <c r="D331" s="92" t="inlineStr">
        <is>
          <t>ASAP RECOVERY INC</t>
        </is>
      </c>
      <c r="E331" s="92" t="inlineStr">
        <is>
          <t>1552 MADISON AVE</t>
        </is>
      </c>
      <c r="F331" s="92" t="inlineStr">
        <is>
          <t>COVINGTON</t>
        </is>
      </c>
      <c r="G331" s="92" t="inlineStr">
        <is>
          <t>KY</t>
        </is>
      </c>
      <c r="H331" s="92" t="inlineStr">
        <is>
          <t>OTHER RETAIL</t>
        </is>
      </c>
      <c r="I331" s="93" t="n">
        <v>10482</v>
      </c>
      <c r="J331" s="94">
        <f>I331/43560</f>
        <v/>
      </c>
      <c r="K331" s="93" t="n">
        <v>497.5</v>
      </c>
      <c r="L331" s="95">
        <f>I331/(K331^2)</f>
        <v/>
      </c>
      <c r="M331" s="92" t="inlineStr">
        <is>
          <t>Marginal 10-14k/45-60k</t>
        </is>
      </c>
      <c r="N331" s="92" t="inlineStr">
        <is>
          <t>C</t>
        </is>
      </c>
      <c r="O331" s="92" t="inlineStr">
        <is>
          <t>Elongated .035-.045</t>
        </is>
      </c>
      <c r="P331" s="92" t="inlineStr">
        <is>
          <t>Low</t>
        </is>
      </c>
      <c r="Q331" s="92" t="inlineStr">
        <is>
          <t>Owner-occupied</t>
        </is>
      </c>
      <c r="R331" s="92" t="inlineStr">
        <is>
          <t>Operating entity</t>
        </is>
      </c>
      <c r="S331" s="92" t="n">
        <v>1</v>
      </c>
      <c r="T331" s="96">
        <f>INDEX('Scoring Method'!$B$6:$B$9,MATCH(M331,'Scoring Method'!$A$6:$A$9,0))+INDEX('Scoring Method'!$B$12:$B$16,MATCH(N331,'Scoring Method'!$A$12:$A$16,0))+INDEX('Scoring Method'!$B$19:$B$22,MATCH(O331,'Scoring Method'!$A$19:$A$22,0))+INDEX('Scoring Method'!$B$25:$B$27,MATCH(P331,'Scoring Method'!$A$25:$A$27,0))</f>
        <v/>
      </c>
      <c r="U331" s="96">
        <f>(INDEX('Scoring Method'!$B$30:$B$33,MATCH(Q331,'Scoring Method'!$A$30:$A$33,0))+INDEX('Scoring Method'!$B$36:$B$42,MATCH(R331,'Scoring Method'!$A$36:$A$42,0))+INDEX('Scoring Method'!$B$45:$B$47,MATCH(IF(S331=1,"1",IF(S331=2,"2","3+")),'Scoring Method'!$A$45:$A$47,0)))/90*100</f>
        <v/>
      </c>
      <c r="V331" s="96">
        <f>T331*U331/100</f>
        <v/>
      </c>
      <c r="W331" s="93" t="n">
        <v>4550</v>
      </c>
      <c r="X331" s="92" t="inlineStr">
        <is>
          <t>X (minimal hazard)</t>
        </is>
      </c>
      <c r="Y331" s="93" t="n">
        <v>4050</v>
      </c>
      <c r="Z331" s="97" t="n"/>
      <c r="AA331" s="98">
        <f>MAX(0,(Y331-5000)/300)</f>
        <v/>
      </c>
      <c r="AB331" s="92" t="n"/>
      <c r="AC331" s="92" t="n"/>
      <c r="AD331" s="92" t="n"/>
      <c r="AE331" s="92" t="inlineStr">
        <is>
          <t>Large 4-6k</t>
        </is>
      </c>
      <c r="AF331" s="96">
        <f>INDEX('Scoring Method'!$B$63:$B$71,MATCH(AE331,'Scoring Method'!$A$63:$A$71,0))+INDEX('Scoring Method'!$B$75:$B$79,MATCH("Tight 2-5k",'Scoring Method'!$A$75:$A$79,0))+INDEX('Scoring Method'!$B$343:$B$347,MATCH(X331,'Scoring Method'!$A$343:$A$347,0))+INDEX('Scoring Method'!$B$25:$B$27,MATCH(P331,'Scoring Method'!$A$25:$A$27,0))</f>
        <v/>
      </c>
      <c r="AG331" s="96">
        <f>AF331*U331/100</f>
        <v/>
      </c>
      <c r="AH331" s="92" t="inlineStr">
        <is>
          <t>LINK-GIS + LoopNet (2026-08-03)</t>
        </is>
      </c>
      <c r="AI331" s="99" t="n">
        <v>39.07239</v>
      </c>
      <c r="AJ331" s="99" t="n">
        <v>-84.5067</v>
      </c>
      <c r="AK331" s="94" t="n">
        <v>1.02</v>
      </c>
      <c r="AL331" s="94" t="n">
        <v>1.28</v>
      </c>
      <c r="AM331" s="94" t="n">
        <v>2.03</v>
      </c>
      <c r="AN331" s="94" t="n">
        <v>0.83</v>
      </c>
      <c r="AO331" s="92" t="inlineStr">
        <is>
          <t>Fringe 0.75-1.25mi</t>
        </is>
      </c>
      <c r="AP331" s="92" t="inlineStr">
        <is>
          <t>Retail shell</t>
        </is>
      </c>
      <c r="AQ331" s="92" t="inlineStr">
        <is>
          <t>Tight 2-5k</t>
        </is>
      </c>
      <c r="AR331" s="100" t="n"/>
      <c r="AS331" s="96">
        <f>ROUND(INDEX('Scoring Method'!$B$63:$B$70,MATCH(AE331,'Scoring Method'!$A$63:$A$70,0))*0.625+INDEX('Scoring Method'!$B$105:$B$113,MATCH(AP331,'Scoring Method'!$A$105:$A$113,0))+INDEX('Scoring Method'!$B$74:$B$78,MATCH(AQ331,'Scoring Method'!$A$74:$A$78,0))*0.6667+INDEX('Scoring Method'!$B$96:$B$101,MATCH(AO331,'Scoring Method'!$A$96:$A$101,0))+INDEX('Scoring Method'!$B$343:$B$347,MATCH(X331,'Scoring Method'!$A$343:$A$347,0))*0.3333+INDEX('Scoring Method'!$B$25:$B$27,MATCH(P331,'Scoring Method'!$A$25:$A$27,0))*0.3333,1)</f>
        <v/>
      </c>
      <c r="AT331" s="96">
        <f>AS331*U331/100</f>
        <v/>
      </c>
      <c r="AU331" s="92" t="inlineStr">
        <is>
          <t>Eastside</t>
        </is>
      </c>
      <c r="AV331" s="92" t="n">
        <v>28</v>
      </c>
      <c r="AW331" s="101" t="inlineStr">
        <is>
          <t>ESTIMATED</t>
        </is>
      </c>
      <c r="AX331" s="92" t="inlineStr">
        <is>
          <t>High &lt;35</t>
        </is>
      </c>
      <c r="AY331" s="96">
        <f>ROUND(INDEX('Scoring Method'!$B$132:$B$140,MATCH(AE331,'Scoring Method'!$A$132:$A$140,0))+INDEX('Scoring Method'!$B$144:$B$152,MATCH(AP331,'Scoring Method'!$A$144:$A$152,0))+INDEX('Scoring Method'!$B$156:$B$160,MATCH(AQ331,'Scoring Method'!$A$156:$A$160,0))+INDEX('Scoring Method'!$B$164:$B$169,MATCH(AO331,'Scoring Method'!$A$164:$A$169,0))+INDEX('Scoring Method'!$B$173:$B$178,MATCH(AX331,'Scoring Method'!$A$173:$A$178,0))+INDEX('Scoring Method'!$B$349:$B$353,MATCH(X331,'Scoring Method'!$A$349:$A$353,0))+INDEX('Scoring Method'!$B$188:$B$190,MATCH(P331,'Scoring Method'!$A$188:$A$190,0)),1)</f>
        <v/>
      </c>
      <c r="AZ331" s="96">
        <f>AY331*U331/100</f>
        <v/>
      </c>
      <c r="BA331" s="92" t="inlineStr">
        <is>
          <t>Owner-occupied operator</t>
        </is>
      </c>
      <c r="BB331" s="94" t="n">
        <v>0.8</v>
      </c>
      <c r="BC331" s="103" t="inlineStr">
        <is>
          <t>Extra small 0.15-0.25 AC</t>
        </is>
      </c>
      <c r="BD331" s="94" t="n">
        <v>0.8</v>
      </c>
      <c r="BE331" s="96">
        <f>ROUND(INDEX('Scoring Method'!$B$268:$B$276,MATCH(AE331,'Scoring Method'!$A$268:$A$276,0))+INDEX('Scoring Method'!$B$280:$B$288,MATCH(AP331,'Scoring Method'!$A$280:$A$288,0))+INDEX('Scoring Method'!$B$292:$B$296,MATCH(AQ331,'Scoring Method'!$A$292:$A$296,0))+INDEX('Scoring Method'!$B$300:$B$305,MATCH(AO331,'Scoring Method'!$A$300:$A$305,0))+INDEX('Scoring Method'!$B$309:$B$314,MATCH(AX331,'Scoring Method'!$A$309:$A$314,0))+INDEX('Scoring Method'!$B$337:$B$341,MATCH(X331,'Scoring Method'!$A$337:$A$341,0))+INDEX('Scoring Method'!$B$324:$B$326,MATCH(P331,'Scoring Method'!$A$324:$A$326,0)),1)</f>
        <v/>
      </c>
      <c r="BF331" s="96">
        <f>ROUND(INDEX('Scoring Method'!$B$268:$B$276,MATCH(AE331,'Scoring Method'!$A$268:$A$276,0))*BB331*BD331+INDEX('Scoring Method'!$B$280:$B$288,MATCH(AP331,'Scoring Method'!$A$280:$A$288,0))*BM331*BB331*BD331+INDEX('Scoring Method'!$B$292:$B$296,MATCH(AQ331,'Scoring Method'!$A$292:$A$296,0))*BD331+INDEX('Scoring Method'!$B$300:$B$305,MATCH(AO331,'Scoring Method'!$A$300:$A$305,0))*BM331*BB331+INDEX('Scoring Method'!$B$309:$B$314,MATCH(AX331,'Scoring Method'!$A$309:$A$314,0))+INDEX('Scoring Method'!$B$337:$B$341,MATCH(X331,'Scoring Method'!$A$337:$A$341,0))+INDEX('Scoring Method'!$B$324:$B$326,MATCH(P331,'Scoring Method'!$A$324:$A$326,0)),1)</f>
        <v/>
      </c>
      <c r="BG331" s="92" t="inlineStr">
        <is>
          <t>Fits (~$4,171/mo)</t>
        </is>
      </c>
      <c r="BH331" s="61" t="inlineStr">
        <is>
          <t>AUC</t>
        </is>
      </c>
      <c r="BI331" s="61" t="inlineStr">
        <is>
          <t>Auto-Urban Commercial</t>
        </is>
      </c>
      <c r="BJ331" s="61" t="inlineStr"/>
      <c r="BK331" s="61" t="inlineStr"/>
      <c r="BL331" s="61" t="inlineStr">
        <is>
          <t>Bar permitted</t>
        </is>
      </c>
      <c r="BM331" s="61">
        <f>INDEX('Scoring Method'!$B$358:$B$363,MATCH(BL331,'Scoring Method'!$A$358:$A$363,0))</f>
        <v/>
      </c>
    </row>
    <row r="332" ht="15" customHeight="1" s="62">
      <c r="A332" s="92" t="n">
        <v>331</v>
      </c>
      <c r="B332" s="92" t="inlineStr">
        <is>
          <t>054-21-24-003.00</t>
        </is>
      </c>
      <c r="C332" s="92" t="inlineStr">
        <is>
          <t>15 W 7TH ST</t>
        </is>
      </c>
      <c r="D332" s="92" t="inlineStr">
        <is>
          <t>A G CAPITAL LLC</t>
        </is>
      </c>
      <c r="E332" s="92" t="inlineStr">
        <is>
          <t>15 W 7TH ST</t>
        </is>
      </c>
      <c r="F332" s="92" t="inlineStr">
        <is>
          <t>COVINGTON</t>
        </is>
      </c>
      <c r="G332" s="92" t="inlineStr">
        <is>
          <t>KY</t>
        </is>
      </c>
      <c r="H332" s="92" t="inlineStr">
        <is>
          <t>OFFICE BLDG 1 OR 2 STORY</t>
        </is>
      </c>
      <c r="I332" s="93" t="n">
        <v>10122</v>
      </c>
      <c r="J332" s="94">
        <f>I332/43560</f>
        <v/>
      </c>
      <c r="K332" s="93" t="n">
        <v>429</v>
      </c>
      <c r="L332" s="95">
        <f>I332/(K332^2)</f>
        <v/>
      </c>
      <c r="M332" s="92" t="inlineStr">
        <is>
          <t>Marginal 10-14k/45-60k</t>
        </is>
      </c>
      <c r="N332" s="92" t="inlineStr">
        <is>
          <t>E</t>
        </is>
      </c>
      <c r="O332" s="92" t="inlineStr">
        <is>
          <t>Regular .045-.055</t>
        </is>
      </c>
      <c r="P332" s="92" t="inlineStr">
        <is>
          <t>Low</t>
        </is>
      </c>
      <c r="Q332" s="92" t="inlineStr">
        <is>
          <t>Owner-occupied</t>
        </is>
      </c>
      <c r="R332" s="92" t="inlineStr">
        <is>
          <t>Operating entity</t>
        </is>
      </c>
      <c r="S332" s="92" t="n">
        <v>1</v>
      </c>
      <c r="T332" s="96">
        <f>INDEX('Scoring Method'!$B$6:$B$9,MATCH(M332,'Scoring Method'!$A$6:$A$9,0))+INDEX('Scoring Method'!$B$12:$B$16,MATCH(N332,'Scoring Method'!$A$12:$A$16,0))+INDEX('Scoring Method'!$B$19:$B$22,MATCH(O332,'Scoring Method'!$A$19:$A$22,0))+INDEX('Scoring Method'!$B$25:$B$27,MATCH(P332,'Scoring Method'!$A$25:$A$27,0))</f>
        <v/>
      </c>
      <c r="U332" s="96">
        <f>(INDEX('Scoring Method'!$B$30:$B$33,MATCH(Q332,'Scoring Method'!$A$30:$A$33,0))+INDEX('Scoring Method'!$B$36:$B$42,MATCH(R332,'Scoring Method'!$A$36:$A$42,0))+INDEX('Scoring Method'!$B$45:$B$47,MATCH(IF(S332=1,"1",IF(S332=2,"2","3+")),'Scoring Method'!$A$45:$A$47,0)))/90*100</f>
        <v/>
      </c>
      <c r="V332" s="96">
        <f>T332*U332/100</f>
        <v/>
      </c>
      <c r="W332" s="93" t="n">
        <v>19684</v>
      </c>
      <c r="X332" s="92" t="inlineStr">
        <is>
          <t>X (minimal hazard)</t>
        </is>
      </c>
      <c r="Y332" s="93" t="n">
        <v>0</v>
      </c>
      <c r="Z332" s="97" t="n"/>
      <c r="AA332" s="98">
        <f>MAX(0,(Y332-5000)/300)</f>
        <v/>
      </c>
      <c r="AB332" s="92" t="n"/>
      <c r="AC332" s="92" t="n"/>
      <c r="AD332" s="92" t="n"/>
      <c r="AE332" s="92" t="inlineStr">
        <is>
          <t>Far oversize &gt;12k</t>
        </is>
      </c>
      <c r="AF332" s="96">
        <f>INDEX('Scoring Method'!$B$63:$B$71,MATCH(AE332,'Scoring Method'!$A$63:$A$71,0))+INDEX('Scoring Method'!$B$75:$B$79,MATCH("Insufficient &lt;2k",'Scoring Method'!$A$75:$A$79,0))+INDEX('Scoring Method'!$B$343:$B$347,MATCH(X332,'Scoring Method'!$A$343:$A$347,0))+INDEX('Scoring Method'!$B$25:$B$27,MATCH(P332,'Scoring Method'!$A$25:$A$27,0))</f>
        <v/>
      </c>
      <c r="AG332" s="96">
        <f>AF332*U332/100</f>
        <v/>
      </c>
      <c r="AH332" s="92" t="inlineStr">
        <is>
          <t>LINK-GIS + LoopNet (2026-08-03)</t>
        </is>
      </c>
      <c r="AI332" s="99" t="n">
        <v>39.08293</v>
      </c>
      <c r="AJ332" s="99" t="n">
        <v>-84.5107</v>
      </c>
      <c r="AK332" s="94" t="n">
        <v>0.4</v>
      </c>
      <c r="AL332" s="94" t="n">
        <v>0.5600000000000001</v>
      </c>
      <c r="AM332" s="94" t="n">
        <v>1.29</v>
      </c>
      <c r="AN332" s="94" t="n">
        <v>0.07000000000000001</v>
      </c>
      <c r="AO332" s="92" t="inlineStr">
        <is>
          <t>Core &lt;=0.35mi</t>
        </is>
      </c>
      <c r="AP332" s="92" t="inlineStr">
        <is>
          <t>Office/institutional</t>
        </is>
      </c>
      <c r="AQ332" s="92" t="inlineStr">
        <is>
          <t>Insufficient &lt;2k</t>
        </is>
      </c>
      <c r="AR332" s="100" t="n"/>
      <c r="AS332" s="96">
        <f>ROUND(INDEX('Scoring Method'!$B$63:$B$70,MATCH(AE332,'Scoring Method'!$A$63:$A$70,0))*0.625+INDEX('Scoring Method'!$B$105:$B$113,MATCH(AP332,'Scoring Method'!$A$105:$A$113,0))+INDEX('Scoring Method'!$B$74:$B$78,MATCH(AQ332,'Scoring Method'!$A$74:$A$78,0))*0.6667+INDEX('Scoring Method'!$B$96:$B$101,MATCH(AO332,'Scoring Method'!$A$96:$A$101,0))+INDEX('Scoring Method'!$B$343:$B$347,MATCH(X332,'Scoring Method'!$A$343:$A$347,0))*0.3333+INDEX('Scoring Method'!$B$25:$B$27,MATCH(P332,'Scoring Method'!$A$25:$A$27,0))*0.3333,1)</f>
        <v/>
      </c>
      <c r="AT332" s="96">
        <f>AS332*U332/100</f>
        <v/>
      </c>
      <c r="AU332" s="92" t="inlineStr">
        <is>
          <t>Central Business District</t>
        </is>
      </c>
      <c r="AV332" s="92" t="n">
        <v>48</v>
      </c>
      <c r="AW332" s="101" t="inlineStr">
        <is>
          <t>ESTIMATED</t>
        </is>
      </c>
      <c r="AX332" s="92" t="inlineStr">
        <is>
          <t>Mixed 45-59</t>
        </is>
      </c>
      <c r="AY332" s="96">
        <f>ROUND(INDEX('Scoring Method'!$B$132:$B$140,MATCH(AE332,'Scoring Method'!$A$132:$A$140,0))+INDEX('Scoring Method'!$B$144:$B$152,MATCH(AP332,'Scoring Method'!$A$144:$A$152,0))+INDEX('Scoring Method'!$B$156:$B$160,MATCH(AQ332,'Scoring Method'!$A$156:$A$160,0))+INDEX('Scoring Method'!$B$164:$B$169,MATCH(AO332,'Scoring Method'!$A$164:$A$169,0))+INDEX('Scoring Method'!$B$173:$B$178,MATCH(AX332,'Scoring Method'!$A$173:$A$178,0))+INDEX('Scoring Method'!$B$349:$B$353,MATCH(X332,'Scoring Method'!$A$349:$A$353,0))+INDEX('Scoring Method'!$B$188:$B$190,MATCH(P332,'Scoring Method'!$A$188:$A$190,0)),1)</f>
        <v/>
      </c>
      <c r="AZ332" s="96">
        <f>AY332*U332/100</f>
        <v/>
      </c>
      <c r="BA332" s="92" t="inlineStr">
        <is>
          <t>Owner-occupied operator</t>
        </is>
      </c>
      <c r="BB332" s="94" t="n">
        <v>0.8</v>
      </c>
      <c r="BC332" s="103" t="inlineStr">
        <is>
          <t>Extra small 0.15-0.25 AC</t>
        </is>
      </c>
      <c r="BD332" s="94" t="n">
        <v>0.8</v>
      </c>
      <c r="BE332" s="96">
        <f>ROUND(INDEX('Scoring Method'!$B$268:$B$276,MATCH(AE332,'Scoring Method'!$A$268:$A$276,0))+INDEX('Scoring Method'!$B$280:$B$288,MATCH(AP332,'Scoring Method'!$A$280:$A$288,0))+INDEX('Scoring Method'!$B$292:$B$296,MATCH(AQ332,'Scoring Method'!$A$292:$A$296,0))+INDEX('Scoring Method'!$B$300:$B$305,MATCH(AO332,'Scoring Method'!$A$300:$A$305,0))+INDEX('Scoring Method'!$B$309:$B$314,MATCH(AX332,'Scoring Method'!$A$309:$A$314,0))+INDEX('Scoring Method'!$B$337:$B$341,MATCH(X332,'Scoring Method'!$A$337:$A$341,0))+INDEX('Scoring Method'!$B$324:$B$326,MATCH(P332,'Scoring Method'!$A$324:$A$326,0)),1)</f>
        <v/>
      </c>
      <c r="BF332" s="96">
        <f>ROUND(INDEX('Scoring Method'!$B$268:$B$276,MATCH(AE332,'Scoring Method'!$A$268:$A$276,0))*BB332*BD332+INDEX('Scoring Method'!$B$280:$B$288,MATCH(AP332,'Scoring Method'!$A$280:$A$288,0))*BM332*BB332*BD332+INDEX('Scoring Method'!$B$292:$B$296,MATCH(AQ332,'Scoring Method'!$A$292:$A$296,0))*BD332+INDEX('Scoring Method'!$B$300:$B$305,MATCH(AO332,'Scoring Method'!$A$300:$A$305,0))*BM332*BB332+INDEX('Scoring Method'!$B$309:$B$314,MATCH(AX332,'Scoring Method'!$A$309:$A$314,0))+INDEX('Scoring Method'!$B$337:$B$341,MATCH(X332,'Scoring Method'!$A$337:$A$341,0))+INDEX('Scoring Method'!$B$324:$B$326,MATCH(P332,'Scoring Method'!$A$324:$A$326,0)),1)</f>
        <v/>
      </c>
      <c r="BG332" s="92" t="inlineStr">
        <is>
          <t>Over (~$18,044/mo)</t>
        </is>
      </c>
      <c r="BH332" s="61" t="inlineStr">
        <is>
          <t>DTC (HP)</t>
        </is>
      </c>
      <c r="BI332" s="61" t="inlineStr">
        <is>
          <t>Downtown Core</t>
        </is>
      </c>
      <c r="BJ332" s="61" t="inlineStr">
        <is>
          <t>HP</t>
        </is>
      </c>
      <c r="BK332" s="61" t="inlineStr"/>
      <c r="BL332" s="61" t="inlineStr">
        <is>
          <t>Bar permitted</t>
        </is>
      </c>
      <c r="BM332" s="61">
        <f>INDEX('Scoring Method'!$B$358:$B$363,MATCH(BL332,'Scoring Method'!$A$358:$A$363,0))</f>
        <v/>
      </c>
    </row>
    <row r="333" ht="15" customHeight="1" s="62">
      <c r="A333" s="92" t="n">
        <v>332</v>
      </c>
      <c r="B333" s="92" t="inlineStr">
        <is>
          <t>054-21-17-007.00</t>
        </is>
      </c>
      <c r="C333" s="92" t="inlineStr">
        <is>
          <t>415 MADISON AVE</t>
        </is>
      </c>
      <c r="D333" s="92" t="inlineStr">
        <is>
          <t>SAMWISE LLC</t>
        </is>
      </c>
      <c r="E333" s="92" t="inlineStr">
        <is>
          <t>415-19 MADISON AVE</t>
        </is>
      </c>
      <c r="F333" s="92" t="inlineStr">
        <is>
          <t>COVINGTON</t>
        </is>
      </c>
      <c r="G333" s="92" t="inlineStr">
        <is>
          <t>KY</t>
        </is>
      </c>
      <c r="H333" s="92" t="inlineStr">
        <is>
          <t>RESTAURANT CAFE/BAR</t>
        </is>
      </c>
      <c r="I333" s="93" t="n">
        <v>9025</v>
      </c>
      <c r="J333" s="94">
        <f>I333/43560</f>
        <v/>
      </c>
      <c r="K333" s="93" t="n">
        <v>475</v>
      </c>
      <c r="L333" s="95">
        <f>I333/(K333^2)</f>
        <v/>
      </c>
      <c r="M333" s="92" t="inlineStr">
        <is>
          <t>Poor &lt;10k/&gt;60k</t>
        </is>
      </c>
      <c r="N333" s="92" t="inlineStr">
        <is>
          <t>C</t>
        </is>
      </c>
      <c r="O333" s="92" t="inlineStr">
        <is>
          <t>Elongated .035-.045</t>
        </is>
      </c>
      <c r="P333" s="92" t="inlineStr">
        <is>
          <t>Low</t>
        </is>
      </c>
      <c r="Q333" s="92" t="inlineStr">
        <is>
          <t>Owner-occupied</t>
        </is>
      </c>
      <c r="R333" s="92" t="inlineStr">
        <is>
          <t>Operating entity</t>
        </is>
      </c>
      <c r="S333" s="92" t="n">
        <v>1</v>
      </c>
      <c r="T333" s="96">
        <f>INDEX('Scoring Method'!$B$6:$B$9,MATCH(M333,'Scoring Method'!$A$6:$A$9,0))+INDEX('Scoring Method'!$B$12:$B$16,MATCH(N333,'Scoring Method'!$A$12:$A$16,0))+INDEX('Scoring Method'!$B$19:$B$22,MATCH(O333,'Scoring Method'!$A$19:$A$22,0))+INDEX('Scoring Method'!$B$25:$B$27,MATCH(P333,'Scoring Method'!$A$25:$A$27,0))</f>
        <v/>
      </c>
      <c r="U333" s="96">
        <f>(INDEX('Scoring Method'!$B$30:$B$33,MATCH(Q333,'Scoring Method'!$A$30:$A$33,0))+INDEX('Scoring Method'!$B$36:$B$42,MATCH(R333,'Scoring Method'!$A$36:$A$42,0))+INDEX('Scoring Method'!$B$45:$B$47,MATCH(IF(S333=1,"1",IF(S333=2,"2","3+")),'Scoring Method'!$A$45:$A$47,0)))/90*100</f>
        <v/>
      </c>
      <c r="V333" s="96">
        <f>T333*U333/100</f>
        <v/>
      </c>
      <c r="W333" s="93" t="n">
        <v>7050</v>
      </c>
      <c r="X333" s="92" t="inlineStr">
        <is>
          <t>X (minimal hazard)</t>
        </is>
      </c>
      <c r="Y333" s="93" t="n">
        <v>4725</v>
      </c>
      <c r="Z333" s="97" t="n"/>
      <c r="AA333" s="98">
        <f>MAX(0,(Y333-5000)/300)</f>
        <v/>
      </c>
      <c r="AB333" s="92" t="n"/>
      <c r="AC333" s="92" t="n"/>
      <c r="AD333" s="92" t="n"/>
      <c r="AE333" s="92" t="inlineStr">
        <is>
          <t>Oversize 6-12k</t>
        </is>
      </c>
      <c r="AF333" s="96">
        <f>INDEX('Scoring Method'!$B$63:$B$71,MATCH(AE333,'Scoring Method'!$A$63:$A$71,0))+INDEX('Scoring Method'!$B$75:$B$79,MATCH("Tight 2-5k",'Scoring Method'!$A$75:$A$79,0))+INDEX('Scoring Method'!$B$343:$B$347,MATCH(X333,'Scoring Method'!$A$343:$A$347,0))+INDEX('Scoring Method'!$B$25:$B$27,MATCH(P333,'Scoring Method'!$A$25:$A$27,0))</f>
        <v/>
      </c>
      <c r="AG333" s="96">
        <f>AF333*U333/100</f>
        <v/>
      </c>
      <c r="AH333" s="92" t="inlineStr">
        <is>
          <t>LINK-GIS + LoopNet (2026-08-03)</t>
        </is>
      </c>
      <c r="AI333" s="99" t="n">
        <v>39.08646</v>
      </c>
      <c r="AJ333" s="99" t="n">
        <v>-84.51141</v>
      </c>
      <c r="AK333" s="94" t="n">
        <v>0.37</v>
      </c>
      <c r="AL333" s="94" t="n">
        <v>0.34</v>
      </c>
      <c r="AM333" s="94" t="n">
        <v>1.04</v>
      </c>
      <c r="AN333" s="94" t="n">
        <v>0.17</v>
      </c>
      <c r="AO333" s="92" t="inlineStr">
        <is>
          <t>Core &lt;=0.35mi</t>
        </is>
      </c>
      <c r="AP333" s="92" t="inlineStr">
        <is>
          <t>Built-out kitchen</t>
        </is>
      </c>
      <c r="AQ333" s="92" t="inlineStr">
        <is>
          <t>Tight 2-5k</t>
        </is>
      </c>
      <c r="AR333" s="100" t="n"/>
      <c r="AS333" s="96">
        <f>ROUND(INDEX('Scoring Method'!$B$63:$B$70,MATCH(AE333,'Scoring Method'!$A$63:$A$70,0))*0.625+INDEX('Scoring Method'!$B$105:$B$113,MATCH(AP333,'Scoring Method'!$A$105:$A$113,0))+INDEX('Scoring Method'!$B$74:$B$78,MATCH(AQ333,'Scoring Method'!$A$74:$A$78,0))*0.6667+INDEX('Scoring Method'!$B$96:$B$101,MATCH(AO333,'Scoring Method'!$A$96:$A$101,0))+INDEX('Scoring Method'!$B$343:$B$347,MATCH(X333,'Scoring Method'!$A$343:$A$347,0))*0.3333+INDEX('Scoring Method'!$B$25:$B$27,MATCH(P333,'Scoring Method'!$A$25:$A$27,0))*0.3333,1)</f>
        <v/>
      </c>
      <c r="AT333" s="96">
        <f>AS333*U333/100</f>
        <v/>
      </c>
      <c r="AU333" s="92" t="inlineStr">
        <is>
          <t>Central Business District</t>
        </is>
      </c>
      <c r="AV333" s="92" t="n">
        <v>48</v>
      </c>
      <c r="AW333" s="101" t="inlineStr">
        <is>
          <t>ESTIMATED</t>
        </is>
      </c>
      <c r="AX333" s="92" t="inlineStr">
        <is>
          <t>Mixed 45-59</t>
        </is>
      </c>
      <c r="AY333" s="96">
        <f>ROUND(INDEX('Scoring Method'!$B$132:$B$140,MATCH(AE333,'Scoring Method'!$A$132:$A$140,0))+INDEX('Scoring Method'!$B$144:$B$152,MATCH(AP333,'Scoring Method'!$A$144:$A$152,0))+INDEX('Scoring Method'!$B$156:$B$160,MATCH(AQ333,'Scoring Method'!$A$156:$A$160,0))+INDEX('Scoring Method'!$B$164:$B$169,MATCH(AO333,'Scoring Method'!$A$164:$A$169,0))+INDEX('Scoring Method'!$B$173:$B$178,MATCH(AX333,'Scoring Method'!$A$173:$A$178,0))+INDEX('Scoring Method'!$B$349:$B$353,MATCH(X333,'Scoring Method'!$A$349:$A$353,0))+INDEX('Scoring Method'!$B$188:$B$190,MATCH(P333,'Scoring Method'!$A$188:$A$190,0)),1)</f>
        <v/>
      </c>
      <c r="AZ333" s="96">
        <f>AY333*U333/100</f>
        <v/>
      </c>
      <c r="BA333" s="92" t="inlineStr">
        <is>
          <t>Owner-occupied operator</t>
        </is>
      </c>
      <c r="BB333" s="94" t="n">
        <v>0.8</v>
      </c>
      <c r="BC333" s="103" t="inlineStr">
        <is>
          <t>Extra small 0.15-0.25 AC</t>
        </is>
      </c>
      <c r="BD333" s="94" t="n">
        <v>0.8</v>
      </c>
      <c r="BE333" s="96">
        <f>ROUND(INDEX('Scoring Method'!$B$268:$B$276,MATCH(AE333,'Scoring Method'!$A$268:$A$276,0))+INDEX('Scoring Method'!$B$280:$B$288,MATCH(AP333,'Scoring Method'!$A$280:$A$288,0))+INDEX('Scoring Method'!$B$292:$B$296,MATCH(AQ333,'Scoring Method'!$A$292:$A$296,0))+INDEX('Scoring Method'!$B$300:$B$305,MATCH(AO333,'Scoring Method'!$A$300:$A$305,0))+INDEX('Scoring Method'!$B$309:$B$314,MATCH(AX333,'Scoring Method'!$A$309:$A$314,0))+INDEX('Scoring Method'!$B$337:$B$341,MATCH(X333,'Scoring Method'!$A$337:$A$341,0))+INDEX('Scoring Method'!$B$324:$B$326,MATCH(P333,'Scoring Method'!$A$324:$A$326,0)),1)</f>
        <v/>
      </c>
      <c r="BF333" s="96">
        <f>ROUND(INDEX('Scoring Method'!$B$268:$B$276,MATCH(AE333,'Scoring Method'!$A$268:$A$276,0))*BB333*BD333+INDEX('Scoring Method'!$B$280:$B$288,MATCH(AP333,'Scoring Method'!$A$280:$A$288,0))*BM333*BB333*BD333+INDEX('Scoring Method'!$B$292:$B$296,MATCH(AQ333,'Scoring Method'!$A$292:$A$296,0))*BD333+INDEX('Scoring Method'!$B$300:$B$305,MATCH(AO333,'Scoring Method'!$A$300:$A$305,0))*BM333*BB333+INDEX('Scoring Method'!$B$309:$B$314,MATCH(AX333,'Scoring Method'!$A$309:$A$314,0))+INDEX('Scoring Method'!$B$337:$B$341,MATCH(X333,'Scoring Method'!$A$337:$A$341,0))+INDEX('Scoring Method'!$B$324:$B$326,MATCH(P333,'Scoring Method'!$A$324:$A$326,0)),1)</f>
        <v/>
      </c>
      <c r="BG333" s="92" t="inlineStr">
        <is>
          <t>Fits (~$6,462/mo)</t>
        </is>
      </c>
      <c r="BH333" s="61" t="inlineStr">
        <is>
          <t>DTC (HP)</t>
        </is>
      </c>
      <c r="BI333" s="61" t="inlineStr">
        <is>
          <t>Downtown Core</t>
        </is>
      </c>
      <c r="BJ333" s="61" t="inlineStr">
        <is>
          <t>HP</t>
        </is>
      </c>
      <c r="BK333" s="61" t="inlineStr"/>
      <c r="BL333" s="61" t="inlineStr">
        <is>
          <t>Bar permitted</t>
        </is>
      </c>
      <c r="BM333" s="61">
        <f>INDEX('Scoring Method'!$B$358:$B$363,MATCH(BL333,'Scoring Method'!$A$358:$A$363,0))</f>
        <v/>
      </c>
    </row>
    <row r="334" ht="15" customHeight="1" s="62">
      <c r="A334" s="92" t="n">
        <v>333</v>
      </c>
      <c r="B334" s="92" t="inlineStr">
        <is>
          <t>054-14-13-009.01</t>
        </is>
      </c>
      <c r="C334" s="92" t="inlineStr">
        <is>
          <t>211 GARRARD ST</t>
        </is>
      </c>
      <c r="D334" s="92" t="inlineStr">
        <is>
          <t>D &amp; H REAL ESTATE LLC</t>
        </is>
      </c>
      <c r="E334" s="92" t="inlineStr">
        <is>
          <t>211 GARRARD ST</t>
        </is>
      </c>
      <c r="F334" s="92" t="inlineStr">
        <is>
          <t>COVINGTON</t>
        </is>
      </c>
      <c r="G334" s="92" t="inlineStr">
        <is>
          <t>KY</t>
        </is>
      </c>
      <c r="H334" s="92" t="inlineStr">
        <is>
          <t>OFFICE BLDG 1 OR 2 STORY</t>
        </is>
      </c>
      <c r="I334" s="93" t="n">
        <v>10668</v>
      </c>
      <c r="J334" s="94">
        <f>I334/43560</f>
        <v/>
      </c>
      <c r="K334" s="93" t="n">
        <v>492</v>
      </c>
      <c r="L334" s="95">
        <f>I334/(K334^2)</f>
        <v/>
      </c>
      <c r="M334" s="92" t="inlineStr">
        <is>
          <t>Marginal 10-14k/45-60k</t>
        </is>
      </c>
      <c r="N334" s="92" t="inlineStr">
        <is>
          <t>E</t>
        </is>
      </c>
      <c r="O334" s="92" t="inlineStr">
        <is>
          <t>Elongated .035-.045</t>
        </is>
      </c>
      <c r="P334" s="92" t="inlineStr">
        <is>
          <t>Low</t>
        </is>
      </c>
      <c r="Q334" s="92" t="inlineStr">
        <is>
          <t>Owner-occupied</t>
        </is>
      </c>
      <c r="R334" s="92" t="inlineStr">
        <is>
          <t>Operating entity</t>
        </is>
      </c>
      <c r="S334" s="92" t="n">
        <v>1</v>
      </c>
      <c r="T334" s="96">
        <f>INDEX('Scoring Method'!$B$6:$B$9,MATCH(M334,'Scoring Method'!$A$6:$A$9,0))+INDEX('Scoring Method'!$B$12:$B$16,MATCH(N334,'Scoring Method'!$A$12:$A$16,0))+INDEX('Scoring Method'!$B$19:$B$22,MATCH(O334,'Scoring Method'!$A$19:$A$22,0))+INDEX('Scoring Method'!$B$25:$B$27,MATCH(P334,'Scoring Method'!$A$25:$A$27,0))</f>
        <v/>
      </c>
      <c r="U334" s="96">
        <f>(INDEX('Scoring Method'!$B$30:$B$33,MATCH(Q334,'Scoring Method'!$A$30:$A$33,0))+INDEX('Scoring Method'!$B$36:$B$42,MATCH(R334,'Scoring Method'!$A$36:$A$42,0))+INDEX('Scoring Method'!$B$45:$B$47,MATCH(IF(S334=1,"1",IF(S334=2,"2","3+")),'Scoring Method'!$A$45:$A$47,0)))/90*100</f>
        <v/>
      </c>
      <c r="V334" s="96">
        <f>T334*U334/100</f>
        <v/>
      </c>
      <c r="W334" s="93" t="n">
        <v>6900</v>
      </c>
      <c r="X334" s="92" t="inlineStr">
        <is>
          <t>X (minimal hazard)</t>
        </is>
      </c>
      <c r="Y334" s="93" t="n">
        <v>5750</v>
      </c>
      <c r="Z334" s="97" t="n"/>
      <c r="AA334" s="98">
        <f>MAX(0,(Y334-5000)/300)</f>
        <v/>
      </c>
      <c r="AB334" s="92" t="n"/>
      <c r="AC334" s="92" t="n"/>
      <c r="AD334" s="92" t="n"/>
      <c r="AE334" s="92" t="inlineStr">
        <is>
          <t>Oversize 6-12k</t>
        </is>
      </c>
      <c r="AF334" s="96">
        <f>INDEX('Scoring Method'!$B$63:$B$71,MATCH(AE334,'Scoring Method'!$A$63:$A$71,0))+INDEX('Scoring Method'!$B$75:$B$79,MATCH("Adequate 5-8k",'Scoring Method'!$A$75:$A$79,0))+INDEX('Scoring Method'!$B$343:$B$347,MATCH(X334,'Scoring Method'!$A$343:$A$347,0))+INDEX('Scoring Method'!$B$25:$B$27,MATCH(P334,'Scoring Method'!$A$25:$A$27,0))</f>
        <v/>
      </c>
      <c r="AG334" s="96">
        <f>AF334*U334/100</f>
        <v/>
      </c>
      <c r="AH334" s="92" t="inlineStr">
        <is>
          <t>LINK-GIS + LoopNet (2026-08-03)</t>
        </is>
      </c>
      <c r="AI334" s="99" t="n">
        <v>39.08963</v>
      </c>
      <c r="AJ334" s="99" t="n">
        <v>-84.50721</v>
      </c>
      <c r="AK334" s="94" t="n">
        <v>0.68</v>
      </c>
      <c r="AL334" s="94" t="n">
        <v>0.1</v>
      </c>
      <c r="AM334" s="94" t="n">
        <v>0.87</v>
      </c>
      <c r="AN334" s="94" t="n">
        <v>0.1</v>
      </c>
      <c r="AO334" s="92" t="inlineStr">
        <is>
          <t>Core &lt;=0.35mi</t>
        </is>
      </c>
      <c r="AP334" s="92" t="inlineStr">
        <is>
          <t>Office/institutional</t>
        </is>
      </c>
      <c r="AQ334" s="92" t="inlineStr">
        <is>
          <t>Adequate 5-8k</t>
        </is>
      </c>
      <c r="AR334" s="100" t="n"/>
      <c r="AS334" s="96">
        <f>ROUND(INDEX('Scoring Method'!$B$63:$B$70,MATCH(AE334,'Scoring Method'!$A$63:$A$70,0))*0.625+INDEX('Scoring Method'!$B$105:$B$113,MATCH(AP334,'Scoring Method'!$A$105:$A$113,0))+INDEX('Scoring Method'!$B$74:$B$78,MATCH(AQ334,'Scoring Method'!$A$74:$A$78,0))*0.6667+INDEX('Scoring Method'!$B$96:$B$101,MATCH(AO334,'Scoring Method'!$A$96:$A$101,0))+INDEX('Scoring Method'!$B$343:$B$347,MATCH(X334,'Scoring Method'!$A$343:$A$347,0))*0.3333+INDEX('Scoring Method'!$B$25:$B$27,MATCH(P334,'Scoring Method'!$A$25:$A$27,0))*0.3333,1)</f>
        <v/>
      </c>
      <c r="AT334" s="96">
        <f>AS334*U334/100</f>
        <v/>
      </c>
      <c r="AU334" s="92" t="inlineStr">
        <is>
          <t>Central Business District</t>
        </is>
      </c>
      <c r="AV334" s="92" t="n">
        <v>48</v>
      </c>
      <c r="AW334" s="101" t="inlineStr">
        <is>
          <t>ESTIMATED</t>
        </is>
      </c>
      <c r="AX334" s="92" t="inlineStr">
        <is>
          <t>Mixed 45-59</t>
        </is>
      </c>
      <c r="AY334" s="96">
        <f>ROUND(INDEX('Scoring Method'!$B$132:$B$140,MATCH(AE334,'Scoring Method'!$A$132:$A$140,0))+INDEX('Scoring Method'!$B$144:$B$152,MATCH(AP334,'Scoring Method'!$A$144:$A$152,0))+INDEX('Scoring Method'!$B$156:$B$160,MATCH(AQ334,'Scoring Method'!$A$156:$A$160,0))+INDEX('Scoring Method'!$B$164:$B$169,MATCH(AO334,'Scoring Method'!$A$164:$A$169,0))+INDEX('Scoring Method'!$B$173:$B$178,MATCH(AX334,'Scoring Method'!$A$173:$A$178,0))+INDEX('Scoring Method'!$B$349:$B$353,MATCH(X334,'Scoring Method'!$A$349:$A$353,0))+INDEX('Scoring Method'!$B$188:$B$190,MATCH(P334,'Scoring Method'!$A$188:$A$190,0)),1)</f>
        <v/>
      </c>
      <c r="AZ334" s="96">
        <f>AY334*U334/100</f>
        <v/>
      </c>
      <c r="BA334" s="92" t="inlineStr">
        <is>
          <t>Owner-occupied operator</t>
        </is>
      </c>
      <c r="BB334" s="94" t="n">
        <v>0.8</v>
      </c>
      <c r="BC334" s="103" t="inlineStr">
        <is>
          <t>Extra small 0.15-0.25 AC</t>
        </is>
      </c>
      <c r="BD334" s="94" t="n">
        <v>0.8</v>
      </c>
      <c r="BE334" s="96">
        <f>ROUND(INDEX('Scoring Method'!$B$268:$B$276,MATCH(AE334,'Scoring Method'!$A$268:$A$276,0))+INDEX('Scoring Method'!$B$280:$B$288,MATCH(AP334,'Scoring Method'!$A$280:$A$288,0))+INDEX('Scoring Method'!$B$292:$B$296,MATCH(AQ334,'Scoring Method'!$A$292:$A$296,0))+INDEX('Scoring Method'!$B$300:$B$305,MATCH(AO334,'Scoring Method'!$A$300:$A$305,0))+INDEX('Scoring Method'!$B$309:$B$314,MATCH(AX334,'Scoring Method'!$A$309:$A$314,0))+INDEX('Scoring Method'!$B$337:$B$341,MATCH(X334,'Scoring Method'!$A$337:$A$341,0))+INDEX('Scoring Method'!$B$324:$B$326,MATCH(P334,'Scoring Method'!$A$324:$A$326,0)),1)</f>
        <v/>
      </c>
      <c r="BF334" s="96">
        <f>ROUND(INDEX('Scoring Method'!$B$268:$B$276,MATCH(AE334,'Scoring Method'!$A$268:$A$276,0))*BB334*BD334+INDEX('Scoring Method'!$B$280:$B$288,MATCH(AP334,'Scoring Method'!$A$280:$A$288,0))*BM334*BB334*BD334+INDEX('Scoring Method'!$B$292:$B$296,MATCH(AQ334,'Scoring Method'!$A$292:$A$296,0))*BD334+INDEX('Scoring Method'!$B$300:$B$305,MATCH(AO334,'Scoring Method'!$A$300:$A$305,0))*BM334*BB334+INDEX('Scoring Method'!$B$309:$B$314,MATCH(AX334,'Scoring Method'!$A$309:$A$314,0))+INDEX('Scoring Method'!$B$337:$B$341,MATCH(X334,'Scoring Method'!$A$337:$A$341,0))+INDEX('Scoring Method'!$B$324:$B$326,MATCH(P334,'Scoring Method'!$A$324:$A$326,0)),1)</f>
        <v/>
      </c>
      <c r="BG334" s="92" t="inlineStr">
        <is>
          <t>Fits (~$6,325/mo)</t>
        </is>
      </c>
      <c r="BH334" s="61" t="inlineStr">
        <is>
          <t>TUR (HP)</t>
        </is>
      </c>
      <c r="BI334" s="61" t="inlineStr">
        <is>
          <t>Traditional Urban Residential</t>
        </is>
      </c>
      <c r="BJ334" s="61" t="inlineStr">
        <is>
          <t>HP</t>
        </is>
      </c>
      <c r="BK334" s="61" t="inlineStr"/>
      <c r="BL334" s="61" t="inlineStr">
        <is>
          <t>Bar prohibited, alt-path</t>
        </is>
      </c>
      <c r="BM334" s="61">
        <f>INDEX('Scoring Method'!$B$358:$B$363,MATCH(BL334,'Scoring Method'!$A$358:$A$363,0))</f>
        <v/>
      </c>
    </row>
    <row r="335" ht="15" customHeight="1" s="62">
      <c r="A335" s="92" t="n">
        <v>334</v>
      </c>
      <c r="B335" s="92" t="inlineStr">
        <is>
          <t>054-23-11-004.00</t>
        </is>
      </c>
      <c r="C335" s="92" t="inlineStr">
        <is>
          <t>117 E 4TH ST</t>
        </is>
      </c>
      <c r="D335" s="92" t="inlineStr">
        <is>
          <t>4TH STREET LLC</t>
        </is>
      </c>
      <c r="E335" s="92" t="inlineStr">
        <is>
          <t>117 E 4TH ST</t>
        </is>
      </c>
      <c r="F335" s="92" t="inlineStr">
        <is>
          <t>COVINGTON</t>
        </is>
      </c>
      <c r="G335" s="92" t="inlineStr">
        <is>
          <t>KY</t>
        </is>
      </c>
      <c r="H335" s="92" t="inlineStr">
        <is>
          <t>OFFICE BLDG 1 OR 2 STORY</t>
        </is>
      </c>
      <c r="I335" s="93" t="n">
        <v>10503</v>
      </c>
      <c r="J335" s="94">
        <f>I335/43560</f>
        <v/>
      </c>
      <c r="K335" s="93" t="n">
        <v>536</v>
      </c>
      <c r="L335" s="95">
        <f>I335/(K335^2)</f>
        <v/>
      </c>
      <c r="M335" s="92" t="inlineStr">
        <is>
          <t>Marginal 10-14k/45-60k</t>
        </is>
      </c>
      <c r="N335" s="92" t="inlineStr">
        <is>
          <t>E</t>
        </is>
      </c>
      <c r="O335" s="92" t="inlineStr">
        <is>
          <t>Elongated .035-.045</t>
        </is>
      </c>
      <c r="P335" s="92" t="inlineStr">
        <is>
          <t>Low</t>
        </is>
      </c>
      <c r="Q335" s="92" t="inlineStr">
        <is>
          <t>Owner-occupied</t>
        </is>
      </c>
      <c r="R335" s="92" t="inlineStr">
        <is>
          <t>Operating entity</t>
        </is>
      </c>
      <c r="S335" s="92" t="n">
        <v>1</v>
      </c>
      <c r="T335" s="96">
        <f>INDEX('Scoring Method'!$B$6:$B$9,MATCH(M335,'Scoring Method'!$A$6:$A$9,0))+INDEX('Scoring Method'!$B$12:$B$16,MATCH(N335,'Scoring Method'!$A$12:$A$16,0))+INDEX('Scoring Method'!$B$19:$B$22,MATCH(O335,'Scoring Method'!$A$19:$A$22,0))+INDEX('Scoring Method'!$B$25:$B$27,MATCH(P335,'Scoring Method'!$A$25:$A$27,0))</f>
        <v/>
      </c>
      <c r="U335" s="96">
        <f>(INDEX('Scoring Method'!$B$30:$B$33,MATCH(Q335,'Scoring Method'!$A$30:$A$33,0))+INDEX('Scoring Method'!$B$36:$B$42,MATCH(R335,'Scoring Method'!$A$36:$A$42,0))+INDEX('Scoring Method'!$B$45:$B$47,MATCH(IF(S335=1,"1",IF(S335=2,"2","3+")),'Scoring Method'!$A$45:$A$47,0)))/90*100</f>
        <v/>
      </c>
      <c r="V335" s="96">
        <f>T335*U335/100</f>
        <v/>
      </c>
      <c r="W335" s="93" t="n">
        <v>13605</v>
      </c>
      <c r="X335" s="92" t="inlineStr">
        <is>
          <t>X (minimal hazard)</t>
        </is>
      </c>
      <c r="Y335" s="93" t="n">
        <v>5425</v>
      </c>
      <c r="Z335" s="97" t="n"/>
      <c r="AA335" s="98">
        <f>MAX(0,(Y335-5000)/300)</f>
        <v/>
      </c>
      <c r="AB335" s="92" t="n"/>
      <c r="AC335" s="92" t="n"/>
      <c r="AD335" s="92" t="n"/>
      <c r="AE335" s="92" t="inlineStr">
        <is>
          <t>Far oversize &gt;12k</t>
        </is>
      </c>
      <c r="AF335" s="96">
        <f>INDEX('Scoring Method'!$B$63:$B$71,MATCH(AE335,'Scoring Method'!$A$63:$A$71,0))+INDEX('Scoring Method'!$B$75:$B$79,MATCH("Adequate 5-8k",'Scoring Method'!$A$75:$A$79,0))+INDEX('Scoring Method'!$B$343:$B$347,MATCH(X335,'Scoring Method'!$A$343:$A$347,0))+INDEX('Scoring Method'!$B$25:$B$27,MATCH(P335,'Scoring Method'!$A$25:$A$27,0))</f>
        <v/>
      </c>
      <c r="AG335" s="96">
        <f>AF335*U335/100</f>
        <v/>
      </c>
      <c r="AH335" s="92" t="inlineStr">
        <is>
          <t>LINK-GIS + LoopNet (2026-08-03)</t>
        </is>
      </c>
      <c r="AI335" s="99" t="n">
        <v>39.08707</v>
      </c>
      <c r="AJ335" s="99" t="n">
        <v>-84.50838</v>
      </c>
      <c r="AK335" s="94" t="n">
        <v>0.54</v>
      </c>
      <c r="AL335" s="94" t="n">
        <v>0.26</v>
      </c>
      <c r="AM335" s="94" t="n">
        <v>1.02</v>
      </c>
      <c r="AN335" s="94" t="n">
        <v>0.26</v>
      </c>
      <c r="AO335" s="92" t="inlineStr">
        <is>
          <t>Core &lt;=0.35mi</t>
        </is>
      </c>
      <c r="AP335" s="92" t="inlineStr">
        <is>
          <t>Office/institutional</t>
        </is>
      </c>
      <c r="AQ335" s="92" t="inlineStr">
        <is>
          <t>Adequate 5-8k</t>
        </is>
      </c>
      <c r="AR335" s="100" t="n"/>
      <c r="AS335" s="96">
        <f>ROUND(INDEX('Scoring Method'!$B$63:$B$70,MATCH(AE335,'Scoring Method'!$A$63:$A$70,0))*0.625+INDEX('Scoring Method'!$B$105:$B$113,MATCH(AP335,'Scoring Method'!$A$105:$A$113,0))+INDEX('Scoring Method'!$B$74:$B$78,MATCH(AQ335,'Scoring Method'!$A$74:$A$78,0))*0.6667+INDEX('Scoring Method'!$B$96:$B$101,MATCH(AO335,'Scoring Method'!$A$96:$A$101,0))+INDEX('Scoring Method'!$B$343:$B$347,MATCH(X335,'Scoring Method'!$A$343:$A$347,0))*0.3333+INDEX('Scoring Method'!$B$25:$B$27,MATCH(P335,'Scoring Method'!$A$25:$A$27,0))*0.3333,1)</f>
        <v/>
      </c>
      <c r="AT335" s="96">
        <f>AS335*U335/100</f>
        <v/>
      </c>
      <c r="AU335" s="92" t="inlineStr">
        <is>
          <t>Central Business District</t>
        </is>
      </c>
      <c r="AV335" s="92" t="n">
        <v>48</v>
      </c>
      <c r="AW335" s="101" t="inlineStr">
        <is>
          <t>ESTIMATED</t>
        </is>
      </c>
      <c r="AX335" s="92" t="inlineStr">
        <is>
          <t>Mixed 45-59</t>
        </is>
      </c>
      <c r="AY335" s="96">
        <f>ROUND(INDEX('Scoring Method'!$B$132:$B$140,MATCH(AE335,'Scoring Method'!$A$132:$A$140,0))+INDEX('Scoring Method'!$B$144:$B$152,MATCH(AP335,'Scoring Method'!$A$144:$A$152,0))+INDEX('Scoring Method'!$B$156:$B$160,MATCH(AQ335,'Scoring Method'!$A$156:$A$160,0))+INDEX('Scoring Method'!$B$164:$B$169,MATCH(AO335,'Scoring Method'!$A$164:$A$169,0))+INDEX('Scoring Method'!$B$173:$B$178,MATCH(AX335,'Scoring Method'!$A$173:$A$178,0))+INDEX('Scoring Method'!$B$349:$B$353,MATCH(X335,'Scoring Method'!$A$349:$A$353,0))+INDEX('Scoring Method'!$B$188:$B$190,MATCH(P335,'Scoring Method'!$A$188:$A$190,0)),1)</f>
        <v/>
      </c>
      <c r="AZ335" s="96">
        <f>AY335*U335/100</f>
        <v/>
      </c>
      <c r="BA335" s="92" t="inlineStr">
        <is>
          <t>Owner-occupied operator</t>
        </is>
      </c>
      <c r="BB335" s="94" t="n">
        <v>0.8</v>
      </c>
      <c r="BC335" s="103" t="inlineStr">
        <is>
          <t>Extra small 0.15-0.25 AC</t>
        </is>
      </c>
      <c r="BD335" s="94" t="n">
        <v>0.8</v>
      </c>
      <c r="BE335" s="96">
        <f>ROUND(INDEX('Scoring Method'!$B$268:$B$276,MATCH(AE335,'Scoring Method'!$A$268:$A$276,0))+INDEX('Scoring Method'!$B$280:$B$288,MATCH(AP335,'Scoring Method'!$A$280:$A$288,0))+INDEX('Scoring Method'!$B$292:$B$296,MATCH(AQ335,'Scoring Method'!$A$292:$A$296,0))+INDEX('Scoring Method'!$B$300:$B$305,MATCH(AO335,'Scoring Method'!$A$300:$A$305,0))+INDEX('Scoring Method'!$B$309:$B$314,MATCH(AX335,'Scoring Method'!$A$309:$A$314,0))+INDEX('Scoring Method'!$B$337:$B$341,MATCH(X335,'Scoring Method'!$A$337:$A$341,0))+INDEX('Scoring Method'!$B$324:$B$326,MATCH(P335,'Scoring Method'!$A$324:$A$326,0)),1)</f>
        <v/>
      </c>
      <c r="BF335" s="96">
        <f>ROUND(INDEX('Scoring Method'!$B$268:$B$276,MATCH(AE335,'Scoring Method'!$A$268:$A$276,0))*BB335*BD335+INDEX('Scoring Method'!$B$280:$B$288,MATCH(AP335,'Scoring Method'!$A$280:$A$288,0))*BM335*BB335*BD335+INDEX('Scoring Method'!$B$292:$B$296,MATCH(AQ335,'Scoring Method'!$A$292:$A$296,0))*BD335+INDEX('Scoring Method'!$B$300:$B$305,MATCH(AO335,'Scoring Method'!$A$300:$A$305,0))*BM335*BB335+INDEX('Scoring Method'!$B$309:$B$314,MATCH(AX335,'Scoring Method'!$A$309:$A$314,0))+INDEX('Scoring Method'!$B$337:$B$341,MATCH(X335,'Scoring Method'!$A$337:$A$341,0))+INDEX('Scoring Method'!$B$324:$B$326,MATCH(P335,'Scoring Method'!$A$324:$A$326,0)),1)</f>
        <v/>
      </c>
      <c r="BG335" s="92" t="inlineStr">
        <is>
          <t>Over (~$12,471/mo)</t>
        </is>
      </c>
      <c r="BH335" s="61" t="inlineStr">
        <is>
          <t>DTC (HP)</t>
        </is>
      </c>
      <c r="BI335" s="61" t="inlineStr">
        <is>
          <t>Downtown Core</t>
        </is>
      </c>
      <c r="BJ335" s="61" t="inlineStr">
        <is>
          <t>HP</t>
        </is>
      </c>
      <c r="BK335" s="61" t="inlineStr"/>
      <c r="BL335" s="61" t="inlineStr">
        <is>
          <t>Bar permitted</t>
        </is>
      </c>
      <c r="BM335" s="61">
        <f>INDEX('Scoring Method'!$B$358:$B$363,MATCH(BL335,'Scoring Method'!$A$358:$A$363,0))</f>
        <v/>
      </c>
    </row>
    <row r="336" ht="15" customHeight="1" s="62">
      <c r="A336" s="92" t="n">
        <v>335</v>
      </c>
      <c r="B336" s="92" t="inlineStr">
        <is>
          <t>054-22-07-024.00</t>
        </is>
      </c>
      <c r="C336" s="92" t="inlineStr">
        <is>
          <t>420 W PIKE ST</t>
        </is>
      </c>
      <c r="D336" s="92" t="inlineStr">
        <is>
          <t>MAAUMA COVINGTON LLC</t>
        </is>
      </c>
      <c r="E336" s="92" t="inlineStr">
        <is>
          <t>420 PIKE ST</t>
        </is>
      </c>
      <c r="F336" s="92" t="inlineStr">
        <is>
          <t>COVINGTON</t>
        </is>
      </c>
      <c r="G336" s="92" t="inlineStr">
        <is>
          <t>KY</t>
        </is>
      </c>
      <c r="H336" s="92" t="inlineStr">
        <is>
          <t>GAS STATION/CONVENIENCE STORE</t>
        </is>
      </c>
      <c r="I336" s="93" t="n">
        <v>12193</v>
      </c>
      <c r="J336" s="94">
        <f>I336/43560</f>
        <v/>
      </c>
      <c r="K336" s="93" t="n">
        <v>452.7</v>
      </c>
      <c r="L336" s="95">
        <f>I336/(K336^2)</f>
        <v/>
      </c>
      <c r="M336" s="92" t="inlineStr">
        <is>
          <t>Marginal 10-14k/45-60k</t>
        </is>
      </c>
      <c r="N336" s="92" t="inlineStr">
        <is>
          <t>E</t>
        </is>
      </c>
      <c r="O336" s="92" t="inlineStr">
        <is>
          <t>Compact &gt;=.055</t>
        </is>
      </c>
      <c r="P336" s="92" t="inlineStr">
        <is>
          <t>High</t>
        </is>
      </c>
      <c r="Q336" s="92" t="inlineStr">
        <is>
          <t>Owner-occupied</t>
        </is>
      </c>
      <c r="R336" s="92" t="inlineStr">
        <is>
          <t>Operating entity</t>
        </is>
      </c>
      <c r="S336" s="92" t="n">
        <v>1</v>
      </c>
      <c r="T336" s="96">
        <f>INDEX('Scoring Method'!$B$6:$B$9,MATCH(M336,'Scoring Method'!$A$6:$A$9,0))+INDEX('Scoring Method'!$B$12:$B$16,MATCH(N336,'Scoring Method'!$A$12:$A$16,0))+INDEX('Scoring Method'!$B$19:$B$22,MATCH(O336,'Scoring Method'!$A$19:$A$22,0))+INDEX('Scoring Method'!$B$25:$B$27,MATCH(P336,'Scoring Method'!$A$25:$A$27,0))</f>
        <v/>
      </c>
      <c r="U336" s="96">
        <f>(INDEX('Scoring Method'!$B$30:$B$33,MATCH(Q336,'Scoring Method'!$A$30:$A$33,0))+INDEX('Scoring Method'!$B$36:$B$42,MATCH(R336,'Scoring Method'!$A$36:$A$42,0))+INDEX('Scoring Method'!$B$45:$B$47,MATCH(IF(S336=1,"1",IF(S336=2,"2","3+")),'Scoring Method'!$A$45:$A$47,0)))/90*100</f>
        <v/>
      </c>
      <c r="V336" s="96">
        <f>T336*U336/100</f>
        <v/>
      </c>
      <c r="W336" s="93" t="n">
        <v>3112</v>
      </c>
      <c r="X336" s="92" t="inlineStr">
        <is>
          <t>X (minimal hazard)</t>
        </is>
      </c>
      <c r="Y336" s="93" t="n">
        <v>4550</v>
      </c>
      <c r="Z336" s="97" t="n"/>
      <c r="AA336" s="98">
        <f>MAX(0,(Y336-5000)/300)</f>
        <v/>
      </c>
      <c r="AB336" s="92" t="n"/>
      <c r="AC336" s="92" t="n"/>
      <c r="AD336" s="92" t="n"/>
      <c r="AE336" s="92" t="inlineStr">
        <is>
          <t>Above 2.5-4k</t>
        </is>
      </c>
      <c r="AF336" s="96">
        <f>INDEX('Scoring Method'!$B$63:$B$71,MATCH(AE336,'Scoring Method'!$A$63:$A$71,0))+INDEX('Scoring Method'!$B$75:$B$79,MATCH("Tight 2-5k",'Scoring Method'!$A$75:$A$79,0))+INDEX('Scoring Method'!$B$343:$B$347,MATCH(X336,'Scoring Method'!$A$343:$A$347,0))+INDEX('Scoring Method'!$B$25:$B$27,MATCH(P336,'Scoring Method'!$A$25:$A$27,0))</f>
        <v/>
      </c>
      <c r="AG336" s="96">
        <f>AF336*U336/100</f>
        <v/>
      </c>
      <c r="AH336" s="92" t="inlineStr">
        <is>
          <t>LINK-GIS + LoopNet (2026-08-03)</t>
        </is>
      </c>
      <c r="AI336" s="99" t="n">
        <v>39.07897</v>
      </c>
      <c r="AJ336" s="99" t="n">
        <v>-84.51679</v>
      </c>
      <c r="AK336" s="94" t="n">
        <v>0.38</v>
      </c>
      <c r="AL336" s="94" t="n">
        <v>0.9399999999999999</v>
      </c>
      <c r="AM336" s="94" t="n">
        <v>1.57</v>
      </c>
      <c r="AN336" s="94" t="n">
        <v>0.38</v>
      </c>
      <c r="AO336" s="92" t="inlineStr">
        <is>
          <t>Near 0.35-0.75mi</t>
        </is>
      </c>
      <c r="AP336" s="92" t="inlineStr">
        <is>
          <t>Built-out kitchen</t>
        </is>
      </c>
      <c r="AQ336" s="92" t="inlineStr">
        <is>
          <t>Tight 2-5k</t>
        </is>
      </c>
      <c r="AR336" s="100" t="n"/>
      <c r="AS336" s="96">
        <f>ROUND(INDEX('Scoring Method'!$B$63:$B$70,MATCH(AE336,'Scoring Method'!$A$63:$A$70,0))*0.625+INDEX('Scoring Method'!$B$105:$B$113,MATCH(AP336,'Scoring Method'!$A$105:$A$113,0))+INDEX('Scoring Method'!$B$74:$B$78,MATCH(AQ336,'Scoring Method'!$A$74:$A$78,0))*0.6667+INDEX('Scoring Method'!$B$96:$B$101,MATCH(AO336,'Scoring Method'!$A$96:$A$101,0))+INDEX('Scoring Method'!$B$343:$B$347,MATCH(X336,'Scoring Method'!$A$343:$A$347,0))*0.3333+INDEX('Scoring Method'!$B$25:$B$27,MATCH(P336,'Scoring Method'!$A$25:$A$27,0))*0.3333,1)</f>
        <v/>
      </c>
      <c r="AT336" s="96">
        <f>AS336*U336/100</f>
        <v/>
      </c>
      <c r="AU336" s="92" t="inlineStr">
        <is>
          <t>Old Seminary Square</t>
        </is>
      </c>
      <c r="AV336" s="92" t="n">
        <v>35</v>
      </c>
      <c r="AW336" s="101" t="inlineStr">
        <is>
          <t>ESTIMATED</t>
        </is>
      </c>
      <c r="AX336" s="92" t="inlineStr">
        <is>
          <t>Elevated 35-44</t>
        </is>
      </c>
      <c r="AY336" s="96">
        <f>ROUND(INDEX('Scoring Method'!$B$132:$B$140,MATCH(AE336,'Scoring Method'!$A$132:$A$140,0))+INDEX('Scoring Method'!$B$144:$B$152,MATCH(AP336,'Scoring Method'!$A$144:$A$152,0))+INDEX('Scoring Method'!$B$156:$B$160,MATCH(AQ336,'Scoring Method'!$A$156:$A$160,0))+INDEX('Scoring Method'!$B$164:$B$169,MATCH(AO336,'Scoring Method'!$A$164:$A$169,0))+INDEX('Scoring Method'!$B$173:$B$178,MATCH(AX336,'Scoring Method'!$A$173:$A$178,0))+INDEX('Scoring Method'!$B$349:$B$353,MATCH(X336,'Scoring Method'!$A$349:$A$353,0))+INDEX('Scoring Method'!$B$188:$B$190,MATCH(P336,'Scoring Method'!$A$188:$A$190,0)),1)</f>
        <v/>
      </c>
      <c r="AZ336" s="96">
        <f>AY336*U336/100</f>
        <v/>
      </c>
      <c r="BA336" s="102" t="inlineStr">
        <is>
          <t>Chain format + local owner</t>
        </is>
      </c>
      <c r="BB336" s="94" t="n">
        <v>0.7</v>
      </c>
      <c r="BC336" s="102" t="inlineStr">
        <is>
          <t>Small 0.25-0.35 AC</t>
        </is>
      </c>
      <c r="BD336" s="94" t="n">
        <v>0.9</v>
      </c>
      <c r="BE336" s="96">
        <f>ROUND(INDEX('Scoring Method'!$B$268:$B$276,MATCH(AE336,'Scoring Method'!$A$268:$A$276,0))+INDEX('Scoring Method'!$B$280:$B$288,MATCH(AP336,'Scoring Method'!$A$280:$A$288,0))+INDEX('Scoring Method'!$B$292:$B$296,MATCH(AQ336,'Scoring Method'!$A$292:$A$296,0))+INDEX('Scoring Method'!$B$300:$B$305,MATCH(AO336,'Scoring Method'!$A$300:$A$305,0))+INDEX('Scoring Method'!$B$309:$B$314,MATCH(AX336,'Scoring Method'!$A$309:$A$314,0))+INDEX('Scoring Method'!$B$337:$B$341,MATCH(X336,'Scoring Method'!$A$337:$A$341,0))+INDEX('Scoring Method'!$B$324:$B$326,MATCH(P336,'Scoring Method'!$A$324:$A$326,0)),1)</f>
        <v/>
      </c>
      <c r="BF336" s="96">
        <f>ROUND(INDEX('Scoring Method'!$B$268:$B$276,MATCH(AE336,'Scoring Method'!$A$268:$A$276,0))*BB336*BD336+INDEX('Scoring Method'!$B$280:$B$288,MATCH(AP336,'Scoring Method'!$A$280:$A$288,0))*BM336*BB336*BD336+INDEX('Scoring Method'!$B$292:$B$296,MATCH(AQ336,'Scoring Method'!$A$292:$A$296,0))*BD336+INDEX('Scoring Method'!$B$300:$B$305,MATCH(AO336,'Scoring Method'!$A$300:$A$305,0))*BM336*BB336+INDEX('Scoring Method'!$B$309:$B$314,MATCH(AX336,'Scoring Method'!$A$309:$A$314,0))+INDEX('Scoring Method'!$B$337:$B$341,MATCH(X336,'Scoring Method'!$A$337:$A$341,0))+INDEX('Scoring Method'!$B$324:$B$326,MATCH(P336,'Scoring Method'!$A$324:$A$326,0)),1)</f>
        <v/>
      </c>
      <c r="BG336" s="92" t="inlineStr">
        <is>
          <t>Fits (~$2,853/mo)</t>
        </is>
      </c>
      <c r="BH336" s="61" t="inlineStr">
        <is>
          <t>AUC (HP)</t>
        </is>
      </c>
      <c r="BI336" s="61" t="inlineStr">
        <is>
          <t>Auto-Urban Commercial</t>
        </is>
      </c>
      <c r="BJ336" s="61" t="inlineStr">
        <is>
          <t>HP</t>
        </is>
      </c>
      <c r="BK336" s="61" t="inlineStr"/>
      <c r="BL336" s="61" t="inlineStr">
        <is>
          <t>Bar permitted</t>
        </is>
      </c>
      <c r="BM336" s="61">
        <f>INDEX('Scoring Method'!$B$358:$B$363,MATCH(BL336,'Scoring Method'!$A$358:$A$363,0))</f>
        <v/>
      </c>
    </row>
    <row r="337" ht="15" customHeight="1" s="62">
      <c r="A337" s="92" t="n">
        <v>336</v>
      </c>
      <c r="B337" s="92" t="inlineStr">
        <is>
          <t>054-21-17-014.00</t>
        </is>
      </c>
      <c r="C337" s="92" t="inlineStr">
        <is>
          <t>36 5TH ST W</t>
        </is>
      </c>
      <c r="D337" s="92" t="inlineStr">
        <is>
          <t>ABBALINE LLC</t>
        </is>
      </c>
      <c r="E337" s="92" t="inlineStr">
        <is>
          <t>36 W 5TH ST</t>
        </is>
      </c>
      <c r="F337" s="92" t="inlineStr">
        <is>
          <t>COVINGTON</t>
        </is>
      </c>
      <c r="G337" s="92" t="inlineStr">
        <is>
          <t>KY</t>
        </is>
      </c>
      <c r="H337" s="92" t="inlineStr">
        <is>
          <t>OFFICE BLDG 1 OR 2 STORY</t>
        </is>
      </c>
      <c r="I337" s="93" t="n">
        <v>9025</v>
      </c>
      <c r="J337" s="94">
        <f>I337/43560</f>
        <v/>
      </c>
      <c r="K337" s="93" t="n">
        <v>475</v>
      </c>
      <c r="L337" s="95">
        <f>I337/(K337^2)</f>
        <v/>
      </c>
      <c r="M337" s="92" t="inlineStr">
        <is>
          <t>Poor &lt;10k/&gt;60k</t>
        </is>
      </c>
      <c r="N337" s="92" t="inlineStr">
        <is>
          <t>E</t>
        </is>
      </c>
      <c r="O337" s="92" t="inlineStr">
        <is>
          <t>Elongated .035-.045</t>
        </is>
      </c>
      <c r="P337" s="92" t="inlineStr">
        <is>
          <t>Low</t>
        </is>
      </c>
      <c r="Q337" s="92" t="inlineStr">
        <is>
          <t>Owner-occupied</t>
        </is>
      </c>
      <c r="R337" s="92" t="inlineStr">
        <is>
          <t>Operating entity</t>
        </is>
      </c>
      <c r="S337" s="92" t="n">
        <v>1</v>
      </c>
      <c r="T337" s="96">
        <f>INDEX('Scoring Method'!$B$6:$B$9,MATCH(M337,'Scoring Method'!$A$6:$A$9,0))+INDEX('Scoring Method'!$B$12:$B$16,MATCH(N337,'Scoring Method'!$A$12:$A$16,0))+INDEX('Scoring Method'!$B$19:$B$22,MATCH(O337,'Scoring Method'!$A$19:$A$22,0))+INDEX('Scoring Method'!$B$25:$B$27,MATCH(P337,'Scoring Method'!$A$25:$A$27,0))</f>
        <v/>
      </c>
      <c r="U337" s="96">
        <f>(INDEX('Scoring Method'!$B$30:$B$33,MATCH(Q337,'Scoring Method'!$A$30:$A$33,0))+INDEX('Scoring Method'!$B$36:$B$42,MATCH(R337,'Scoring Method'!$A$36:$A$42,0))+INDEX('Scoring Method'!$B$45:$B$47,MATCH(IF(S337=1,"1",IF(S337=2,"2","3+")),'Scoring Method'!$A$45:$A$47,0)))/90*100</f>
        <v/>
      </c>
      <c r="V337" s="96">
        <f>T337*U337/100</f>
        <v/>
      </c>
      <c r="W337" s="93" t="n">
        <v>2664</v>
      </c>
      <c r="X337" s="92" t="inlineStr">
        <is>
          <t>X (minimal hazard)</t>
        </is>
      </c>
      <c r="Y337" s="93" t="n">
        <v>7125</v>
      </c>
      <c r="Z337" s="97" t="n"/>
      <c r="AA337" s="98">
        <f>MAX(0,(Y337-5000)/300)</f>
        <v/>
      </c>
      <c r="AB337" s="92" t="n"/>
      <c r="AC337" s="92" t="n"/>
      <c r="AD337" s="92" t="n"/>
      <c r="AE337" s="92" t="inlineStr">
        <is>
          <t>Above 2.5-4k</t>
        </is>
      </c>
      <c r="AF337" s="96">
        <f>INDEX('Scoring Method'!$B$63:$B$71,MATCH(AE337,'Scoring Method'!$A$63:$A$71,0))+INDEX('Scoring Method'!$B$75:$B$79,MATCH("Adequate 5-8k",'Scoring Method'!$A$75:$A$79,0))+INDEX('Scoring Method'!$B$343:$B$347,MATCH(X337,'Scoring Method'!$A$343:$A$347,0))+INDEX('Scoring Method'!$B$25:$B$27,MATCH(P337,'Scoring Method'!$A$25:$A$27,0))</f>
        <v/>
      </c>
      <c r="AG337" s="96">
        <f>AF337*U337/100</f>
        <v/>
      </c>
      <c r="AH337" s="92" t="inlineStr">
        <is>
          <t>LINK-GIS + LoopNet (2026-08-03)</t>
        </is>
      </c>
      <c r="AI337" s="99" t="n">
        <v>39.08591</v>
      </c>
      <c r="AJ337" s="99" t="n">
        <v>-84.51221</v>
      </c>
      <c r="AK337" s="94" t="n">
        <v>0.32</v>
      </c>
      <c r="AL337" s="94" t="n">
        <v>0.4</v>
      </c>
      <c r="AM337" s="94" t="n">
        <v>1.08</v>
      </c>
      <c r="AN337" s="94" t="n">
        <v>0.15</v>
      </c>
      <c r="AO337" s="92" t="inlineStr">
        <is>
          <t>Core &lt;=0.35mi</t>
        </is>
      </c>
      <c r="AP337" s="92" t="inlineStr">
        <is>
          <t>Office/institutional</t>
        </is>
      </c>
      <c r="AQ337" s="92" t="inlineStr">
        <is>
          <t>Adequate 5-8k</t>
        </is>
      </c>
      <c r="AR337" s="100" t="n"/>
      <c r="AS337" s="96">
        <f>ROUND(INDEX('Scoring Method'!$B$63:$B$70,MATCH(AE337,'Scoring Method'!$A$63:$A$70,0))*0.625+INDEX('Scoring Method'!$B$105:$B$113,MATCH(AP337,'Scoring Method'!$A$105:$A$113,0))+INDEX('Scoring Method'!$B$74:$B$78,MATCH(AQ337,'Scoring Method'!$A$74:$A$78,0))*0.6667+INDEX('Scoring Method'!$B$96:$B$101,MATCH(AO337,'Scoring Method'!$A$96:$A$101,0))+INDEX('Scoring Method'!$B$343:$B$347,MATCH(X337,'Scoring Method'!$A$343:$A$347,0))*0.3333+INDEX('Scoring Method'!$B$25:$B$27,MATCH(P337,'Scoring Method'!$A$25:$A$27,0))*0.3333,1)</f>
        <v/>
      </c>
      <c r="AT337" s="96">
        <f>AS337*U337/100</f>
        <v/>
      </c>
      <c r="AU337" s="92" t="inlineStr">
        <is>
          <t>Central Business District</t>
        </is>
      </c>
      <c r="AV337" s="92" t="n">
        <v>48</v>
      </c>
      <c r="AW337" s="101" t="inlineStr">
        <is>
          <t>ESTIMATED</t>
        </is>
      </c>
      <c r="AX337" s="92" t="inlineStr">
        <is>
          <t>Mixed 45-59</t>
        </is>
      </c>
      <c r="AY337" s="96">
        <f>ROUND(INDEX('Scoring Method'!$B$132:$B$140,MATCH(AE337,'Scoring Method'!$A$132:$A$140,0))+INDEX('Scoring Method'!$B$144:$B$152,MATCH(AP337,'Scoring Method'!$A$144:$A$152,0))+INDEX('Scoring Method'!$B$156:$B$160,MATCH(AQ337,'Scoring Method'!$A$156:$A$160,0))+INDEX('Scoring Method'!$B$164:$B$169,MATCH(AO337,'Scoring Method'!$A$164:$A$169,0))+INDEX('Scoring Method'!$B$173:$B$178,MATCH(AX337,'Scoring Method'!$A$173:$A$178,0))+INDEX('Scoring Method'!$B$349:$B$353,MATCH(X337,'Scoring Method'!$A$349:$A$353,0))+INDEX('Scoring Method'!$B$188:$B$190,MATCH(P337,'Scoring Method'!$A$188:$A$190,0)),1)</f>
        <v/>
      </c>
      <c r="AZ337" s="96">
        <f>AY337*U337/100</f>
        <v/>
      </c>
      <c r="BA337" s="92" t="inlineStr">
        <is>
          <t>Owner-occupied operator</t>
        </is>
      </c>
      <c r="BB337" s="94" t="n">
        <v>0.8</v>
      </c>
      <c r="BC337" s="103" t="inlineStr">
        <is>
          <t>Extra small 0.15-0.25 AC</t>
        </is>
      </c>
      <c r="BD337" s="94" t="n">
        <v>0.8</v>
      </c>
      <c r="BE337" s="96">
        <f>ROUND(INDEX('Scoring Method'!$B$268:$B$276,MATCH(AE337,'Scoring Method'!$A$268:$A$276,0))+INDEX('Scoring Method'!$B$280:$B$288,MATCH(AP337,'Scoring Method'!$A$280:$A$288,0))+INDEX('Scoring Method'!$B$292:$B$296,MATCH(AQ337,'Scoring Method'!$A$292:$A$296,0))+INDEX('Scoring Method'!$B$300:$B$305,MATCH(AO337,'Scoring Method'!$A$300:$A$305,0))+INDEX('Scoring Method'!$B$309:$B$314,MATCH(AX337,'Scoring Method'!$A$309:$A$314,0))+INDEX('Scoring Method'!$B$337:$B$341,MATCH(X337,'Scoring Method'!$A$337:$A$341,0))+INDEX('Scoring Method'!$B$324:$B$326,MATCH(P337,'Scoring Method'!$A$324:$A$326,0)),1)</f>
        <v/>
      </c>
      <c r="BF337" s="96">
        <f>ROUND(INDEX('Scoring Method'!$B$268:$B$276,MATCH(AE337,'Scoring Method'!$A$268:$A$276,0))*BB337*BD337+INDEX('Scoring Method'!$B$280:$B$288,MATCH(AP337,'Scoring Method'!$A$280:$A$288,0))*BM337*BB337*BD337+INDEX('Scoring Method'!$B$292:$B$296,MATCH(AQ337,'Scoring Method'!$A$292:$A$296,0))*BD337+INDEX('Scoring Method'!$B$300:$B$305,MATCH(AO337,'Scoring Method'!$A$300:$A$305,0))*BM337*BB337+INDEX('Scoring Method'!$B$309:$B$314,MATCH(AX337,'Scoring Method'!$A$309:$A$314,0))+INDEX('Scoring Method'!$B$337:$B$341,MATCH(X337,'Scoring Method'!$A$337:$A$341,0))+INDEX('Scoring Method'!$B$324:$B$326,MATCH(P337,'Scoring Method'!$A$324:$A$326,0)),1)</f>
        <v/>
      </c>
      <c r="BG337" s="92" t="inlineStr">
        <is>
          <t>Fits (~$2,442/mo)</t>
        </is>
      </c>
      <c r="BH337" s="61" t="inlineStr">
        <is>
          <t>TUR (HP)</t>
        </is>
      </c>
      <c r="BI337" s="61" t="inlineStr">
        <is>
          <t>Traditional Urban Residential</t>
        </is>
      </c>
      <c r="BJ337" s="61" t="inlineStr">
        <is>
          <t>HP</t>
        </is>
      </c>
      <c r="BK337" s="61" t="inlineStr"/>
      <c r="BL337" s="61" t="inlineStr">
        <is>
          <t>Bar prohibited, alt-path</t>
        </is>
      </c>
      <c r="BM337" s="61">
        <f>INDEX('Scoring Method'!$B$358:$B$363,MATCH(BL337,'Scoring Method'!$A$358:$A$363,0))</f>
        <v/>
      </c>
    </row>
    <row r="338" ht="15" customHeight="1" s="62">
      <c r="A338" s="92" t="n">
        <v>337</v>
      </c>
      <c r="B338" s="92" t="inlineStr">
        <is>
          <t>054-22-13-012.00</t>
        </is>
      </c>
      <c r="C338" s="92" t="inlineStr">
        <is>
          <t>301 W PIKE ST</t>
        </is>
      </c>
      <c r="D338" s="92" t="inlineStr">
        <is>
          <t>301 PIKE LLC</t>
        </is>
      </c>
      <c r="E338" s="92" t="inlineStr">
        <is>
          <t>301 PIKE ST</t>
        </is>
      </c>
      <c r="F338" s="92" t="inlineStr">
        <is>
          <t>COVINGTON</t>
        </is>
      </c>
      <c r="G338" s="92" t="inlineStr">
        <is>
          <t>KY</t>
        </is>
      </c>
      <c r="H338" s="92" t="inlineStr">
        <is>
          <t>OFFICE BLDG 1 OR 2 STORY</t>
        </is>
      </c>
      <c r="I338" s="93" t="n">
        <v>8433</v>
      </c>
      <c r="J338" s="94">
        <f>I338/43560</f>
        <v/>
      </c>
      <c r="K338" s="93" t="n">
        <v>585</v>
      </c>
      <c r="L338" s="95">
        <f>I338/(K338^2)</f>
        <v/>
      </c>
      <c r="M338" s="92" t="inlineStr">
        <is>
          <t>Poor &lt;10k/&gt;60k</t>
        </is>
      </c>
      <c r="N338" s="92" t="inlineStr">
        <is>
          <t>E</t>
        </is>
      </c>
      <c r="O338" s="92" t="inlineStr">
        <is>
          <t>Irregular &lt;.035</t>
        </is>
      </c>
      <c r="P338" s="92" t="inlineStr">
        <is>
          <t>Low</t>
        </is>
      </c>
      <c r="Q338" s="92" t="inlineStr">
        <is>
          <t>Owner-occupied</t>
        </is>
      </c>
      <c r="R338" s="92" t="inlineStr">
        <is>
          <t>Operating entity</t>
        </is>
      </c>
      <c r="S338" s="92" t="n">
        <v>1</v>
      </c>
      <c r="T338" s="96">
        <f>INDEX('Scoring Method'!$B$6:$B$9,MATCH(M338,'Scoring Method'!$A$6:$A$9,0))+INDEX('Scoring Method'!$B$12:$B$16,MATCH(N338,'Scoring Method'!$A$12:$A$16,0))+INDEX('Scoring Method'!$B$19:$B$22,MATCH(O338,'Scoring Method'!$A$19:$A$22,0))+INDEX('Scoring Method'!$B$25:$B$27,MATCH(P338,'Scoring Method'!$A$25:$A$27,0))</f>
        <v/>
      </c>
      <c r="U338" s="96">
        <f>(INDEX('Scoring Method'!$B$30:$B$33,MATCH(Q338,'Scoring Method'!$A$30:$A$33,0))+INDEX('Scoring Method'!$B$36:$B$42,MATCH(R338,'Scoring Method'!$A$36:$A$42,0))+INDEX('Scoring Method'!$B$45:$B$47,MATCH(IF(S338=1,"1",IF(S338=2,"2","3+")),'Scoring Method'!$A$45:$A$47,0)))/90*100</f>
        <v/>
      </c>
      <c r="V338" s="96">
        <f>T338*U338/100</f>
        <v/>
      </c>
      <c r="W338" s="93" t="n">
        <v>2432</v>
      </c>
      <c r="X338" s="92" t="inlineStr">
        <is>
          <t>X (minimal hazard)</t>
        </is>
      </c>
      <c r="Y338" s="93" t="n">
        <v>5250</v>
      </c>
      <c r="Z338" s="97" t="n"/>
      <c r="AA338" s="98">
        <f>MAX(0,(Y338-5000)/300)</f>
        <v/>
      </c>
      <c r="AB338" s="92" t="n"/>
      <c r="AC338" s="92" t="n"/>
      <c r="AD338" s="92" t="n"/>
      <c r="AE338" s="92" t="inlineStr">
        <is>
          <t>Target 1.5-2.5k</t>
        </is>
      </c>
      <c r="AF338" s="96">
        <f>INDEX('Scoring Method'!$B$63:$B$71,MATCH(AE338,'Scoring Method'!$A$63:$A$71,0))+INDEX('Scoring Method'!$B$75:$B$79,MATCH("Adequate 5-8k",'Scoring Method'!$A$75:$A$79,0))+INDEX('Scoring Method'!$B$343:$B$347,MATCH(X338,'Scoring Method'!$A$343:$A$347,0))+INDEX('Scoring Method'!$B$25:$B$27,MATCH(P338,'Scoring Method'!$A$25:$A$27,0))</f>
        <v/>
      </c>
      <c r="AG338" s="96">
        <f>AF338*U338/100</f>
        <v/>
      </c>
      <c r="AH338" s="92" t="inlineStr">
        <is>
          <t>LINK-GIS + LoopNet (2026-08-02)</t>
        </is>
      </c>
      <c r="AI338" s="99" t="n">
        <v>39.07996</v>
      </c>
      <c r="AJ338" s="99" t="n">
        <v>-84.51493000000001</v>
      </c>
      <c r="AK338" s="94" t="n">
        <v>0.34</v>
      </c>
      <c r="AL338" s="94" t="n">
        <v>0.83</v>
      </c>
      <c r="AM338" s="94" t="n">
        <v>1.49</v>
      </c>
      <c r="AN338" s="94" t="n">
        <v>0.34</v>
      </c>
      <c r="AO338" s="92" t="inlineStr">
        <is>
          <t>Core &lt;=0.35mi</t>
        </is>
      </c>
      <c r="AP338" s="92" t="inlineStr">
        <is>
          <t>Office/institutional</t>
        </is>
      </c>
      <c r="AQ338" s="92" t="inlineStr">
        <is>
          <t>Adequate 5-8k</t>
        </is>
      </c>
      <c r="AR338" s="100" t="n"/>
      <c r="AS338" s="96">
        <f>ROUND(INDEX('Scoring Method'!$B$63:$B$70,MATCH(AE338,'Scoring Method'!$A$63:$A$70,0))*0.625+INDEX('Scoring Method'!$B$105:$B$113,MATCH(AP338,'Scoring Method'!$A$105:$A$113,0))+INDEX('Scoring Method'!$B$74:$B$78,MATCH(AQ338,'Scoring Method'!$A$74:$A$78,0))*0.6667+INDEX('Scoring Method'!$B$96:$B$101,MATCH(AO338,'Scoring Method'!$A$96:$A$101,0))+INDEX('Scoring Method'!$B$343:$B$347,MATCH(X338,'Scoring Method'!$A$343:$A$347,0))*0.3333+INDEX('Scoring Method'!$B$25:$B$27,MATCH(P338,'Scoring Method'!$A$25:$A$27,0))*0.3333,1)</f>
        <v/>
      </c>
      <c r="AT338" s="96">
        <f>AS338*U338/100</f>
        <v/>
      </c>
      <c r="AU338" s="92" t="inlineStr">
        <is>
          <t>MainStrasse</t>
        </is>
      </c>
      <c r="AV338" s="92" t="n">
        <v>75</v>
      </c>
      <c r="AW338" s="92" t="inlineStr">
        <is>
          <t>Sourced</t>
        </is>
      </c>
      <c r="AX338" s="92" t="inlineStr">
        <is>
          <t>Safe 70-79</t>
        </is>
      </c>
      <c r="AY338" s="96">
        <f>ROUND(INDEX('Scoring Method'!$B$132:$B$140,MATCH(AE338,'Scoring Method'!$A$132:$A$140,0))+INDEX('Scoring Method'!$B$144:$B$152,MATCH(AP338,'Scoring Method'!$A$144:$A$152,0))+INDEX('Scoring Method'!$B$156:$B$160,MATCH(AQ338,'Scoring Method'!$A$156:$A$160,0))+INDEX('Scoring Method'!$B$164:$B$169,MATCH(AO338,'Scoring Method'!$A$164:$A$169,0))+INDEX('Scoring Method'!$B$173:$B$178,MATCH(AX338,'Scoring Method'!$A$173:$A$178,0))+INDEX('Scoring Method'!$B$349:$B$353,MATCH(X338,'Scoring Method'!$A$349:$A$353,0))+INDEX('Scoring Method'!$B$188:$B$190,MATCH(P338,'Scoring Method'!$A$188:$A$190,0)),1)</f>
        <v/>
      </c>
      <c r="AZ338" s="96">
        <f>AY338*U338/100</f>
        <v/>
      </c>
      <c r="BA338" s="92" t="inlineStr">
        <is>
          <t>Owner-occupied operator</t>
        </is>
      </c>
      <c r="BB338" s="94" t="n">
        <v>0.8</v>
      </c>
      <c r="BC338" s="103" t="inlineStr">
        <is>
          <t>Extra small 0.15-0.25 AC</t>
        </is>
      </c>
      <c r="BD338" s="94" t="n">
        <v>0.8</v>
      </c>
      <c r="BE338" s="96">
        <f>ROUND(INDEX('Scoring Method'!$B$268:$B$276,MATCH(AE338,'Scoring Method'!$A$268:$A$276,0))+INDEX('Scoring Method'!$B$280:$B$288,MATCH(AP338,'Scoring Method'!$A$280:$A$288,0))+INDEX('Scoring Method'!$B$292:$B$296,MATCH(AQ338,'Scoring Method'!$A$292:$A$296,0))+INDEX('Scoring Method'!$B$300:$B$305,MATCH(AO338,'Scoring Method'!$A$300:$A$305,0))+INDEX('Scoring Method'!$B$309:$B$314,MATCH(AX338,'Scoring Method'!$A$309:$A$314,0))+INDEX('Scoring Method'!$B$337:$B$341,MATCH(X338,'Scoring Method'!$A$337:$A$341,0))+INDEX('Scoring Method'!$B$324:$B$326,MATCH(P338,'Scoring Method'!$A$324:$A$326,0)),1)</f>
        <v/>
      </c>
      <c r="BF338" s="96">
        <f>ROUND(INDEX('Scoring Method'!$B$268:$B$276,MATCH(AE338,'Scoring Method'!$A$268:$A$276,0))*BB338*BD338+INDEX('Scoring Method'!$B$280:$B$288,MATCH(AP338,'Scoring Method'!$A$280:$A$288,0))*BM338*BB338*BD338+INDEX('Scoring Method'!$B$292:$B$296,MATCH(AQ338,'Scoring Method'!$A$292:$A$296,0))*BD338+INDEX('Scoring Method'!$B$300:$B$305,MATCH(AO338,'Scoring Method'!$A$300:$A$305,0))*BM338*BB338+INDEX('Scoring Method'!$B$309:$B$314,MATCH(AX338,'Scoring Method'!$A$309:$A$314,0))+INDEX('Scoring Method'!$B$337:$B$341,MATCH(X338,'Scoring Method'!$A$337:$A$341,0))+INDEX('Scoring Method'!$B$324:$B$326,MATCH(P338,'Scoring Method'!$A$324:$A$326,0)),1)</f>
        <v/>
      </c>
      <c r="BG338" s="92" t="inlineStr">
        <is>
          <t>Fits (~$2,229/mo)</t>
        </is>
      </c>
      <c r="BH338" s="61" t="inlineStr">
        <is>
          <t>DTC (HP)</t>
        </is>
      </c>
      <c r="BI338" s="61" t="inlineStr">
        <is>
          <t>Downtown Core</t>
        </is>
      </c>
      <c r="BJ338" s="61" t="inlineStr">
        <is>
          <t>HP</t>
        </is>
      </c>
      <c r="BK338" s="61" t="inlineStr"/>
      <c r="BL338" s="61" t="inlineStr">
        <is>
          <t>Bar permitted</t>
        </is>
      </c>
      <c r="BM338" s="61">
        <f>INDEX('Scoring Method'!$B$358:$B$363,MATCH(BL338,'Scoring Method'!$A$358:$A$363,0))</f>
        <v/>
      </c>
    </row>
  </sheetData>
  <autoFilter ref="A1:BG33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E3163"/>
    <outlinePr summaryBelow="1" summaryRight="1"/>
    <pageSetUpPr fitToPage="0"/>
  </sheetPr>
  <dimension ref="A1:F36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61" min="1" max="1"/>
    <col width="13" customWidth="1" style="61" min="2" max="2"/>
    <col width="10" customWidth="1" style="61" min="3" max="3"/>
    <col width="62" customWidth="1" style="61" min="4" max="4"/>
  </cols>
  <sheetData>
    <row r="1" ht="17.25" customHeight="1" s="62">
      <c r="A1" s="104" t="inlineStr">
        <is>
          <t>PUPS PUB COVINGTON — SCORING ENGINE</t>
        </is>
      </c>
    </row>
    <row r="2" ht="15" customHeight="1" s="62">
      <c r="A2" s="105" t="inlineStr">
        <is>
          <t>Every yellow cell is an input. Change a weight and the entire Chase List re-scores. Orange cells are estimates rather than sourced values.</t>
        </is>
      </c>
    </row>
    <row r="4" ht="15" customHeight="1" s="62">
      <c r="A4" s="106" t="inlineStr">
        <is>
          <t>SITE FIT - Lot size band</t>
        </is>
      </c>
      <c r="B4" s="63" t="n"/>
      <c r="C4" s="63" t="n"/>
      <c r="D4" s="63" t="n"/>
    </row>
    <row r="5" ht="15" customHeight="1" s="62">
      <c r="A5" s="107" t="inlineStr">
        <is>
          <t>Band</t>
        </is>
      </c>
      <c r="B5" s="107" t="inlineStr">
        <is>
          <t>Points</t>
        </is>
      </c>
    </row>
    <row r="6" ht="15" customHeight="1" s="62">
      <c r="A6" s="108" t="inlineStr">
        <is>
          <t>Ideal 18-32k</t>
        </is>
      </c>
      <c r="B6" s="109" t="n">
        <v>35</v>
      </c>
    </row>
    <row r="7" ht="15" customHeight="1" s="62">
      <c r="A7" s="108" t="inlineStr">
        <is>
          <t>Near 14-18k/32-45k</t>
        </is>
      </c>
      <c r="B7" s="109" t="n">
        <v>26</v>
      </c>
    </row>
    <row r="8" ht="15" customHeight="1" s="62">
      <c r="A8" s="108" t="inlineStr">
        <is>
          <t>Marginal 10-14k/45-60k</t>
        </is>
      </c>
      <c r="B8" s="109" t="n">
        <v>15</v>
      </c>
    </row>
    <row r="9" ht="15" customHeight="1" s="62">
      <c r="A9" s="108" t="inlineStr">
        <is>
          <t>Poor &lt;10k/&gt;60k</t>
        </is>
      </c>
      <c r="B9" s="109" t="n">
        <v>7</v>
      </c>
    </row>
    <row r="10" ht="15" customHeight="1" s="62">
      <c r="A10" s="106" t="inlineStr">
        <is>
          <t>SITE FIT - Structure tier</t>
        </is>
      </c>
      <c r="B10" s="63" t="n"/>
      <c r="C10" s="63" t="n"/>
      <c r="D10" s="63" t="n"/>
    </row>
    <row r="11" ht="15" customHeight="1" s="62">
      <c r="A11" s="107" t="inlineStr">
        <is>
          <t>Band</t>
        </is>
      </c>
      <c r="B11" s="107" t="inlineStr">
        <is>
          <t>Points</t>
        </is>
      </c>
    </row>
    <row r="12" ht="15" customHeight="1" s="62">
      <c r="A12" s="108" t="inlineStr">
        <is>
          <t>A</t>
        </is>
      </c>
      <c r="B12" s="109" t="n">
        <v>30</v>
      </c>
    </row>
    <row r="13" ht="15" customHeight="1" s="62">
      <c r="A13" s="108" t="inlineStr">
        <is>
          <t>B</t>
        </is>
      </c>
      <c r="B13" s="109" t="n">
        <v>22</v>
      </c>
    </row>
    <row r="14" ht="15" customHeight="1" s="62">
      <c r="A14" s="108" t="inlineStr">
        <is>
          <t>C</t>
        </is>
      </c>
      <c r="B14" s="109" t="n">
        <v>15</v>
      </c>
    </row>
    <row r="15" ht="15" customHeight="1" s="62">
      <c r="A15" s="108" t="inlineStr">
        <is>
          <t>D</t>
        </is>
      </c>
      <c r="B15" s="109" t="n">
        <v>8</v>
      </c>
    </row>
    <row r="16" ht="15" customHeight="1" s="62">
      <c r="A16" s="108" t="inlineStr">
        <is>
          <t>E</t>
        </is>
      </c>
      <c r="B16" s="109" t="n">
        <v>3</v>
      </c>
    </row>
    <row r="17" ht="15" customHeight="1" s="62">
      <c r="A17" s="106" t="inlineStr">
        <is>
          <t>SITE FIT - Lot compactness</t>
        </is>
      </c>
      <c r="B17" s="63" t="n"/>
      <c r="C17" s="63" t="n"/>
      <c r="D17" s="63" t="n"/>
    </row>
    <row r="18" ht="15" customHeight="1" s="62">
      <c r="A18" s="107" t="inlineStr">
        <is>
          <t>Band</t>
        </is>
      </c>
      <c r="B18" s="107" t="inlineStr">
        <is>
          <t>Points</t>
        </is>
      </c>
    </row>
    <row r="19" ht="15" customHeight="1" s="62">
      <c r="A19" s="108" t="inlineStr">
        <is>
          <t>Compact &gt;=.055</t>
        </is>
      </c>
      <c r="B19" s="109" t="n">
        <v>20</v>
      </c>
    </row>
    <row r="20" ht="15" customHeight="1" s="62">
      <c r="A20" s="108" t="inlineStr">
        <is>
          <t>Regular .045-.055</t>
        </is>
      </c>
      <c r="B20" s="109" t="n">
        <v>15</v>
      </c>
    </row>
    <row r="21" ht="15" customHeight="1" s="62">
      <c r="A21" s="108" t="inlineStr">
        <is>
          <t>Elongated .035-.045</t>
        </is>
      </c>
      <c r="B21" s="109" t="n">
        <v>9</v>
      </c>
    </row>
    <row r="22" ht="15" customHeight="1" s="62">
      <c r="A22" s="108" t="inlineStr">
        <is>
          <t>Irregular &lt;.035</t>
        </is>
      </c>
      <c r="B22" s="109" t="n">
        <v>4</v>
      </c>
    </row>
    <row r="23" ht="15" customHeight="1" s="62">
      <c r="A23" s="106" t="inlineStr">
        <is>
          <t>SITE FIT - Environmental penalty</t>
        </is>
      </c>
      <c r="B23" s="63" t="n"/>
      <c r="C23" s="63" t="n"/>
      <c r="D23" s="63" t="n"/>
    </row>
    <row r="24" ht="15" customHeight="1" s="62">
      <c r="A24" s="107" t="inlineStr">
        <is>
          <t>Band</t>
        </is>
      </c>
      <c r="B24" s="107" t="inlineStr">
        <is>
          <t>Points</t>
        </is>
      </c>
    </row>
    <row r="25" ht="15" customHeight="1" s="62">
      <c r="A25" s="108" t="inlineStr">
        <is>
          <t>Low</t>
        </is>
      </c>
      <c r="B25" s="109" t="n">
        <v>15</v>
      </c>
    </row>
    <row r="26" ht="15" customHeight="1" s="62">
      <c r="A26" s="108" t="inlineStr">
        <is>
          <t>Moderate</t>
        </is>
      </c>
      <c r="B26" s="109" t="n">
        <v>8</v>
      </c>
    </row>
    <row r="27" ht="15" customHeight="1" s="62">
      <c r="A27" s="108" t="inlineStr">
        <is>
          <t>High</t>
        </is>
      </c>
      <c r="B27" s="109" t="n">
        <v>0</v>
      </c>
    </row>
    <row r="28" ht="15" customHeight="1" s="62">
      <c r="A28" s="106" t="inlineStr">
        <is>
          <t>READINESS - Absentee tier</t>
        </is>
      </c>
      <c r="B28" s="63" t="n"/>
      <c r="C28" s="63" t="n"/>
      <c r="D28" s="63" t="n"/>
    </row>
    <row r="29" ht="15" customHeight="1" s="62">
      <c r="A29" s="107" t="inlineStr">
        <is>
          <t>Band</t>
        </is>
      </c>
      <c r="B29" s="107" t="inlineStr">
        <is>
          <t>Points</t>
        </is>
      </c>
    </row>
    <row r="30" ht="15" customHeight="1" s="62">
      <c r="A30" s="108" t="inlineStr">
        <is>
          <t>Out-of-state</t>
        </is>
      </c>
      <c r="B30" s="109" t="n">
        <v>35</v>
      </c>
    </row>
    <row r="31" ht="15" customHeight="1" s="62">
      <c r="A31" s="108" t="inlineStr">
        <is>
          <t>Out-of-city KY</t>
        </is>
      </c>
      <c r="B31" s="109" t="n">
        <v>28</v>
      </c>
    </row>
    <row r="32" ht="15" customHeight="1" s="62">
      <c r="A32" s="108" t="inlineStr">
        <is>
          <t>Local absentee</t>
        </is>
      </c>
      <c r="B32" s="109" t="n">
        <v>18</v>
      </c>
    </row>
    <row r="33" ht="15" customHeight="1" s="62">
      <c r="A33" s="108" t="inlineStr">
        <is>
          <t>Owner-occupied</t>
        </is>
      </c>
      <c r="B33" s="109" t="n">
        <v>5</v>
      </c>
    </row>
    <row r="34" ht="15" customHeight="1" s="62">
      <c r="A34" s="106" t="inlineStr">
        <is>
          <t>READINESS - Owner class</t>
        </is>
      </c>
      <c r="B34" s="63" t="n"/>
      <c r="C34" s="63" t="n"/>
      <c r="D34" s="63" t="n"/>
    </row>
    <row r="35" ht="15" customHeight="1" s="62">
      <c r="A35" s="107" t="inlineStr">
        <is>
          <t>Band</t>
        </is>
      </c>
      <c r="B35" s="107" t="inlineStr">
        <is>
          <t>Points</t>
        </is>
      </c>
    </row>
    <row r="36" ht="15" customHeight="1" s="62">
      <c r="A36" s="108" t="inlineStr">
        <is>
          <t>Individual</t>
        </is>
      </c>
      <c r="B36" s="109" t="n">
        <v>30</v>
      </c>
    </row>
    <row r="37" ht="15" customHeight="1" s="62">
      <c r="A37" s="108" t="inlineStr">
        <is>
          <t>Passive vehicle</t>
        </is>
      </c>
      <c r="B37" s="109" t="n">
        <v>26</v>
      </c>
    </row>
    <row r="38" ht="15" customHeight="1" s="62">
      <c r="A38" s="108" t="inlineStr">
        <is>
          <t>Fraternal/Club</t>
        </is>
      </c>
      <c r="B38" s="109" t="n">
        <v>24</v>
      </c>
    </row>
    <row r="39" ht="15" customHeight="1" s="62">
      <c r="A39" s="108" t="inlineStr">
        <is>
          <t>Religious</t>
        </is>
      </c>
      <c r="B39" s="109" t="n">
        <v>16</v>
      </c>
    </row>
    <row r="40" ht="15" customHeight="1" s="62">
      <c r="A40" s="108" t="inlineStr">
        <is>
          <t>Operating entity</t>
        </is>
      </c>
      <c r="B40" s="109" t="n">
        <v>10</v>
      </c>
    </row>
    <row r="41" ht="15" customHeight="1" s="62">
      <c r="A41" s="108" t="inlineStr">
        <is>
          <t>Nonprofit/Inst</t>
        </is>
      </c>
      <c r="B41" s="109" t="n">
        <v>8</v>
      </c>
    </row>
    <row r="42" ht="15" customHeight="1" s="62">
      <c r="A42" s="108" t="inlineStr">
        <is>
          <t>National corporate</t>
        </is>
      </c>
      <c r="B42" s="109" t="n">
        <v>3</v>
      </c>
    </row>
    <row r="43" ht="15" customHeight="1" s="62">
      <c r="A43" s="106" t="inlineStr">
        <is>
          <t>READINESS - Portfolio (parcels held in set)</t>
        </is>
      </c>
      <c r="B43" s="63" t="n"/>
      <c r="C43" s="63" t="n"/>
      <c r="D43" s="63" t="n"/>
    </row>
    <row r="44" ht="15" customHeight="1" s="62">
      <c r="A44" s="107" t="inlineStr">
        <is>
          <t>Band</t>
        </is>
      </c>
      <c r="B44" s="107" t="inlineStr">
        <is>
          <t>Points</t>
        </is>
      </c>
    </row>
    <row r="45" ht="15" customHeight="1" s="62">
      <c r="A45" s="108" t="inlineStr">
        <is>
          <t>1</t>
        </is>
      </c>
      <c r="B45" s="109" t="n">
        <v>10</v>
      </c>
    </row>
    <row r="46" ht="15" customHeight="1" s="62">
      <c r="A46" s="108" t="inlineStr">
        <is>
          <t>2</t>
        </is>
      </c>
      <c r="B46" s="109" t="n">
        <v>20</v>
      </c>
    </row>
    <row r="47" ht="15" customHeight="1" s="62">
      <c r="A47" s="108" t="inlineStr">
        <is>
          <t>3+</t>
        </is>
      </c>
      <c r="B47" s="109" t="n">
        <v>25</v>
      </c>
    </row>
    <row r="49" ht="15" customHeight="1" s="62">
      <c r="A49" s="110" t="inlineStr">
        <is>
          <t>Combined Score</t>
        </is>
      </c>
    </row>
    <row r="50" ht="15" customHeight="1" s="62">
      <c r="A50" s="108" t="inlineStr">
        <is>
          <t>Combined = Site Fit x Readiness / 100 (multiplicative, not additive).</t>
        </is>
      </c>
    </row>
    <row r="51" ht="15" customHeight="1" s="62">
      <c r="A51" s="111" t="inlineStr">
        <is>
          <t>Rationale: a perfect site whose owner will not transact, and an eager owner with an unusable site, should both rank below a good-fit / reachable parcel. Addition would let one high half carry a low half; multiplication will not.</t>
        </is>
      </c>
    </row>
    <row r="52" ht="15" customHeight="1" s="62"/>
    <row r="53" ht="15" customHeight="1" s="62"/>
    <row r="55" ht="15" customHeight="1" s="62">
      <c r="A55" s="108" t="inlineStr">
        <is>
          <t>Site Fit maximum = 35 + 30 + 20 + 15 = 100.  Readiness maximum = 35 + 30 + 25 = 90, normalised to 100.</t>
        </is>
      </c>
    </row>
    <row r="58" ht="15" customHeight="1" s="62">
      <c r="A58" s="112" t="inlineStr">
        <is>
          <t>VERIFIED MODEL (only parcels with LoopNet building data)</t>
        </is>
      </c>
    </row>
    <row r="59" ht="15" customHeight="1" s="62">
      <c r="A59" s="113" t="inlineStr">
        <is>
          <t>Replaces the proxy Site Fit once real building SF is known. Verified Fit = Building fit + Outdoor area + Flood + Env penalty.</t>
        </is>
      </c>
    </row>
    <row r="61" ht="15" customHeight="1" s="62">
      <c r="A61" s="106" t="inlineStr">
        <is>
          <t>VERIFIED - Building fit band</t>
        </is>
      </c>
      <c r="B61" s="63" t="n"/>
      <c r="C61" s="63" t="n"/>
      <c r="D61" s="63" t="n"/>
    </row>
    <row r="62" ht="15" customHeight="1" s="62">
      <c r="A62" s="107" t="inlineStr">
        <is>
          <t>Band</t>
        </is>
      </c>
      <c r="B62" s="107" t="inlineStr">
        <is>
          <t>Points</t>
        </is>
      </c>
    </row>
    <row r="63" ht="15" customHeight="1" s="62">
      <c r="A63" s="108" t="inlineStr">
        <is>
          <t>Target 1.5-2.5k</t>
        </is>
      </c>
      <c r="B63" s="109" t="n">
        <v>40</v>
      </c>
    </row>
    <row r="64" ht="15" customHeight="1" s="62">
      <c r="A64" s="108" t="inlineStr">
        <is>
          <t>Above 2.5-4k</t>
        </is>
      </c>
      <c r="B64" s="109" t="n">
        <v>32</v>
      </c>
    </row>
    <row r="65" ht="15" customHeight="1" s="62">
      <c r="A65" s="108" t="inlineStr">
        <is>
          <t>Below 1.2-1.5k</t>
        </is>
      </c>
      <c r="B65" s="109" t="n">
        <v>24</v>
      </c>
    </row>
    <row r="66" ht="15" customHeight="1" s="62">
      <c r="A66" s="108" t="inlineStr">
        <is>
          <t>Large 4-6k</t>
        </is>
      </c>
      <c r="B66" s="109" t="n">
        <v>22</v>
      </c>
    </row>
    <row r="67" ht="15" customHeight="1" s="62">
      <c r="A67" s="108" t="inlineStr">
        <is>
          <t>Oversize 6-12k</t>
        </is>
      </c>
      <c r="B67" s="109" t="n">
        <v>10</v>
      </c>
    </row>
    <row r="68" ht="15" customHeight="1" s="62">
      <c r="A68" s="108" t="inlineStr">
        <is>
          <t>Far oversize &gt;12k</t>
        </is>
      </c>
      <c r="B68" s="109" t="n">
        <v>3</v>
      </c>
    </row>
    <row r="69" ht="15" customHeight="1" s="62">
      <c r="A69" s="108" t="inlineStr">
        <is>
          <t>Too small &lt;1.2k</t>
        </is>
      </c>
      <c r="B69" s="109" t="n">
        <v>5</v>
      </c>
    </row>
    <row r="70" ht="15" customHeight="1" s="62">
      <c r="A70" s="108" t="inlineStr">
        <is>
          <t>No building</t>
        </is>
      </c>
      <c r="B70" s="109" t="n">
        <v>8</v>
      </c>
    </row>
    <row r="71" ht="15" customHeight="1" s="62">
      <c r="A71" s="108" t="inlineStr">
        <is>
          <t>Office tower 3+ storey</t>
        </is>
      </c>
      <c r="B71" s="109" t="n">
        <v>0</v>
      </c>
    </row>
    <row r="73" ht="15" customHeight="1" s="62">
      <c r="A73" s="106" t="inlineStr">
        <is>
          <t>VERIFIED - Outdoor area band</t>
        </is>
      </c>
      <c r="B73" s="63" t="n"/>
      <c r="C73" s="63" t="n"/>
      <c r="D73" s="63" t="n"/>
    </row>
    <row r="74" ht="15" customHeight="1" s="62">
      <c r="A74" s="107" t="inlineStr">
        <is>
          <t>Band</t>
        </is>
      </c>
      <c r="B74" s="107" t="inlineStr">
        <is>
          <t>Points</t>
        </is>
      </c>
    </row>
    <row r="75" ht="15" customHeight="1" s="62">
      <c r="A75" s="108" t="inlineStr">
        <is>
          <t>Ample &gt;=15k</t>
        </is>
      </c>
      <c r="B75" s="109" t="n">
        <v>30</v>
      </c>
    </row>
    <row r="76" ht="15" customHeight="1" s="62">
      <c r="A76" s="108" t="inlineStr">
        <is>
          <t>Good 8-15k</t>
        </is>
      </c>
      <c r="B76" s="109" t="n">
        <v>24</v>
      </c>
    </row>
    <row r="77" ht="15" customHeight="1" s="62">
      <c r="A77" s="108" t="inlineStr">
        <is>
          <t>Adequate 5-8k</t>
        </is>
      </c>
      <c r="B77" s="109" t="n">
        <v>16</v>
      </c>
    </row>
    <row r="78" ht="15" customHeight="1" s="62">
      <c r="A78" s="108" t="inlineStr">
        <is>
          <t>Tight 2-5k</t>
        </is>
      </c>
      <c r="B78" s="109" t="n">
        <v>7</v>
      </c>
    </row>
    <row r="79" ht="15" customHeight="1" s="62">
      <c r="A79" s="108" t="inlineStr">
        <is>
          <t>Insufficient &lt;2k</t>
        </is>
      </c>
      <c r="B79" s="109" t="n">
        <v>0</v>
      </c>
    </row>
    <row r="81" ht="15" customHeight="1" s="62">
      <c r="A81" s="106" t="inlineStr">
        <is>
          <t>VERIFIED - Flood zone</t>
        </is>
      </c>
      <c r="B81" s="63" t="n"/>
      <c r="C81" s="63" t="n"/>
      <c r="D81" s="63" t="n"/>
    </row>
    <row r="82" ht="15" customHeight="1" s="62">
      <c r="A82" s="107" t="inlineStr">
        <is>
          <t>Band</t>
        </is>
      </c>
      <c r="B82" s="107" t="inlineStr">
        <is>
          <t>Points</t>
        </is>
      </c>
    </row>
    <row r="83" ht="15" customHeight="1" s="62">
      <c r="A83" s="108" t="inlineStr">
        <is>
          <t>B and X</t>
        </is>
      </c>
      <c r="B83" s="109" t="n">
        <v>15</v>
      </c>
    </row>
    <row r="84" ht="15" customHeight="1" s="62">
      <c r="A84" s="108" t="inlineStr">
        <is>
          <t>AE</t>
        </is>
      </c>
      <c r="B84" s="109" t="n">
        <v>0</v>
      </c>
    </row>
    <row r="85" ht="15" customHeight="1" s="62">
      <c r="A85" s="108" t="inlineStr">
        <is>
          <t>Unknown</t>
        </is>
      </c>
      <c r="B85" s="109" t="n">
        <v>8</v>
      </c>
    </row>
    <row r="87" ht="15" customHeight="1" s="62">
      <c r="A87" s="108" t="inlineStr">
        <is>
          <t>Verified Fit max = 40 + 30 + 15 + 15 (env, reused above) = 100.</t>
        </is>
      </c>
    </row>
    <row r="88" ht="15" customHeight="1" s="62">
      <c r="A88" s="108" t="inlineStr">
        <is>
          <t>Verified Combined = Verified Fit x Readiness / 100.</t>
        </is>
      </c>
    </row>
    <row r="91" ht="15" customHeight="1" s="62">
      <c r="A91" s="112" t="inlineStr">
        <is>
          <t>V2 MODEL - adds location and interior convertibility</t>
        </is>
      </c>
    </row>
    <row r="92" ht="15" customHeight="1" s="62">
      <c r="A92" s="113" t="inlineStr">
        <is>
          <t>Verified Fit v2 = Building fit(25) + Convertibility(20) + Outdoor(20) + Location(25) + Flood(5) + Environmental(5)</t>
        </is>
      </c>
    </row>
    <row r="94" ht="15" customHeight="1" s="62">
      <c r="A94" s="110" t="inlineStr">
        <is>
          <t>V2 - Location band</t>
        </is>
      </c>
    </row>
    <row r="95" ht="15" customHeight="1" s="62">
      <c r="A95" s="107" t="inlineStr">
        <is>
          <t>Band</t>
        </is>
      </c>
      <c r="B95" s="107" t="inlineStr">
        <is>
          <t>Points</t>
        </is>
      </c>
    </row>
    <row r="96" ht="15" customHeight="1" s="62">
      <c r="A96" s="108" t="inlineStr">
        <is>
          <t>Core &lt;=0.35mi</t>
        </is>
      </c>
      <c r="B96" s="109" t="n">
        <v>25</v>
      </c>
    </row>
    <row r="97" ht="15" customHeight="1" s="62">
      <c r="A97" s="108" t="inlineStr">
        <is>
          <t>Near 0.35-0.75mi</t>
        </is>
      </c>
      <c r="B97" s="109" t="n">
        <v>20</v>
      </c>
    </row>
    <row r="98" ht="15" customHeight="1" s="62">
      <c r="A98" s="108" t="inlineStr">
        <is>
          <t>Fringe 0.75-1.25mi</t>
        </is>
      </c>
      <c r="B98" s="109" t="n">
        <v>13</v>
      </c>
    </row>
    <row r="99" ht="15" customHeight="1" s="62">
      <c r="A99" s="108" t="inlineStr">
        <is>
          <t>Outer 1.25-2mi</t>
        </is>
      </c>
      <c r="B99" s="109" t="n">
        <v>7</v>
      </c>
    </row>
    <row r="100" ht="15" customHeight="1" s="62">
      <c r="A100" s="108" t="inlineStr">
        <is>
          <t>Distant 2-3mi</t>
        </is>
      </c>
      <c r="B100" s="109" t="n">
        <v>3</v>
      </c>
    </row>
    <row r="101" ht="15" customHeight="1" s="62">
      <c r="A101" s="108" t="inlineStr">
        <is>
          <t>Remote &gt;3mi</t>
        </is>
      </c>
      <c r="B101" s="109" t="n">
        <v>0</v>
      </c>
    </row>
    <row r="103" ht="15" customHeight="1" s="62">
      <c r="A103" s="110" t="inlineStr">
        <is>
          <t>V2 - Convertibility</t>
        </is>
      </c>
    </row>
    <row r="104" ht="15" customHeight="1" s="62">
      <c r="A104" s="107" t="inlineStr">
        <is>
          <t>Band</t>
        </is>
      </c>
      <c r="B104" s="107" t="inlineStr">
        <is>
          <t>Points</t>
        </is>
      </c>
    </row>
    <row r="105" ht="15" customHeight="1" s="62">
      <c r="A105" s="108" t="inlineStr">
        <is>
          <t>Open span</t>
        </is>
      </c>
      <c r="B105" s="109" t="n">
        <v>20</v>
      </c>
    </row>
    <row r="106" ht="15" customHeight="1" s="62">
      <c r="A106" s="108" t="inlineStr">
        <is>
          <t>Assembly hall</t>
        </is>
      </c>
      <c r="B106" s="109" t="n">
        <v>17</v>
      </c>
    </row>
    <row r="107" ht="15" customHeight="1" s="62">
      <c r="A107" s="108" t="inlineStr">
        <is>
          <t>Retail shell</t>
        </is>
      </c>
      <c r="B107" s="109" t="n">
        <v>12</v>
      </c>
    </row>
    <row r="108" ht="15" customHeight="1" s="62">
      <c r="A108" s="108" t="inlineStr">
        <is>
          <t>Lot / minimal bldg</t>
        </is>
      </c>
      <c r="B108" s="109" t="n">
        <v>10</v>
      </c>
    </row>
    <row r="109" ht="15" customHeight="1" s="62">
      <c r="A109" s="108" t="inlineStr">
        <is>
          <t>Cellular</t>
        </is>
      </c>
      <c r="B109" s="109" t="n">
        <v>6</v>
      </c>
    </row>
    <row r="110" ht="15" customHeight="1" s="62">
      <c r="A110" s="108" t="inlineStr">
        <is>
          <t>Purpose-built venue</t>
        </is>
      </c>
      <c r="B110" s="109" t="n">
        <v>5</v>
      </c>
    </row>
    <row r="111" ht="15" customHeight="1" s="62">
      <c r="A111" s="108" t="inlineStr">
        <is>
          <t>Built-out kitchen</t>
        </is>
      </c>
      <c r="B111" s="109" t="n">
        <v>4</v>
      </c>
    </row>
    <row r="112" ht="15" customHeight="1" s="62">
      <c r="A112" s="108" t="inlineStr">
        <is>
          <t>Office/institutional</t>
        </is>
      </c>
      <c r="B112" s="109" t="n">
        <v>2</v>
      </c>
    </row>
    <row r="113" ht="15" customHeight="1" s="62">
      <c r="A113" s="108" t="inlineStr">
        <is>
          <t>Office tower 3+ storey</t>
        </is>
      </c>
      <c r="B113" s="109" t="n">
        <v>0</v>
      </c>
    </row>
    <row r="115" ht="15" customHeight="1" s="62">
      <c r="A115" s="110" t="inlineStr">
        <is>
          <t>V2 rescaling of existing tables</t>
        </is>
      </c>
    </row>
    <row r="116" ht="15" customHeight="1" s="62">
      <c r="A116" s="111" t="inlineStr">
        <is>
          <t>Building fit x0.625 | Outdoor x0.667 | Flood x0.333 | Environmental x0.333. Applied in the Verified Fit v2 formula so the v1 tables above stay editable and drive both models.</t>
        </is>
      </c>
    </row>
    <row r="117" ht="15" customHeight="1" s="62"/>
    <row r="118" ht="15" customHeight="1" s="62"/>
    <row r="120" ht="15" customHeight="1" s="62">
      <c r="A120" s="110" t="inlineStr">
        <is>
          <t>Crime Risk</t>
        </is>
      </c>
    </row>
    <row r="121" ht="15" customHeight="1" s="62">
      <c r="A121" s="111" t="inlineStr">
        <is>
          <t>NOT POPULATED - no objective parcel-level source retrieved. Requires Covington PD reported-incident data or an equivalent licensed dataset, joined by geography. Left blank rather than estimated. Use reported incident counts per quarter-mile radius, not perception or demographic proxies.</t>
        </is>
      </c>
    </row>
    <row r="122" ht="15" customHeight="1" s="62"/>
    <row r="123" ht="15" customHeight="1" s="62"/>
    <row r="124" ht="15" customHeight="1" s="62"/>
    <row r="127" ht="15" customHeight="1" s="62">
      <c r="A127" s="112" t="inlineStr">
        <is>
          <t>V3 MODEL - adds crime safety, rebalanced to 100</t>
        </is>
      </c>
    </row>
    <row r="128" ht="15" customHeight="1" s="62">
      <c r="A128" s="113" t="inlineStr">
        <is>
          <t>Building fit 22 + Convertibility 18 + Outdoor 17 + Location 23 + Crime safety 12 + Flood 4 + Environmental 4 = 100</t>
        </is>
      </c>
    </row>
    <row r="130" ht="15" customHeight="1" s="62">
      <c r="A130" s="106" t="inlineStr">
        <is>
          <t>V3 - Building fit (22)</t>
        </is>
      </c>
      <c r="B130" s="63" t="n"/>
      <c r="C130" s="63" t="n"/>
      <c r="D130" s="63" t="n"/>
    </row>
    <row r="131" ht="15" customHeight="1" s="62">
      <c r="A131" s="107" t="inlineStr">
        <is>
          <t>Band</t>
        </is>
      </c>
      <c r="B131" s="107" t="inlineStr">
        <is>
          <t>Points</t>
        </is>
      </c>
    </row>
    <row r="132" ht="15" customHeight="1" s="62">
      <c r="A132" s="108" t="inlineStr">
        <is>
          <t>Target 1.5-2.5k</t>
        </is>
      </c>
      <c r="B132" s="109" t="n">
        <v>22</v>
      </c>
    </row>
    <row r="133" ht="15" customHeight="1" s="62">
      <c r="A133" s="108" t="inlineStr">
        <is>
          <t>Above 2.5-4k</t>
        </is>
      </c>
      <c r="B133" s="109" t="n">
        <v>18</v>
      </c>
    </row>
    <row r="134" ht="15" customHeight="1" s="62">
      <c r="A134" s="108" t="inlineStr">
        <is>
          <t>Below 1.2-1.5k</t>
        </is>
      </c>
      <c r="B134" s="109" t="n">
        <v>13</v>
      </c>
    </row>
    <row r="135" ht="15" customHeight="1" s="62">
      <c r="A135" s="108" t="inlineStr">
        <is>
          <t>Large 4-6k</t>
        </is>
      </c>
      <c r="B135" s="109" t="n">
        <v>12</v>
      </c>
    </row>
    <row r="136" ht="15" customHeight="1" s="62">
      <c r="A136" s="108" t="inlineStr">
        <is>
          <t>Oversize 6-12k</t>
        </is>
      </c>
      <c r="B136" s="109" t="n">
        <v>6</v>
      </c>
    </row>
    <row r="137" ht="15" customHeight="1" s="62">
      <c r="A137" s="108" t="inlineStr">
        <is>
          <t>Far oversize &gt;12k</t>
        </is>
      </c>
      <c r="B137" s="109" t="n">
        <v>2</v>
      </c>
    </row>
    <row r="138" ht="15" customHeight="1" s="62">
      <c r="A138" s="108" t="inlineStr">
        <is>
          <t>Too small &lt;1.2k</t>
        </is>
      </c>
      <c r="B138" s="109" t="n">
        <v>3</v>
      </c>
    </row>
    <row r="139" ht="15" customHeight="1" s="62">
      <c r="A139" s="108" t="inlineStr">
        <is>
          <t>No building</t>
        </is>
      </c>
      <c r="B139" s="109" t="n">
        <v>4</v>
      </c>
    </row>
    <row r="140" ht="15" customHeight="1" s="62">
      <c r="A140" s="108" t="inlineStr">
        <is>
          <t>Office tower 3+ storey</t>
        </is>
      </c>
      <c r="B140" s="109" t="n">
        <v>0</v>
      </c>
    </row>
    <row r="142" ht="15" customHeight="1" s="62">
      <c r="A142" s="106" t="inlineStr">
        <is>
          <t>V3 - Convertibility (18)</t>
        </is>
      </c>
      <c r="B142" s="63" t="n"/>
      <c r="C142" s="63" t="n"/>
      <c r="D142" s="63" t="n"/>
    </row>
    <row r="143" ht="15" customHeight="1" s="62">
      <c r="A143" s="107" t="inlineStr">
        <is>
          <t>Band</t>
        </is>
      </c>
      <c r="B143" s="107" t="inlineStr">
        <is>
          <t>Points</t>
        </is>
      </c>
    </row>
    <row r="144" ht="15" customHeight="1" s="62">
      <c r="A144" s="108" t="inlineStr">
        <is>
          <t>Open span</t>
        </is>
      </c>
      <c r="B144" s="109" t="n">
        <v>18</v>
      </c>
    </row>
    <row r="145" ht="15" customHeight="1" s="62">
      <c r="A145" s="108" t="inlineStr">
        <is>
          <t>Assembly hall</t>
        </is>
      </c>
      <c r="B145" s="109" t="n">
        <v>15</v>
      </c>
    </row>
    <row r="146" ht="15" customHeight="1" s="62">
      <c r="A146" s="108" t="inlineStr">
        <is>
          <t>Retail shell</t>
        </is>
      </c>
      <c r="B146" s="109" t="n">
        <v>11</v>
      </c>
    </row>
    <row r="147" ht="15" customHeight="1" s="62">
      <c r="A147" s="108" t="inlineStr">
        <is>
          <t>Lot / minimal bldg</t>
        </is>
      </c>
      <c r="B147" s="109" t="n">
        <v>9</v>
      </c>
    </row>
    <row r="148" ht="15" customHeight="1" s="62">
      <c r="A148" s="108" t="inlineStr">
        <is>
          <t>Cellular</t>
        </is>
      </c>
      <c r="B148" s="109" t="n">
        <v>5</v>
      </c>
    </row>
    <row r="149" ht="15" customHeight="1" s="62">
      <c r="A149" s="108" t="inlineStr">
        <is>
          <t>Purpose-built venue</t>
        </is>
      </c>
      <c r="B149" s="109" t="n">
        <v>4</v>
      </c>
    </row>
    <row r="150" ht="15" customHeight="1" s="62">
      <c r="A150" s="108" t="inlineStr">
        <is>
          <t>Built-out kitchen</t>
        </is>
      </c>
      <c r="B150" s="109" t="n">
        <v>3</v>
      </c>
    </row>
    <row r="151" ht="15" customHeight="1" s="62">
      <c r="A151" s="108" t="inlineStr">
        <is>
          <t>Office/institutional</t>
        </is>
      </c>
      <c r="B151" s="109" t="n">
        <v>2</v>
      </c>
    </row>
    <row r="152" ht="15" customHeight="1" s="62">
      <c r="A152" s="108" t="inlineStr">
        <is>
          <t>Office tower 3+ storey</t>
        </is>
      </c>
      <c r="B152" s="109" t="n">
        <v>0</v>
      </c>
    </row>
    <row r="154" ht="15" customHeight="1" s="62">
      <c r="A154" s="106" t="inlineStr">
        <is>
          <t>V3 - Outdoor area (17)</t>
        </is>
      </c>
      <c r="B154" s="63" t="n"/>
      <c r="C154" s="63" t="n"/>
      <c r="D154" s="63" t="n"/>
    </row>
    <row r="155" ht="15" customHeight="1" s="62">
      <c r="A155" s="107" t="inlineStr">
        <is>
          <t>Band</t>
        </is>
      </c>
      <c r="B155" s="107" t="inlineStr">
        <is>
          <t>Points</t>
        </is>
      </c>
    </row>
    <row r="156" ht="15" customHeight="1" s="62">
      <c r="A156" s="108" t="inlineStr">
        <is>
          <t>Ample &gt;=15k</t>
        </is>
      </c>
      <c r="B156" s="109" t="n">
        <v>17</v>
      </c>
    </row>
    <row r="157" ht="15" customHeight="1" s="62">
      <c r="A157" s="108" t="inlineStr">
        <is>
          <t>Good 8-15k</t>
        </is>
      </c>
      <c r="B157" s="109" t="n">
        <v>14</v>
      </c>
    </row>
    <row r="158" ht="15" customHeight="1" s="62">
      <c r="A158" s="108" t="inlineStr">
        <is>
          <t>Adequate 5-8k</t>
        </is>
      </c>
      <c r="B158" s="109" t="n">
        <v>9</v>
      </c>
    </row>
    <row r="159" ht="15" customHeight="1" s="62">
      <c r="A159" s="108" t="inlineStr">
        <is>
          <t>Tight 2-5k</t>
        </is>
      </c>
      <c r="B159" s="109" t="n">
        <v>4</v>
      </c>
    </row>
    <row r="160" ht="15" customHeight="1" s="62">
      <c r="A160" s="108" t="inlineStr">
        <is>
          <t>Insufficient &lt;2k</t>
        </is>
      </c>
      <c r="B160" s="109" t="n">
        <v>0</v>
      </c>
    </row>
    <row r="162" ht="15" customHeight="1" s="62">
      <c r="A162" s="106" t="inlineStr">
        <is>
          <t>V3 - Location (23)</t>
        </is>
      </c>
      <c r="B162" s="63" t="n"/>
      <c r="C162" s="63" t="n"/>
      <c r="D162" s="63" t="n"/>
    </row>
    <row r="163" ht="15" customHeight="1" s="62">
      <c r="A163" s="107" t="inlineStr">
        <is>
          <t>Band</t>
        </is>
      </c>
      <c r="B163" s="107" t="inlineStr">
        <is>
          <t>Points</t>
        </is>
      </c>
    </row>
    <row r="164" ht="15" customHeight="1" s="62">
      <c r="A164" s="108" t="inlineStr">
        <is>
          <t>Core &lt;=0.35mi</t>
        </is>
      </c>
      <c r="B164" s="109" t="n">
        <v>23</v>
      </c>
    </row>
    <row r="165" ht="15" customHeight="1" s="62">
      <c r="A165" s="108" t="inlineStr">
        <is>
          <t>Near 0.35-0.75mi</t>
        </is>
      </c>
      <c r="B165" s="109" t="n">
        <v>18</v>
      </c>
    </row>
    <row r="166" ht="15" customHeight="1" s="62">
      <c r="A166" s="108" t="inlineStr">
        <is>
          <t>Fringe 0.75-1.25mi</t>
        </is>
      </c>
      <c r="B166" s="109" t="n">
        <v>12</v>
      </c>
    </row>
    <row r="167" ht="15" customHeight="1" s="62">
      <c r="A167" s="108" t="inlineStr">
        <is>
          <t>Outer 1.25-2mi</t>
        </is>
      </c>
      <c r="B167" s="109" t="n">
        <v>6</v>
      </c>
    </row>
    <row r="168" ht="15" customHeight="1" s="62">
      <c r="A168" s="108" t="inlineStr">
        <is>
          <t>Distant 2-3mi</t>
        </is>
      </c>
      <c r="B168" s="109" t="n">
        <v>3</v>
      </c>
    </row>
    <row r="169" ht="15" customHeight="1" s="62">
      <c r="A169" s="108" t="inlineStr">
        <is>
          <t>Remote &gt;3mi</t>
        </is>
      </c>
      <c r="B169" s="109" t="n">
        <v>0</v>
      </c>
    </row>
    <row r="171" ht="15" customHeight="1" s="62">
      <c r="A171" s="106" t="inlineStr">
        <is>
          <t>V3 - Crime safety (12)</t>
        </is>
      </c>
      <c r="B171" s="63" t="n"/>
      <c r="C171" s="63" t="n"/>
      <c r="D171" s="63" t="n"/>
    </row>
    <row r="172" ht="15" customHeight="1" s="62">
      <c r="A172" s="107" t="inlineStr">
        <is>
          <t>Band</t>
        </is>
      </c>
      <c r="B172" s="107" t="inlineStr">
        <is>
          <t>Points</t>
        </is>
      </c>
    </row>
    <row r="173" ht="15" customHeight="1" s="62">
      <c r="A173" s="108" t="inlineStr">
        <is>
          <t>Very safe 80+</t>
        </is>
      </c>
      <c r="B173" s="109" t="n">
        <v>12</v>
      </c>
    </row>
    <row r="174" ht="15" customHeight="1" s="62">
      <c r="A174" s="108" t="inlineStr">
        <is>
          <t>Safe 70-79</t>
        </is>
      </c>
      <c r="B174" s="109" t="n">
        <v>10</v>
      </c>
    </row>
    <row r="175" ht="15" customHeight="1" s="62">
      <c r="A175" s="108" t="inlineStr">
        <is>
          <t>Moderate 60-69</t>
        </is>
      </c>
      <c r="B175" s="109" t="n">
        <v>8</v>
      </c>
    </row>
    <row r="176" ht="15" customHeight="1" s="62">
      <c r="A176" s="108" t="inlineStr">
        <is>
          <t>Mixed 45-59</t>
        </is>
      </c>
      <c r="B176" s="109" t="n">
        <v>5</v>
      </c>
    </row>
    <row r="177" ht="15" customHeight="1" s="62">
      <c r="A177" s="108" t="inlineStr">
        <is>
          <t>Elevated 35-44</t>
        </is>
      </c>
      <c r="B177" s="109" t="n">
        <v>3</v>
      </c>
    </row>
    <row r="178" ht="15" customHeight="1" s="62">
      <c r="A178" s="108" t="inlineStr">
        <is>
          <t>High &lt;35</t>
        </is>
      </c>
      <c r="B178" s="109" t="n">
        <v>0</v>
      </c>
    </row>
    <row r="180" ht="15" customHeight="1" s="62">
      <c r="A180" s="106" t="inlineStr">
        <is>
          <t>V3 - Flood (4)</t>
        </is>
      </c>
      <c r="B180" s="63" t="n"/>
      <c r="C180" s="63" t="n"/>
      <c r="D180" s="63" t="n"/>
    </row>
    <row r="181" ht="15" customHeight="1" s="62">
      <c r="A181" s="107" t="inlineStr">
        <is>
          <t>Band</t>
        </is>
      </c>
      <c r="B181" s="107" t="inlineStr">
        <is>
          <t>Points</t>
        </is>
      </c>
    </row>
    <row r="182" ht="15" customHeight="1" s="62">
      <c r="A182" s="108" t="inlineStr">
        <is>
          <t>B and X</t>
        </is>
      </c>
      <c r="B182" s="109" t="n">
        <v>4</v>
      </c>
    </row>
    <row r="183" ht="15" customHeight="1" s="62">
      <c r="A183" s="108" t="inlineStr">
        <is>
          <t>AE</t>
        </is>
      </c>
      <c r="B183" s="109" t="n">
        <v>0</v>
      </c>
    </row>
    <row r="184" ht="15" customHeight="1" s="62">
      <c r="A184" s="108" t="inlineStr">
        <is>
          <t>Unknown</t>
        </is>
      </c>
      <c r="B184" s="109" t="n">
        <v>2</v>
      </c>
    </row>
    <row r="186" ht="15" customHeight="1" s="62">
      <c r="A186" s="106" t="inlineStr">
        <is>
          <t>V3 - Environmental (4)</t>
        </is>
      </c>
      <c r="B186" s="63" t="n"/>
      <c r="C186" s="63" t="n"/>
      <c r="D186" s="63" t="n"/>
    </row>
    <row r="187" ht="15" customHeight="1" s="62">
      <c r="A187" s="107" t="inlineStr">
        <is>
          <t>Band</t>
        </is>
      </c>
      <c r="B187" s="107" t="inlineStr">
        <is>
          <t>Points</t>
        </is>
      </c>
    </row>
    <row r="188" ht="15" customHeight="1" s="62">
      <c r="A188" s="108" t="inlineStr">
        <is>
          <t>Low</t>
        </is>
      </c>
      <c r="B188" s="109" t="n">
        <v>4</v>
      </c>
    </row>
    <row r="189" ht="15" customHeight="1" s="62">
      <c r="A189" s="108" t="inlineStr">
        <is>
          <t>Moderate</t>
        </is>
      </c>
      <c r="B189" s="109" t="n">
        <v>2</v>
      </c>
    </row>
    <row r="190" ht="15" customHeight="1" s="62">
      <c r="A190" s="108" t="inlineStr">
        <is>
          <t>High</t>
        </is>
      </c>
      <c r="B190" s="109" t="n">
        <v>0</v>
      </c>
    </row>
    <row r="192" ht="15" customHeight="1" s="62">
      <c r="A192" s="106" t="inlineStr">
        <is>
          <t>Neighborhood crime index (0-100, higher = safer)</t>
        </is>
      </c>
      <c r="B192" s="63" t="n"/>
      <c r="C192" s="63" t="n"/>
      <c r="D192" s="63" t="n"/>
    </row>
    <row r="193" ht="15" customHeight="1" s="62">
      <c r="A193" s="107" t="inlineStr">
        <is>
          <t>Neighborhood</t>
        </is>
      </c>
      <c r="B193" s="107" t="inlineStr">
        <is>
          <t>Index</t>
        </is>
      </c>
      <c r="C193" s="107" t="inlineStr">
        <is>
          <t>S/E</t>
        </is>
      </c>
      <c r="D193" s="107" t="inlineStr">
        <is>
          <t>Basis</t>
        </is>
      </c>
    </row>
    <row r="194" ht="15" customHeight="1" s="62">
      <c r="A194" s="108" t="inlineStr">
        <is>
          <t>South Covington</t>
        </is>
      </c>
      <c r="B194" s="109" t="n">
        <v>88</v>
      </c>
      <c r="C194" s="108" t="inlineStr">
        <is>
          <t>S</t>
        </is>
      </c>
      <c r="D194" s="108" t="inlineStr">
        <is>
          <t>NS safest #1</t>
        </is>
      </c>
    </row>
    <row r="195" ht="15" customHeight="1" s="62">
      <c r="A195" s="108" t="inlineStr">
        <is>
          <t>Kenton Hills</t>
        </is>
      </c>
      <c r="B195" s="109" t="n">
        <v>85</v>
      </c>
      <c r="C195" s="108" t="inlineStr">
        <is>
          <t>S</t>
        </is>
      </c>
      <c r="D195" s="108" t="inlineStr">
        <is>
          <t>NS safest #2</t>
        </is>
      </c>
    </row>
    <row r="196" ht="15" customHeight="1" s="62">
      <c r="A196" s="108" t="inlineStr">
        <is>
          <t>Rittes East / Winston Park</t>
        </is>
      </c>
      <c r="B196" s="109" t="n">
        <v>82</v>
      </c>
      <c r="C196" s="108" t="inlineStr">
        <is>
          <t>S</t>
        </is>
      </c>
      <c r="D196" s="108" t="inlineStr">
        <is>
          <t>NS safest #3</t>
        </is>
      </c>
    </row>
    <row r="197" ht="15" customHeight="1" s="62">
      <c r="A197" s="108" t="inlineStr">
        <is>
          <t>Latonia</t>
        </is>
      </c>
      <c r="B197" s="109" t="n">
        <v>78</v>
      </c>
      <c r="C197" s="108" t="inlineStr">
        <is>
          <t>S</t>
        </is>
      </c>
      <c r="D197" s="108" t="inlineStr">
        <is>
          <t>NS safest #4</t>
        </is>
      </c>
    </row>
    <row r="198" ht="15" customHeight="1" s="62">
      <c r="A198" s="108" t="inlineStr">
        <is>
          <t>MainStrasse</t>
        </is>
      </c>
      <c r="B198" s="109" t="n">
        <v>75</v>
      </c>
      <c r="C198" s="108" t="inlineStr">
        <is>
          <t>S</t>
        </is>
      </c>
      <c r="D198" s="108" t="inlineStr">
        <is>
          <t>NS safest #5</t>
        </is>
      </c>
    </row>
    <row r="199" ht="15" customHeight="1" s="62">
      <c r="A199" s="108" t="inlineStr">
        <is>
          <t>Wallace Woods</t>
        </is>
      </c>
      <c r="B199" s="109" t="n">
        <v>70</v>
      </c>
      <c r="C199" s="108" t="inlineStr">
        <is>
          <t>S</t>
        </is>
      </c>
      <c r="D199" s="108" t="inlineStr">
        <is>
          <t>NS safest #7</t>
        </is>
      </c>
    </row>
    <row r="200" ht="15" customHeight="1" s="62">
      <c r="A200" s="108" t="inlineStr">
        <is>
          <t>Latonia Rosedale</t>
        </is>
      </c>
      <c r="B200" s="109" t="n">
        <v>68</v>
      </c>
      <c r="C200" s="108" t="inlineStr">
        <is>
          <t>S</t>
        </is>
      </c>
      <c r="D200" s="108" t="inlineStr">
        <is>
          <t>NS safest #8</t>
        </is>
      </c>
    </row>
    <row r="201" ht="15" customHeight="1" s="62">
      <c r="A201" s="108" t="inlineStr">
        <is>
          <t>Lewisburg</t>
        </is>
      </c>
      <c r="B201" s="109" t="n">
        <v>65</v>
      </c>
      <c r="C201" s="108" t="inlineStr">
        <is>
          <t>S</t>
        </is>
      </c>
      <c r="D201" s="108" t="inlineStr">
        <is>
          <t>NS safest #9</t>
        </is>
      </c>
    </row>
    <row r="202" ht="15" customHeight="1" s="62">
      <c r="A202" s="108" t="inlineStr">
        <is>
          <t>Licking Riverside</t>
        </is>
      </c>
      <c r="B202" s="109" t="n">
        <v>62</v>
      </c>
      <c r="C202" s="108" t="inlineStr">
        <is>
          <t>S</t>
        </is>
      </c>
      <c r="D202" s="108" t="inlineStr">
        <is>
          <t>NS safest #10</t>
        </is>
      </c>
    </row>
    <row r="203" ht="15" customHeight="1" s="62">
      <c r="A203" s="108" t="inlineStr">
        <is>
          <t>Central Business District</t>
        </is>
      </c>
      <c r="B203" s="114" t="n">
        <v>48</v>
      </c>
      <c r="C203" s="108" t="inlineStr">
        <is>
          <t>E</t>
        </is>
      </c>
      <c r="D203" s="108" t="inlineStr">
        <is>
          <t>Est. - not in safest-10; commercial core, elevated property/MV theft, high foot traffic</t>
        </is>
      </c>
    </row>
    <row r="204" ht="15" customHeight="1" s="62">
      <c r="A204" s="108" t="inlineStr">
        <is>
          <t>Botany Hills / Riverfront West</t>
        </is>
      </c>
      <c r="B204" s="114" t="n">
        <v>45</v>
      </c>
      <c r="C204" s="108" t="inlineStr">
        <is>
          <t>E</t>
        </is>
      </c>
      <c r="D204" s="108" t="inlineStr">
        <is>
          <t>Est. - not in safest-10</t>
        </is>
      </c>
    </row>
    <row r="205" ht="15" customHeight="1" s="62">
      <c r="A205" s="108" t="inlineStr">
        <is>
          <t>Levassor Park</t>
        </is>
      </c>
      <c r="B205" s="114" t="n">
        <v>42</v>
      </c>
      <c r="C205" s="108" t="inlineStr">
        <is>
          <t>E</t>
        </is>
      </c>
      <c r="D205" s="108" t="inlineStr">
        <is>
          <t>Est. - not in safest-10</t>
        </is>
      </c>
    </row>
    <row r="206" ht="15" customHeight="1" s="62">
      <c r="A206" s="108" t="inlineStr">
        <is>
          <t>Old Seminary Square</t>
        </is>
      </c>
      <c r="B206" s="114" t="n">
        <v>35</v>
      </c>
      <c r="C206" s="108" t="inlineStr">
        <is>
          <t>E</t>
        </is>
      </c>
      <c r="D206" s="108" t="inlineStr">
        <is>
          <t>Est. - LOWERED from 45 on owner field observation: two parcels (1206 Chesapeake, 1116 Russell) independently flagged as feeling unsafe</t>
        </is>
      </c>
    </row>
    <row r="207" ht="15" customHeight="1" s="62">
      <c r="A207" s="108" t="inlineStr">
        <is>
          <t>Austinburg</t>
        </is>
      </c>
      <c r="B207" s="114" t="n">
        <v>32</v>
      </c>
      <c r="C207" s="108" t="inlineStr">
        <is>
          <t>E</t>
        </is>
      </c>
      <c r="D207" s="108" t="inlineStr">
        <is>
          <t>Est. - not in safest-10; owner-identified elevated</t>
        </is>
      </c>
    </row>
    <row r="208" ht="15" customHeight="1" s="62">
      <c r="A208" s="108" t="inlineStr">
        <is>
          <t>Eastside</t>
        </is>
      </c>
      <c r="B208" s="114" t="n">
        <v>28</v>
      </c>
      <c r="C208" s="108" t="inlineStr">
        <is>
          <t>E</t>
        </is>
      </c>
      <c r="D208" s="108" t="inlineStr">
        <is>
          <t>Est. - not in safest-10; owner-identified elevated</t>
        </is>
      </c>
    </row>
    <row r="210" ht="15" customHeight="1" s="62">
      <c r="A210" s="111" t="inlineStr">
        <is>
          <t>S = sourced from NeighborhoodScout safest-10 ordinal ranking (yellow). E = ESTIMATED by Claude, no published free value available (orange). Boundaries approximated from lat/lon; no Covington neighborhood polygon layer exists. Treat this column as directional, not precise.</t>
        </is>
      </c>
    </row>
    <row r="211" ht="15" customHeight="1" s="62"/>
    <row r="212" ht="15" customHeight="1" s="62"/>
    <row r="213" ht="15" customHeight="1" s="62"/>
    <row r="216" ht="15" customHeight="1" s="62">
      <c r="A216" s="112" t="inlineStr">
        <is>
          <t>V4 MODEL</t>
        </is>
      </c>
    </row>
    <row r="217" ht="15" customHeight="1" s="62">
      <c r="A217" s="111" t="inlineStr">
        <is>
          <t>Fit = Location 30 + Usable yard 20 + Building fit 15 + Convertibility 15 + Crime 10 + Flood 5 + Environmental 5 = 100.   CHASE SCORE = Fit v4 x Availability multiplier x Lot size multiplier.  READINESS IS NO LONGER A SCORE INPUT - it correlated -0.137 against owner field ratings across 16 parcels and was double-counting the absentee/passive signal that Availability now captures with better evidence. It remains as an informational column.</t>
        </is>
      </c>
    </row>
    <row r="218" ht="15" customHeight="1" s="62"/>
    <row r="220" ht="15" customHeight="1" s="62">
      <c r="A220" s="106" t="inlineStr">
        <is>
          <t>V4 - Outdoor area (12)</t>
        </is>
      </c>
      <c r="B220" s="63" t="n"/>
      <c r="C220" s="63" t="n"/>
      <c r="D220" s="63" t="n"/>
    </row>
    <row r="221" ht="15" customHeight="1" s="62">
      <c r="A221" s="107" t="inlineStr">
        <is>
          <t>Band</t>
        </is>
      </c>
      <c r="B221" s="107" t="inlineStr">
        <is>
          <t>Points</t>
        </is>
      </c>
    </row>
    <row r="222" ht="15" customHeight="1" s="62">
      <c r="A222" s="108" t="inlineStr">
        <is>
          <t>Ample &gt;=15k</t>
        </is>
      </c>
      <c r="B222" s="109" t="n">
        <v>12</v>
      </c>
    </row>
    <row r="223" ht="15" customHeight="1" s="62">
      <c r="A223" s="108" t="inlineStr">
        <is>
          <t>Good 8-15k</t>
        </is>
      </c>
      <c r="B223" s="109" t="n">
        <v>10</v>
      </c>
    </row>
    <row r="224" ht="15" customHeight="1" s="62">
      <c r="A224" s="108" t="inlineStr">
        <is>
          <t>Adequate 5-8k</t>
        </is>
      </c>
      <c r="B224" s="109" t="n">
        <v>7</v>
      </c>
    </row>
    <row r="225" ht="15" customHeight="1" s="62">
      <c r="A225" s="108" t="inlineStr">
        <is>
          <t>Tight 2-5k</t>
        </is>
      </c>
      <c r="B225" s="109" t="n">
        <v>3</v>
      </c>
    </row>
    <row r="226" ht="15" customHeight="1" s="62">
      <c r="A226" s="108" t="inlineStr">
        <is>
          <t>Insufficient &lt;2k</t>
        </is>
      </c>
      <c r="B226" s="109" t="n">
        <v>0</v>
      </c>
    </row>
    <row r="228" ht="15" customHeight="1" s="62">
      <c r="A228" s="106" t="inlineStr">
        <is>
          <t>V4 - Location (26)</t>
        </is>
      </c>
      <c r="B228" s="63" t="n"/>
      <c r="C228" s="63" t="n"/>
      <c r="D228" s="63" t="n"/>
    </row>
    <row r="229" ht="15" customHeight="1" s="62">
      <c r="A229" s="107" t="inlineStr">
        <is>
          <t>Band</t>
        </is>
      </c>
      <c r="B229" s="107" t="inlineStr">
        <is>
          <t>Points</t>
        </is>
      </c>
    </row>
    <row r="230" ht="15" customHeight="1" s="62">
      <c r="A230" s="108" t="inlineStr">
        <is>
          <t>Core &lt;=0.35mi</t>
        </is>
      </c>
      <c r="B230" s="109" t="n">
        <v>26</v>
      </c>
    </row>
    <row r="231" ht="15" customHeight="1" s="62">
      <c r="A231" s="108" t="inlineStr">
        <is>
          <t>Near 0.35-0.75mi</t>
        </is>
      </c>
      <c r="B231" s="109" t="n">
        <v>21</v>
      </c>
    </row>
    <row r="232" ht="15" customHeight="1" s="62">
      <c r="A232" s="108" t="inlineStr">
        <is>
          <t>Fringe 0.75-1.25mi</t>
        </is>
      </c>
      <c r="B232" s="109" t="n">
        <v>14</v>
      </c>
    </row>
    <row r="233" ht="15" customHeight="1" s="62">
      <c r="A233" s="108" t="inlineStr">
        <is>
          <t>Outer 1.25-2mi</t>
        </is>
      </c>
      <c r="B233" s="109" t="n">
        <v>7</v>
      </c>
    </row>
    <row r="234" ht="15" customHeight="1" s="62">
      <c r="A234" s="108" t="inlineStr">
        <is>
          <t>Distant 2-3mi</t>
        </is>
      </c>
      <c r="B234" s="109" t="n">
        <v>3</v>
      </c>
    </row>
    <row r="235" ht="15" customHeight="1" s="62">
      <c r="A235" s="108" t="inlineStr">
        <is>
          <t>Remote &gt;3mi</t>
        </is>
      </c>
      <c r="B235" s="109" t="n">
        <v>0</v>
      </c>
    </row>
    <row r="237" ht="15" customHeight="1" s="62">
      <c r="A237" s="106" t="inlineStr">
        <is>
          <t>V4 - Convertibility (20)</t>
        </is>
      </c>
      <c r="B237" s="63" t="n"/>
      <c r="C237" s="63" t="n"/>
      <c r="D237" s="63" t="n"/>
    </row>
    <row r="238" ht="15" customHeight="1" s="62">
      <c r="A238" s="107" t="inlineStr">
        <is>
          <t>Band</t>
        </is>
      </c>
      <c r="B238" s="107" t="inlineStr">
        <is>
          <t>Points</t>
        </is>
      </c>
    </row>
    <row r="239" ht="15" customHeight="1" s="62">
      <c r="A239" s="108" t="inlineStr">
        <is>
          <t>Open span</t>
        </is>
      </c>
      <c r="B239" s="109" t="n">
        <v>20</v>
      </c>
    </row>
    <row r="240" ht="15" customHeight="1" s="62">
      <c r="A240" s="108" t="inlineStr">
        <is>
          <t>Assembly hall</t>
        </is>
      </c>
      <c r="B240" s="109" t="n">
        <v>17</v>
      </c>
    </row>
    <row r="241" ht="15" customHeight="1" s="62">
      <c r="A241" s="108" t="inlineStr">
        <is>
          <t>Retail shell</t>
        </is>
      </c>
      <c r="B241" s="109" t="n">
        <v>12</v>
      </c>
    </row>
    <row r="242" ht="15" customHeight="1" s="62">
      <c r="A242" s="108" t="inlineStr">
        <is>
          <t>Lot / minimal bldg</t>
        </is>
      </c>
      <c r="B242" s="109" t="n">
        <v>10</v>
      </c>
    </row>
    <row r="243" ht="15" customHeight="1" s="62">
      <c r="A243" s="108" t="inlineStr">
        <is>
          <t>Cellular</t>
        </is>
      </c>
      <c r="B243" s="109" t="n">
        <v>6</v>
      </c>
    </row>
    <row r="244" ht="15" customHeight="1" s="62">
      <c r="A244" s="108" t="inlineStr">
        <is>
          <t>Purpose-built venue</t>
        </is>
      </c>
      <c r="B244" s="109" t="n">
        <v>5</v>
      </c>
    </row>
    <row r="245" ht="15" customHeight="1" s="62">
      <c r="A245" s="108" t="inlineStr">
        <is>
          <t>Built-out kitchen</t>
        </is>
      </c>
      <c r="B245" s="109" t="n">
        <v>3</v>
      </c>
    </row>
    <row r="246" ht="15" customHeight="1" s="62">
      <c r="A246" s="108" t="inlineStr">
        <is>
          <t>Office/institutional</t>
        </is>
      </c>
      <c r="B246" s="109" t="n">
        <v>2</v>
      </c>
    </row>
    <row r="247" ht="15" customHeight="1" s="62">
      <c r="A247" s="108" t="inlineStr">
        <is>
          <t>Office tower 3+ storey</t>
        </is>
      </c>
      <c r="B247" s="109" t="n">
        <v>0</v>
      </c>
    </row>
    <row r="249" ht="15" customHeight="1" s="62">
      <c r="A249" s="106" t="inlineStr">
        <is>
          <t>V4 - Availability multiplier</t>
        </is>
      </c>
      <c r="B249" s="63" t="n"/>
      <c r="C249" s="63" t="n"/>
      <c r="D249" s="63" t="n"/>
    </row>
    <row r="250" ht="15" customHeight="1" s="62">
      <c r="A250" s="107" t="inlineStr">
        <is>
          <t>Band</t>
        </is>
      </c>
      <c r="B250" s="107" t="inlineStr">
        <is>
          <t>Multiplier</t>
        </is>
      </c>
    </row>
    <row r="251" ht="15" customHeight="1" s="62">
      <c r="A251" s="108" t="inlineStr">
        <is>
          <t>Brand-owned / net lease</t>
        </is>
      </c>
      <c r="B251" s="115" t="n">
        <v>0.3</v>
      </c>
      <c r="C251" s="116" t="inlineStr">
        <is>
          <t>Owner name is the operating brand or a net-lease vehicle. Effectively unobtainable absent a broker signal of pending turnover.</t>
        </is>
      </c>
    </row>
    <row r="252" ht="15" customHeight="1" s="62">
      <c r="A252" s="108" t="inlineStr">
        <is>
          <t>Chain format + investor</t>
        </is>
      </c>
      <c r="B252" s="115" t="n">
        <v>0.45</v>
      </c>
      <c r="C252" s="116" t="inlineStr">
        <is>
          <t>Chain-format building held by a passive investor - long-term NNN lease in place is the most likely structure.</t>
        </is>
      </c>
    </row>
    <row r="253" ht="15" customHeight="1" s="62">
      <c r="A253" s="108" t="inlineStr">
        <is>
          <t>Chain format + local owner</t>
        </is>
      </c>
      <c r="B253" s="115" t="n">
        <v>0.7</v>
      </c>
      <c r="C253" s="116" t="inlineStr">
        <is>
          <t>Chain-format building but locally/individually owned - may be an independent or franchisee, materially more likely to deal.</t>
        </is>
      </c>
    </row>
    <row r="254" ht="15" customHeight="1" s="62">
      <c r="A254" s="108" t="inlineStr">
        <is>
          <t>Owner-occupied operator</t>
        </is>
      </c>
      <c r="B254" s="115" t="n">
        <v>0.8</v>
      </c>
      <c r="C254" s="116" t="inlineStr">
        <is>
          <t>Owner mailing address matches the site - an operating business occupies it.</t>
        </is>
      </c>
    </row>
    <row r="255" ht="15" customHeight="1" s="62">
      <c r="A255" s="108" t="inlineStr">
        <is>
          <t>No chain signal</t>
        </is>
      </c>
      <c r="B255" s="115" t="n">
        <v>1</v>
      </c>
      <c r="C255" s="116" t="inlineStr">
        <is>
          <t>No indication of a credit-tenant lease. Normal pursuit.</t>
        </is>
      </c>
    </row>
    <row r="257" ht="15" customHeight="1" s="62">
      <c r="A257" s="106" t="inlineStr">
        <is>
          <t>V4 - Lot size multiplier</t>
        </is>
      </c>
      <c r="B257" s="63" t="n"/>
      <c r="C257" s="63" t="n"/>
      <c r="D257" s="63" t="n"/>
    </row>
    <row r="258" ht="15" customHeight="1" s="62">
      <c r="A258" s="107" t="inlineStr">
        <is>
          <t>Band</t>
        </is>
      </c>
      <c r="B258" s="107" t="inlineStr">
        <is>
          <t>Multiplier</t>
        </is>
      </c>
    </row>
    <row r="259" ht="15" customHeight="1" s="62">
      <c r="A259" s="108" t="inlineStr">
        <is>
          <t>Undersized &lt;0.15 AC</t>
        </is>
      </c>
      <c r="B259" s="115" t="n">
        <v>0.45</v>
      </c>
    </row>
    <row r="260" ht="15" customHeight="1" s="62">
      <c r="A260" s="108" t="inlineStr">
        <is>
          <t>Extra small 0.15-0.25 AC</t>
        </is>
      </c>
      <c r="B260" s="115" t="n">
        <v>0.8</v>
      </c>
    </row>
    <row r="261" ht="15" customHeight="1" s="62">
      <c r="A261" s="108" t="inlineStr">
        <is>
          <t>Small 0.25-0.35 AC</t>
        </is>
      </c>
      <c r="B261" s="115" t="n">
        <v>0.9</v>
      </c>
    </row>
    <row r="262" ht="15" customHeight="1" s="62">
      <c r="A262" s="108" t="inlineStr">
        <is>
          <t>Right-sized 0.35-0.75 AC</t>
        </is>
      </c>
      <c r="B262" s="115" t="n">
        <v>1</v>
      </c>
    </row>
    <row r="263" ht="15" customHeight="1" s="62">
      <c r="A263" s="108" t="inlineStr">
        <is>
          <t>Large 0.75-1.25 AC</t>
        </is>
      </c>
      <c r="B263" s="115" t="n">
        <v>0.9</v>
      </c>
    </row>
    <row r="264" ht="15" customHeight="1" s="62">
      <c r="A264" s="108" t="inlineStr">
        <is>
          <t>Oversized &gt;1.25 AC</t>
        </is>
      </c>
      <c r="B264" s="115" t="n">
        <v>0.65</v>
      </c>
    </row>
    <row r="266" ht="15" customHeight="1" s="62">
      <c r="A266" s="110" t="inlineStr">
        <is>
          <t>V5 - Building fit (15)</t>
        </is>
      </c>
    </row>
    <row r="267" ht="15" customHeight="1" s="62">
      <c r="A267" s="107" t="inlineStr">
        <is>
          <t>Band</t>
        </is>
      </c>
      <c r="B267" s="107" t="inlineStr">
        <is>
          <t>Points</t>
        </is>
      </c>
    </row>
    <row r="268" ht="15" customHeight="1" s="62">
      <c r="A268" s="108" t="inlineStr">
        <is>
          <t>Target 1.5-2.5k</t>
        </is>
      </c>
      <c r="B268" s="109" t="n">
        <v>15</v>
      </c>
    </row>
    <row r="269" ht="15" customHeight="1" s="62">
      <c r="A269" s="108" t="inlineStr">
        <is>
          <t>Above 2.5-4k</t>
        </is>
      </c>
      <c r="B269" s="109" t="n">
        <v>12.3</v>
      </c>
    </row>
    <row r="270" ht="15" customHeight="1" s="62">
      <c r="A270" s="108" t="inlineStr">
        <is>
          <t>Below 1.2-1.5k</t>
        </is>
      </c>
      <c r="B270" s="109" t="n">
        <v>8.9</v>
      </c>
    </row>
    <row r="271" ht="15" customHeight="1" s="62">
      <c r="A271" s="108" t="inlineStr">
        <is>
          <t>Large 4-6k</t>
        </is>
      </c>
      <c r="B271" s="109" t="n">
        <v>8.199999999999999</v>
      </c>
    </row>
    <row r="272" ht="15" customHeight="1" s="62">
      <c r="A272" s="108" t="inlineStr">
        <is>
          <t>Oversize 6-12k</t>
        </is>
      </c>
      <c r="B272" s="109" t="n">
        <v>4.1</v>
      </c>
    </row>
    <row r="273" ht="15" customHeight="1" s="62">
      <c r="A273" s="108" t="inlineStr">
        <is>
          <t>Far oversize &gt;12k</t>
        </is>
      </c>
      <c r="B273" s="109" t="n">
        <v>1.4</v>
      </c>
    </row>
    <row r="274" ht="15" customHeight="1" s="62">
      <c r="A274" s="108" t="inlineStr">
        <is>
          <t>Too small &lt;1.2k</t>
        </is>
      </c>
      <c r="B274" s="109" t="n">
        <v>2</v>
      </c>
    </row>
    <row r="275" ht="15" customHeight="1" s="62">
      <c r="A275" s="108" t="inlineStr">
        <is>
          <t>No building</t>
        </is>
      </c>
      <c r="B275" s="109" t="n">
        <v>2.7</v>
      </c>
    </row>
    <row r="276" ht="15" customHeight="1" s="62">
      <c r="A276" s="108" t="inlineStr">
        <is>
          <t>Office tower 3+ storey</t>
        </is>
      </c>
      <c r="B276" s="109" t="n">
        <v>0</v>
      </c>
    </row>
    <row r="278" ht="15" customHeight="1" s="62">
      <c r="A278" s="110" t="inlineStr">
        <is>
          <t>V5 - Convertibility (15)</t>
        </is>
      </c>
    </row>
    <row r="279" ht="15" customHeight="1" s="62">
      <c r="A279" s="107" t="inlineStr">
        <is>
          <t>Band</t>
        </is>
      </c>
      <c r="B279" s="107" t="inlineStr">
        <is>
          <t>Points</t>
        </is>
      </c>
    </row>
    <row r="280" ht="15" customHeight="1" s="62">
      <c r="A280" s="108" t="inlineStr">
        <is>
          <t>Open span</t>
        </is>
      </c>
      <c r="B280" s="109" t="n">
        <v>15</v>
      </c>
    </row>
    <row r="281" ht="15" customHeight="1" s="62">
      <c r="A281" s="108" t="inlineStr">
        <is>
          <t>Assembly hall</t>
        </is>
      </c>
      <c r="B281" s="109" t="n">
        <v>12.8</v>
      </c>
    </row>
    <row r="282" ht="15" customHeight="1" s="62">
      <c r="A282" s="108" t="inlineStr">
        <is>
          <t>Retail shell</t>
        </is>
      </c>
      <c r="B282" s="109" t="n">
        <v>9</v>
      </c>
    </row>
    <row r="283" ht="15" customHeight="1" s="62">
      <c r="A283" s="108" t="inlineStr">
        <is>
          <t>Lot / minimal bldg</t>
        </is>
      </c>
      <c r="B283" s="109" t="n">
        <v>7.5</v>
      </c>
    </row>
    <row r="284" ht="15" customHeight="1" s="62">
      <c r="A284" s="108" t="inlineStr">
        <is>
          <t>Cellular</t>
        </is>
      </c>
      <c r="B284" s="109" t="n">
        <v>4.5</v>
      </c>
    </row>
    <row r="285" ht="15" customHeight="1" s="62">
      <c r="A285" s="108" t="inlineStr">
        <is>
          <t>Purpose-built venue</t>
        </is>
      </c>
      <c r="B285" s="109" t="n">
        <v>3.8</v>
      </c>
    </row>
    <row r="286" ht="15" customHeight="1" s="62">
      <c r="A286" s="108" t="inlineStr">
        <is>
          <t>Built-out kitchen</t>
        </is>
      </c>
      <c r="B286" s="109" t="n">
        <v>2.2</v>
      </c>
    </row>
    <row r="287" ht="15" customHeight="1" s="62">
      <c r="A287" s="108" t="inlineStr">
        <is>
          <t>Office/institutional</t>
        </is>
      </c>
      <c r="B287" s="109" t="n">
        <v>1.5</v>
      </c>
    </row>
    <row r="288" ht="15" customHeight="1" s="62">
      <c r="A288" s="108" t="inlineStr">
        <is>
          <t>Office tower 3+ storey</t>
        </is>
      </c>
      <c r="B288" s="109" t="n">
        <v>0</v>
      </c>
    </row>
    <row r="290" ht="15" customHeight="1" s="62">
      <c r="A290" s="110" t="inlineStr">
        <is>
          <t>V5 - Usable yard (20)</t>
        </is>
      </c>
    </row>
    <row r="291" ht="15" customHeight="1" s="62">
      <c r="A291" s="107" t="inlineStr">
        <is>
          <t>Band</t>
        </is>
      </c>
      <c r="B291" s="107" t="inlineStr">
        <is>
          <t>Points</t>
        </is>
      </c>
    </row>
    <row r="292" ht="15" customHeight="1" s="62">
      <c r="A292" s="108" t="inlineStr">
        <is>
          <t>Ample &gt;=15k</t>
        </is>
      </c>
      <c r="B292" s="109" t="n">
        <v>20</v>
      </c>
    </row>
    <row r="293" ht="15" customHeight="1" s="62">
      <c r="A293" s="108" t="inlineStr">
        <is>
          <t>Good 8-15k</t>
        </is>
      </c>
      <c r="B293" s="109" t="n">
        <v>16.7</v>
      </c>
    </row>
    <row r="294" ht="15" customHeight="1" s="62">
      <c r="A294" s="108" t="inlineStr">
        <is>
          <t>Adequate 5-8k</t>
        </is>
      </c>
      <c r="B294" s="109" t="n">
        <v>11.7</v>
      </c>
    </row>
    <row r="295" ht="15" customHeight="1" s="62">
      <c r="A295" s="108" t="inlineStr">
        <is>
          <t>Tight 2-5k</t>
        </is>
      </c>
      <c r="B295" s="109" t="n">
        <v>5</v>
      </c>
    </row>
    <row r="296" ht="15" customHeight="1" s="62">
      <c r="A296" s="108" t="inlineStr">
        <is>
          <t>Insufficient &lt;2k</t>
        </is>
      </c>
      <c r="B296" s="109" t="n">
        <v>0</v>
      </c>
    </row>
    <row r="298" ht="15" customHeight="1" s="62">
      <c r="A298" s="110" t="inlineStr">
        <is>
          <t>V5 - Location (30)</t>
        </is>
      </c>
    </row>
    <row r="299" ht="15" customHeight="1" s="62">
      <c r="A299" s="107" t="inlineStr">
        <is>
          <t>Band</t>
        </is>
      </c>
      <c r="B299" s="107" t="inlineStr">
        <is>
          <t>Points</t>
        </is>
      </c>
    </row>
    <row r="300" ht="15" customHeight="1" s="62">
      <c r="A300" s="108" t="inlineStr">
        <is>
          <t>Core &lt;=0.35mi</t>
        </is>
      </c>
      <c r="B300" s="109" t="n">
        <v>30</v>
      </c>
    </row>
    <row r="301" ht="15" customHeight="1" s="62">
      <c r="A301" s="108" t="inlineStr">
        <is>
          <t>Near 0.35-0.75mi</t>
        </is>
      </c>
      <c r="B301" s="109" t="n">
        <v>24.2</v>
      </c>
    </row>
    <row r="302" ht="15" customHeight="1" s="62">
      <c r="A302" s="108" t="inlineStr">
        <is>
          <t>Fringe 0.75-1.25mi</t>
        </is>
      </c>
      <c r="B302" s="109" t="n">
        <v>16.2</v>
      </c>
    </row>
    <row r="303" ht="15" customHeight="1" s="62">
      <c r="A303" s="108" t="inlineStr">
        <is>
          <t>Outer 1.25-2mi</t>
        </is>
      </c>
      <c r="B303" s="109" t="n">
        <v>8.1</v>
      </c>
    </row>
    <row r="304" ht="15" customHeight="1" s="62">
      <c r="A304" s="108" t="inlineStr">
        <is>
          <t>Distant 2-3mi</t>
        </is>
      </c>
      <c r="B304" s="109" t="n">
        <v>3.5</v>
      </c>
    </row>
    <row r="305" ht="15" customHeight="1" s="62">
      <c r="A305" s="108" t="inlineStr">
        <is>
          <t>Remote &gt;3mi</t>
        </is>
      </c>
      <c r="B305" s="109" t="n">
        <v>0</v>
      </c>
    </row>
    <row r="307" ht="15" customHeight="1" s="62">
      <c r="A307" s="110" t="inlineStr">
        <is>
          <t>V5 - Crime safety (10)</t>
        </is>
      </c>
    </row>
    <row r="308" ht="15" customHeight="1" s="62">
      <c r="A308" s="107" t="inlineStr">
        <is>
          <t>Band</t>
        </is>
      </c>
      <c r="B308" s="107" t="inlineStr">
        <is>
          <t>Points</t>
        </is>
      </c>
    </row>
    <row r="309" ht="15" customHeight="1" s="62">
      <c r="A309" s="108" t="inlineStr">
        <is>
          <t>Very safe 80+</t>
        </is>
      </c>
      <c r="B309" s="109" t="n">
        <v>10</v>
      </c>
    </row>
    <row r="310" ht="15" customHeight="1" s="62">
      <c r="A310" s="108" t="inlineStr">
        <is>
          <t>Safe 70-79</t>
        </is>
      </c>
      <c r="B310" s="109" t="n">
        <v>8.300000000000001</v>
      </c>
    </row>
    <row r="311" ht="15" customHeight="1" s="62">
      <c r="A311" s="108" t="inlineStr">
        <is>
          <t>Moderate 60-69</t>
        </is>
      </c>
      <c r="B311" s="109" t="n">
        <v>6.7</v>
      </c>
    </row>
    <row r="312" ht="15" customHeight="1" s="62">
      <c r="A312" s="108" t="inlineStr">
        <is>
          <t>Mixed 45-59</t>
        </is>
      </c>
      <c r="B312" s="109" t="n">
        <v>4.2</v>
      </c>
    </row>
    <row r="313" ht="15" customHeight="1" s="62">
      <c r="A313" s="108" t="inlineStr">
        <is>
          <t>Elevated 35-44</t>
        </is>
      </c>
      <c r="B313" s="109" t="n">
        <v>2.5</v>
      </c>
    </row>
    <row r="314" ht="15" customHeight="1" s="62">
      <c r="A314" s="108" t="inlineStr">
        <is>
          <t>High &lt;35</t>
        </is>
      </c>
      <c r="B314" s="109" t="n">
        <v>0</v>
      </c>
    </row>
    <row r="316" ht="15" customHeight="1" s="62">
      <c r="A316" s="110" t="inlineStr">
        <is>
          <t>V5 - Flood (5)</t>
        </is>
      </c>
    </row>
    <row r="317" ht="15" customHeight="1" s="62">
      <c r="A317" s="107" t="inlineStr">
        <is>
          <t>Band</t>
        </is>
      </c>
      <c r="B317" s="107" t="inlineStr">
        <is>
          <t>Points</t>
        </is>
      </c>
    </row>
    <row r="318" ht="15" customHeight="1" s="62">
      <c r="A318" s="108" t="inlineStr">
        <is>
          <t>B and X</t>
        </is>
      </c>
      <c r="B318" s="109" t="n">
        <v>5</v>
      </c>
    </row>
    <row r="319" ht="15" customHeight="1" s="62">
      <c r="A319" s="108" t="inlineStr">
        <is>
          <t>AE</t>
        </is>
      </c>
      <c r="B319" s="109" t="n">
        <v>0</v>
      </c>
    </row>
    <row r="320" ht="15" customHeight="1" s="62">
      <c r="A320" s="108" t="inlineStr">
        <is>
          <t>Unknown</t>
        </is>
      </c>
      <c r="B320" s="109" t="n">
        <v>2.5</v>
      </c>
    </row>
    <row r="322" ht="15" customHeight="1" s="62">
      <c r="A322" s="110" t="inlineStr">
        <is>
          <t>V5 - Environmental (5)</t>
        </is>
      </c>
    </row>
    <row r="323" ht="15" customHeight="1" s="62">
      <c r="A323" s="107" t="inlineStr">
        <is>
          <t>Band</t>
        </is>
      </c>
      <c r="B323" s="107" t="inlineStr">
        <is>
          <t>Points</t>
        </is>
      </c>
    </row>
    <row r="324" ht="15" customHeight="1" s="62">
      <c r="A324" s="108" t="inlineStr">
        <is>
          <t>Low</t>
        </is>
      </c>
      <c r="B324" s="109" t="n">
        <v>5</v>
      </c>
    </row>
    <row r="325" ht="15" customHeight="1" s="62">
      <c r="A325" s="108" t="inlineStr">
        <is>
          <t>Moderate</t>
        </is>
      </c>
      <c r="B325" s="109" t="n">
        <v>2.5</v>
      </c>
    </row>
    <row r="326" ht="15" customHeight="1" s="62">
      <c r="A326" s="108" t="inlineStr">
        <is>
          <t>High</t>
        </is>
      </c>
      <c r="B326" s="109" t="n">
        <v>0</v>
      </c>
    </row>
    <row r="328" ht="15" customHeight="1" s="62">
      <c r="A328" s="111" t="inlineStr">
        <is>
          <t>Budget context: $11,000/mo = $132,000/yr all-in. At an assumed $8/SF NNN base plus $3/SF NNN load ($11/SF gross), that supports roughly 12,000 SF whole-building. NO COVINGTON LEASE COMPS WERE AVAILABLE - this is a general market range, not verified. Larger buildings are flagged Over budget but NOT down-scored, since a landlord may demise a portion.</t>
        </is>
      </c>
    </row>
    <row r="329" ht="15" customHeight="1" s="62"/>
    <row r="330" ht="15" customHeight="1" s="62"/>
    <row r="331" ht="15" customHeight="1" s="62"/>
    <row r="332" ht="15" customHeight="1" s="62"/>
    <row r="334">
      <c r="A334" s="117" t="inlineStr">
        <is>
          <t>V6 FLOOD TABLES — FEMA NFHL JOIN (applied 2 Aug 2026)</t>
        </is>
      </c>
    </row>
    <row r="335">
      <c r="A335" s="61" t="inlineStr">
        <is>
          <t>OWNER DECISION 2026-08-02: sub-band X=5 / shaded X=4 / levee-protected X=3.5 / AE=0. The zones are objective FEMA NFHL data; the point split is an owner-approved weight choice. Legacy tables below map all X variants to their original 'B and X' points (no sub-banding).</t>
        </is>
      </c>
    </row>
    <row r="336">
      <c r="A336" s="61" t="inlineStr">
        <is>
          <t>Band</t>
        </is>
      </c>
      <c r="B336" s="61" t="inlineStr">
        <is>
          <t>Points (v5/v6)</t>
        </is>
      </c>
    </row>
    <row r="337">
      <c r="A337" s="61" t="inlineStr">
        <is>
          <t>X (minimal hazard)</t>
        </is>
      </c>
      <c r="B337" s="61" t="n">
        <v>5</v>
      </c>
    </row>
    <row r="338">
      <c r="A338" s="61" t="inlineStr">
        <is>
          <t>X shaded (0.2%)</t>
        </is>
      </c>
      <c r="B338" s="61" t="n">
        <v>4</v>
      </c>
    </row>
    <row r="339">
      <c r="A339" s="61" t="inlineStr">
        <is>
          <t>X (levee-protected)</t>
        </is>
      </c>
      <c r="B339" s="61" t="n">
        <v>3.5</v>
      </c>
    </row>
    <row r="340">
      <c r="A340" s="61" t="inlineStr">
        <is>
          <t>AE (1% annual)</t>
        </is>
      </c>
      <c r="B340" s="61" t="n">
        <v>0</v>
      </c>
    </row>
    <row r="341">
      <c r="A341" s="61" t="inlineStr">
        <is>
          <t>Unknown</t>
        </is>
      </c>
      <c r="B341" s="61" t="n">
        <v>2.5</v>
      </c>
    </row>
    <row r="342">
      <c r="A342" s="61" t="inlineStr">
        <is>
          <t>Band</t>
        </is>
      </c>
      <c r="B342" s="61" t="inlineStr">
        <is>
          <t>Points (v1 legacy)</t>
        </is>
      </c>
    </row>
    <row r="343">
      <c r="A343" s="61" t="inlineStr">
        <is>
          <t>X (minimal hazard)</t>
        </is>
      </c>
      <c r="B343" s="61" t="n">
        <v>15</v>
      </c>
    </row>
    <row r="344">
      <c r="A344" s="61" t="inlineStr">
        <is>
          <t>X shaded (0.2%)</t>
        </is>
      </c>
      <c r="B344" s="61" t="n">
        <v>15</v>
      </c>
    </row>
    <row r="345">
      <c r="A345" s="61" t="inlineStr">
        <is>
          <t>X (levee-protected)</t>
        </is>
      </c>
      <c r="B345" s="61" t="n">
        <v>15</v>
      </c>
    </row>
    <row r="346">
      <c r="A346" s="61" t="inlineStr">
        <is>
          <t>AE (1% annual)</t>
        </is>
      </c>
      <c r="B346" s="61" t="n">
        <v>0</v>
      </c>
    </row>
    <row r="347">
      <c r="A347" s="61" t="inlineStr">
        <is>
          <t>Unknown</t>
        </is>
      </c>
      <c r="B347" s="61" t="n">
        <v>8</v>
      </c>
    </row>
    <row r="348">
      <c r="A348" s="61" t="inlineStr">
        <is>
          <t>Band</t>
        </is>
      </c>
      <c r="B348" s="61" t="inlineStr">
        <is>
          <t>Points (v3 legacy)</t>
        </is>
      </c>
    </row>
    <row r="349">
      <c r="A349" s="61" t="inlineStr">
        <is>
          <t>X (minimal hazard)</t>
        </is>
      </c>
      <c r="B349" s="61" t="n">
        <v>4</v>
      </c>
    </row>
    <row r="350">
      <c r="A350" s="61" t="inlineStr">
        <is>
          <t>X shaded (0.2%)</t>
        </is>
      </c>
      <c r="B350" s="61" t="n">
        <v>4</v>
      </c>
    </row>
    <row r="351">
      <c r="A351" s="61" t="inlineStr">
        <is>
          <t>X (levee-protected)</t>
        </is>
      </c>
      <c r="B351" s="61" t="n">
        <v>4</v>
      </c>
    </row>
    <row r="352">
      <c r="A352" s="61" t="inlineStr">
        <is>
          <t>AE (1% annual)</t>
        </is>
      </c>
      <c r="B352" s="61" t="n">
        <v>0</v>
      </c>
    </row>
    <row r="353">
      <c r="A353" s="61" t="inlineStr">
        <is>
          <t>Unknown</t>
        </is>
      </c>
      <c r="B353" s="61" t="n">
        <v>2</v>
      </c>
    </row>
    <row r="355">
      <c r="A355" s="117" t="inlineStr">
        <is>
          <t>V7 ZONING MULTIPLIER — OWNER DECISION 2026-08-02</t>
        </is>
      </c>
    </row>
    <row r="356">
      <c r="A356" s="61" t="inlineStr">
        <is>
          <t>Applies ONLY to the Location and Convertibility factor outputs (max 45 of 100 fit pts). All other factors and the availability/lot multipliers are untouched. Tier assignment from NDC Table 03.06.3 (verified 2026-08-02); tier VALUES are an owner-approved judgment. SU parcels are provisional pending a corner-lot GIS check (03.07.5.A.2).</t>
        </is>
      </c>
    </row>
    <row r="357">
      <c r="A357" s="61" t="inlineStr">
        <is>
          <t>Band</t>
        </is>
      </c>
      <c r="B357" s="61" t="inlineStr">
        <is>
          <t>Multiplier</t>
        </is>
      </c>
    </row>
    <row r="358">
      <c r="A358" s="61" t="inlineStr">
        <is>
          <t>Bar permitted</t>
        </is>
      </c>
      <c r="B358" s="61" t="n">
        <v>1</v>
      </c>
    </row>
    <row r="359">
      <c r="A359" s="61" t="inlineStr">
        <is>
          <t>SU corner unverified</t>
        </is>
      </c>
      <c r="B359" s="61" t="n">
        <v>0.9</v>
      </c>
    </row>
    <row r="360">
      <c r="A360" s="61" t="inlineStr">
        <is>
          <t>Conditional path only</t>
        </is>
      </c>
      <c r="B360" s="61" t="n">
        <v>0.7</v>
      </c>
    </row>
    <row r="361">
      <c r="A361" s="61" t="inlineStr">
        <is>
          <t>Undetermined (not in use table)</t>
        </is>
      </c>
      <c r="B361" s="61" t="n">
        <v>0.7</v>
      </c>
    </row>
    <row r="362">
      <c r="A362" s="61" t="inlineStr">
        <is>
          <t>Bar prohibited, alt-path</t>
        </is>
      </c>
      <c r="B362" s="61" t="n">
        <v>0.5</v>
      </c>
    </row>
    <row r="363">
      <c r="A363" s="61" t="inlineStr">
        <is>
          <t>No path</t>
        </is>
      </c>
      <c r="B363" s="61" t="n">
        <v>0.3</v>
      </c>
    </row>
    <row r="365">
      <c r="A365" s="117" t="inlineStr">
        <is>
          <t>V8 MODEL — FACTOR-SCOPED MULTIPLIERS (OWNER DECISION 2026-08-02)</t>
        </is>
      </c>
    </row>
    <row r="366">
      <c r="A366" s="61" t="inlineStr">
        <is>
          <t>CHASE SCORE = BldgFit x Avail x Lot + Convertibility x Zoning x Avail x Lot + Yard x Lot + Location x Zoning x Avail + Crime + Flood + Environmental.</t>
        </is>
      </c>
    </row>
    <row r="367">
      <c r="A367" s="61" t="inlineStr">
        <is>
          <t>Scoping per owner: Availability -&gt; Location, Building Fit, Convertibility. Lot-size -&gt; Yard, Building Fit, Convertibility. Zoning -&gt; Location, Convertibility (v7 decision). Crime, Flood, Environmental are immune to all multipliers. No global multipliers remain; scores run ~7 pts higher than v7 (floor effect) - compare ranks, not raw scores, across versions.</t>
        </is>
      </c>
    </row>
    <row r="368">
      <c r="A368" s="61" t="inlineStr">
        <is>
          <t>Deployed with 17 LoopNet building-SF corrections (banked 2026-08-02; 1 land-artifact record discarded: 1131 Scott St). LoopNet-verified coverage now 157/328.</t>
        </is>
      </c>
    </row>
  </sheetData>
  <mergeCells count="6">
    <mergeCell ref="A328:F332"/>
    <mergeCell ref="A116:F118"/>
    <mergeCell ref="A210:F213"/>
    <mergeCell ref="A51:F53"/>
    <mergeCell ref="A121:F124"/>
    <mergeCell ref="A217:F2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8494B4"/>
    <outlinePr summaryBelow="1" summaryRight="1"/>
    <pageSetUpPr fitToPage="0"/>
  </sheetPr>
  <dimension ref="A1:C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61" min="1" max="1"/>
    <col width="14" customWidth="1" style="61" min="2" max="2"/>
    <col width="74" customWidth="1" style="61" min="3" max="3"/>
  </cols>
  <sheetData>
    <row r="1" ht="17.25" customHeight="1" s="62">
      <c r="A1" s="118" t="inlineStr">
        <is>
          <t>Fields requested vs. fields populated</t>
        </is>
      </c>
    </row>
    <row r="2"/>
    <row r="3" ht="15" customHeight="1" s="62">
      <c r="A3" s="119" t="inlineStr">
        <is>
          <t>Field</t>
        </is>
      </c>
      <c r="B3" s="119" t="inlineStr">
        <is>
          <t>Status</t>
        </is>
      </c>
      <c r="C3" s="119" t="inlineStr">
        <is>
          <t>Source / next step</t>
        </is>
      </c>
    </row>
    <row r="4" ht="15" customHeight="1" s="62">
      <c r="A4" s="120" t="inlineStr">
        <is>
          <t>Address</t>
        </is>
      </c>
      <c r="B4" s="120" t="inlineStr">
        <is>
          <t>Populated</t>
        </is>
      </c>
      <c r="C4" s="120" t="inlineStr">
        <is>
          <t>LINK-GIS Parcels_KC_PVA</t>
        </is>
      </c>
    </row>
    <row r="5" ht="15" customHeight="1" s="62">
      <c r="A5" s="120" t="inlineStr">
        <is>
          <t>Parcel ID</t>
        </is>
      </c>
      <c r="B5" s="120" t="inlineStr">
        <is>
          <t>Populated</t>
        </is>
      </c>
      <c r="C5" s="120" t="inlineStr">
        <is>
          <t>LINK-GIS Parcels_KC_PVA</t>
        </is>
      </c>
    </row>
    <row r="6" ht="15" customHeight="1" s="62">
      <c r="A6" s="120" t="inlineStr">
        <is>
          <t>Owner name</t>
        </is>
      </c>
      <c r="B6" s="120" t="inlineStr">
        <is>
          <t>Populated</t>
        </is>
      </c>
      <c r="C6" s="120" t="inlineStr">
        <is>
          <t>LINK-GIS Parcels_KC_PVA</t>
        </is>
      </c>
    </row>
    <row r="7" ht="15" customHeight="1" s="62">
      <c r="A7" s="120" t="inlineStr">
        <is>
          <t>Mailing address</t>
        </is>
      </c>
      <c r="B7" s="120" t="inlineStr">
        <is>
          <t>Populated</t>
        </is>
      </c>
      <c r="C7" s="120" t="inlineStr">
        <is>
          <t>LINK-GIS Parcels_KC_PVA</t>
        </is>
      </c>
    </row>
    <row r="8" ht="15" customHeight="1" s="62">
      <c r="A8" s="120" t="inlineStr">
        <is>
          <t>Lot size</t>
        </is>
      </c>
      <c r="B8" s="120" t="inlineStr">
        <is>
          <t>Populated</t>
        </is>
      </c>
      <c r="C8" s="120" t="inlineStr">
        <is>
          <t>shape_Area, KY State Plane North (US ft)</t>
        </is>
      </c>
    </row>
    <row r="9" ht="15" customHeight="1" s="62">
      <c r="A9" s="120" t="inlineStr">
        <is>
          <t>Current use</t>
        </is>
      </c>
      <c r="B9" s="120" t="inlineStr">
        <is>
          <t>Populated</t>
        </is>
      </c>
      <c r="C9" s="120" t="inlineStr">
        <is>
          <t>LANDUSE_TE</t>
        </is>
      </c>
    </row>
    <row r="10" ht="15" customHeight="1" s="62">
      <c r="A10" s="120" t="inlineStr">
        <is>
          <t>Building size</t>
        </is>
      </c>
      <c r="B10" s="120" t="inlineStr">
        <is>
          <t>Populated (266 LoopNet-verified)</t>
        </is>
      </c>
      <c r="C10" s="120" t="inlineStr">
        <is>
          <t>LoopNet property records, TOTAL SIZE, APN-matched (140 original + 126 slow-drip corrections through 2026-08-03; land-artifact rule applied). GIS footprint on remaining 62; 13 APNs still queued.</t>
        </is>
      </c>
    </row>
    <row r="11" ht="23.25" customHeight="1" s="62">
      <c r="A11" s="120" t="inlineStr">
        <is>
          <t>Zoning district</t>
        </is>
      </c>
      <c r="B11" s="120" t="inlineStr">
        <is>
          <t>Populated &amp; scored (v7)</t>
        </is>
      </c>
      <c r="C11" s="120" t="inlineStr">
        <is>
          <t>LINK-GIS Covington_Character_Districts + NDC Table 03.06.3 verification (2026-08-02). Graduated multiplier on Location+Convertibility only; tier table in Scoring Method rows 355-363. SU corner-lot check pending.</t>
        </is>
      </c>
    </row>
    <row r="12" ht="15" customHeight="1" s="62">
      <c r="A12" s="120" t="inlineStr">
        <is>
          <t>Outdoor area available</t>
        </is>
      </c>
      <c r="B12" s="120" t="inlineStr">
        <is>
          <t>Populated (36)</t>
        </is>
      </c>
      <c r="C12" s="120" t="inlineStr">
        <is>
          <t>Derived: GIS lot SF minus LoopNet building SF.</t>
        </is>
      </c>
    </row>
    <row r="13" ht="23.25" customHeight="1" s="62">
      <c r="A13" s="120" t="inlineStr">
        <is>
          <t>Parking count (est)</t>
        </is>
      </c>
      <c r="B13" s="120" t="inlineStr">
        <is>
          <t>Populated (36)</t>
        </is>
      </c>
      <c r="C13" s="120" t="inlineStr">
        <is>
          <t>Derived: (Outdoor SF - 5,000 dog yard) / 300 SF per stall. Assumes surface parking, unverified.</t>
        </is>
      </c>
    </row>
    <row r="14" ht="15" customHeight="1" s="62">
      <c r="A14" s="120" t="inlineStr">
        <is>
          <t>Fence present</t>
        </is>
      </c>
      <c r="B14" s="120" t="inlineStr">
        <is>
          <t>Replaced</t>
        </is>
      </c>
      <c r="C14" s="120" t="inlineStr">
        <is>
          <t>Column repurposed as Coverage %. Fence still requires site visit.</t>
        </is>
      </c>
    </row>
    <row r="15" ht="15" customHeight="1" s="62">
      <c r="A15" s="120" t="inlineStr">
        <is>
          <t>Distance to downtown</t>
        </is>
      </c>
      <c r="B15" s="120" t="inlineStr">
        <is>
          <t>EMPTY</t>
        </is>
      </c>
      <c r="C15" s="120" t="inlineStr">
        <is>
          <t>Computable from parcel centroid - needs geometry pull</t>
        </is>
      </c>
    </row>
    <row r="16" ht="15" customHeight="1" s="62">
      <c r="A16" s="120" t="inlineStr">
        <is>
          <t>Distance to residential</t>
        </is>
      </c>
      <c r="B16" s="120" t="inlineStr">
        <is>
          <t>EMPTY</t>
        </is>
      </c>
      <c r="C16" s="120" t="inlineStr">
        <is>
          <t>Needs Covington_Character_Districts geometry</t>
        </is>
      </c>
    </row>
    <row r="17" ht="23.25" customHeight="1" s="62">
      <c r="A17" s="120" t="inlineStr">
        <is>
          <t>Estimated lease rate</t>
        </is>
      </c>
      <c r="B17" s="120" t="inlineStr">
        <is>
          <t>NOT ADVISED</t>
        </is>
      </c>
      <c r="C17" s="120" t="inlineStr">
        <is>
          <t>No public rent database for Covington flex/industrial. Any figure would be invented. Use broker input.</t>
        </is>
      </c>
    </row>
    <row r="18" ht="15" customHeight="1" s="62">
      <c r="A18" s="120" t="inlineStr">
        <is>
          <t>Estimated acquisition price</t>
        </is>
      </c>
      <c r="B18" s="120" t="inlineStr">
        <is>
          <t>EMPTY</t>
        </is>
      </c>
      <c r="C18" s="120" t="inlineStr">
        <is>
          <t>Kenton PVA assessed value - per-parcel lookup</t>
        </is>
      </c>
    </row>
    <row r="19" ht="23.25" customHeight="1" s="62">
      <c r="A19" s="120" t="inlineStr">
        <is>
          <t>Environmental risk</t>
        </is>
      </c>
      <c r="B19" s="120" t="inlineStr">
        <is>
          <t>Proxy only</t>
        </is>
      </c>
      <c r="C19" s="120" t="inlineStr">
        <is>
          <t>Land-use proxy populated. Upgrade with LINK-GIS Brownfields layer + KY UST/LUST registry</t>
        </is>
      </c>
    </row>
    <row r="20" ht="15" customHeight="1" s="62">
      <c r="A20" s="120" t="inlineStr">
        <is>
          <t>Market status</t>
        </is>
      </c>
      <c r="B20" s="120" t="inlineStr">
        <is>
          <t>EMPTY</t>
        </is>
      </c>
      <c r="C20" s="120" t="inlineStr">
        <is>
          <t>LoopNet / Crexi / CoStar scan</t>
        </is>
      </c>
    </row>
    <row r="21" ht="15" customHeight="1" s="62">
      <c r="A21" s="120" t="inlineStr">
        <is>
          <t>Dog bar compatibility</t>
        </is>
      </c>
      <c r="B21" s="120" t="inlineStr">
        <is>
          <t>Populated</t>
        </is>
      </c>
      <c r="C21" s="120" t="inlineStr">
        <is>
          <t>Site Fit column, see Scoring Method</t>
        </is>
      </c>
    </row>
    <row r="22" ht="23.25" customHeight="1" s="62">
      <c r="A22" s="120" t="inlineStr">
        <is>
          <t>Redevelopment readiness</t>
        </is>
      </c>
      <c r="B22" s="120" t="inlineStr">
        <is>
          <t>Proxy only</t>
        </is>
      </c>
      <c r="C22" s="120" t="inlineStr">
        <is>
          <t>Ownership signals only. Upgrade with occupational-license status, last sale date, permit history</t>
        </is>
      </c>
    </row>
    <row r="23" ht="15" customHeight="1" s="62">
      <c r="A23" s="121" t="n"/>
      <c r="B23" s="121" t="n"/>
      <c r="C23" s="121" t="n"/>
    </row>
    <row r="24"/>
    <row r="25"/>
    <row r="26" ht="15" customHeight="1" s="62">
      <c r="A26" s="110" t="inlineStr">
        <is>
          <t>Source and retrieval note</t>
        </is>
      </c>
    </row>
    <row r="27" ht="15" customHeight="1" s="62">
      <c r="A27" s="111" t="inlineStr">
        <is>
          <t>All parcel attributes retrieved 2026-07-31 from the public LINK-GIS ArcGIS REST endpoint, layer Parcel_QueryOnly/MapServer/1 (Parcels_KC_PVA), maintained by the Kenton County Property Valuation Administrator. Filter: CITY_TEXT='COVINGTON' AND shape_Area between 8,000 and 90,000 sq ft AND LANDUSE_CO in a 29-code target set covering auto/garage/warehouse/shop/light-manufacturing/open-lot uses. 255 parcels returned. PVA disclaims warranty of accuracy; not survey grade.</t>
        </is>
      </c>
    </row>
    <row r="28" ht="15" customHeight="1" s="62"/>
    <row r="29" ht="15" customHeight="1" s="62"/>
    <row r="30" ht="15" customHeight="1" s="62"/>
    <row r="31" ht="15" customHeight="1" s="62"/>
  </sheetData>
  <mergeCells count="1">
    <mergeCell ref="A27:C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8494B4"/>
    <outlinePr summaryBelow="1" summaryRight="1"/>
    <pageSetUpPr fitToPage="0"/>
  </sheetPr>
  <dimension ref="A1:G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61" min="1" max="1"/>
    <col width="34" customWidth="1" style="61" min="2" max="2"/>
    <col width="32" customWidth="1" style="61" min="3" max="3"/>
    <col width="30" customWidth="1" style="61" min="4" max="4"/>
    <col width="10" customWidth="1" style="61" min="5" max="6"/>
    <col width="16" customWidth="1" style="61" min="7" max="7"/>
  </cols>
  <sheetData>
    <row r="1" ht="15" customHeight="1" s="62">
      <c r="A1" s="111" t="inlineStr">
        <is>
          <t>Government-owned parcels, excluded from ranking. Included here for completeness: these are the 669 W 3rd St failure mode (public acquisition). Some may still be obtainable via surplus-property disposition, which is a different process.</t>
        </is>
      </c>
    </row>
    <row r="2" ht="15" customHeight="1" s="62"/>
    <row r="4" ht="15" customHeight="1" s="62">
      <c r="A4" s="119" t="inlineStr">
        <is>
          <t>Parcel ID</t>
        </is>
      </c>
      <c r="B4" s="119" t="inlineStr">
        <is>
          <t>Address</t>
        </is>
      </c>
      <c r="C4" s="119" t="inlineStr">
        <is>
          <t>Owner Name</t>
        </is>
      </c>
      <c r="D4" s="119" t="inlineStr">
        <is>
          <t>Current Use</t>
        </is>
      </c>
      <c r="E4" s="119" t="inlineStr">
        <is>
          <t>Lot SF</t>
        </is>
      </c>
      <c r="F4" s="119" t="inlineStr">
        <is>
          <t>Lot Acres</t>
        </is>
      </c>
      <c r="G4" s="119" t="inlineStr">
        <is>
          <t>Mail City</t>
        </is>
      </c>
    </row>
    <row r="5" ht="15" customHeight="1" s="62">
      <c r="A5" s="108" t="inlineStr">
        <is>
          <t>044-00-00-004.00</t>
        </is>
      </c>
      <c r="B5" s="108" t="inlineStr">
        <is>
          <t>1020 MARY LAIDLEY DR</t>
        </is>
      </c>
      <c r="C5" s="108" t="inlineStr">
        <is>
          <t>KENTON COUNTY FISCAL COURT</t>
        </is>
      </c>
      <c r="D5" s="108" t="inlineStr">
        <is>
          <t>OFFICE BLDG 1 OR 2 STORY</t>
        </is>
      </c>
      <c r="E5" s="122" t="n">
        <v>85666</v>
      </c>
      <c r="F5" s="123">
        <f>E5/43560</f>
        <v/>
      </c>
      <c r="G5" s="108" t="inlineStr">
        <is>
          <t>COVINGTON</t>
        </is>
      </c>
    </row>
    <row r="6" ht="15" customHeight="1" s="62">
      <c r="A6" s="108" t="inlineStr">
        <is>
          <t>055-23-12-001.00</t>
        </is>
      </c>
      <c r="B6" s="108" t="inlineStr">
        <is>
          <t>2111 DONALDSON AVE</t>
        </is>
      </c>
      <c r="C6" s="108" t="inlineStr">
        <is>
          <t>COVINGTON CITY OF</t>
        </is>
      </c>
      <c r="D6" s="108" t="inlineStr">
        <is>
          <t>PAVED LOT</t>
        </is>
      </c>
      <c r="E6" s="122" t="n">
        <v>80261</v>
      </c>
      <c r="F6" s="123">
        <f>E6/43560</f>
        <v/>
      </c>
      <c r="G6" s="108" t="inlineStr">
        <is>
          <t>COVINGTON</t>
        </is>
      </c>
    </row>
    <row r="7" ht="15" customHeight="1" s="62">
      <c r="A7" s="108" t="inlineStr">
        <is>
          <t>055-11-06-002.00</t>
        </is>
      </c>
      <c r="B7" s="108" t="inlineStr">
        <is>
          <t>1415 JAMES SIMPSON JR WAY</t>
        </is>
      </c>
      <c r="C7" s="108" t="inlineStr">
        <is>
          <t>KENTON COUNTY KENTUCKY</t>
        </is>
      </c>
      <c r="D7" s="108" t="inlineStr">
        <is>
          <t>MEDICAL OFFICE</t>
        </is>
      </c>
      <c r="E7" s="122" t="n">
        <v>71569</v>
      </c>
      <c r="F7" s="123">
        <f>E7/43560</f>
        <v/>
      </c>
      <c r="G7" s="108" t="inlineStr">
        <is>
          <t>FLORENCE</t>
        </is>
      </c>
    </row>
    <row r="8" ht="15" customHeight="1" s="62">
      <c r="A8" s="108" t="inlineStr">
        <is>
          <t>054-24-17-001.00</t>
        </is>
      </c>
      <c r="B8" s="108" t="inlineStr">
        <is>
          <t>1124 SCOTT ST</t>
        </is>
      </c>
      <c r="C8" s="108" t="inlineStr">
        <is>
          <t>COVINGTON INDEPENDENT SCHOOL</t>
        </is>
      </c>
      <c r="D8" s="108" t="inlineStr">
        <is>
          <t>DAY CARE CENTER</t>
        </is>
      </c>
      <c r="E8" s="122" t="n">
        <v>70488</v>
      </c>
      <c r="F8" s="123">
        <f>E8/43560</f>
        <v/>
      </c>
      <c r="G8" s="108" t="inlineStr">
        <is>
          <t>COVINGTON</t>
        </is>
      </c>
    </row>
    <row r="9" ht="15" customHeight="1" s="62">
      <c r="A9" s="108" t="inlineStr">
        <is>
          <t>055-13-07-034.00</t>
        </is>
      </c>
      <c r="B9" s="108" t="inlineStr">
        <is>
          <t>1324 MADISON AVE</t>
        </is>
      </c>
      <c r="C9" s="108" t="inlineStr">
        <is>
          <t>COVINGTON CITY OF</t>
        </is>
      </c>
      <c r="D9" s="108" t="inlineStr">
        <is>
          <t>OFFICE BLDG 1 OR 2 STORY</t>
        </is>
      </c>
      <c r="E9" s="122" t="n">
        <v>69177</v>
      </c>
      <c r="F9" s="123">
        <f>E9/43560</f>
        <v/>
      </c>
      <c r="G9" s="108" t="inlineStr">
        <is>
          <t>COVINGTON</t>
        </is>
      </c>
    </row>
    <row r="10" ht="15" customHeight="1" s="62">
      <c r="A10" s="108" t="inlineStr">
        <is>
          <t>040-44-19-013.01</t>
        </is>
      </c>
      <c r="B10" s="108" t="inlineStr">
        <is>
          <t>(no address)</t>
        </is>
      </c>
      <c r="C10" s="108" t="inlineStr">
        <is>
          <t>KENTON COUNTY OF</t>
        </is>
      </c>
      <c r="D10" s="108" t="inlineStr">
        <is>
          <t>PARKING GARAGE</t>
        </is>
      </c>
      <c r="E10" s="122" t="n">
        <v>57961</v>
      </c>
      <c r="F10" s="123">
        <f>E10/43560</f>
        <v/>
      </c>
      <c r="G10" s="108" t="inlineStr">
        <is>
          <t>COVINGTON</t>
        </is>
      </c>
    </row>
    <row r="11" ht="15" customHeight="1" s="62">
      <c r="A11" s="108" t="inlineStr">
        <is>
          <t>055-13-02-013.01</t>
        </is>
      </c>
      <c r="B11" s="108" t="inlineStr">
        <is>
          <t>1650 RUSSELL ST</t>
        </is>
      </c>
      <c r="C11" s="108" t="inlineStr">
        <is>
          <t>HOUSING AUTHORITY OF COVINGTON</t>
        </is>
      </c>
      <c r="D11" s="108" t="inlineStr">
        <is>
          <t>HEALTH/RECREATIONAL FACILITY</t>
        </is>
      </c>
      <c r="E11" s="122" t="n">
        <v>56041</v>
      </c>
      <c r="F11" s="123">
        <f>E11/43560</f>
        <v/>
      </c>
      <c r="G11" s="108" t="inlineStr">
        <is>
          <t>COVINGTON</t>
        </is>
      </c>
    </row>
    <row r="12" ht="15" customHeight="1" s="62">
      <c r="A12" s="108" t="inlineStr">
        <is>
          <t>040-43-12-002.00</t>
        </is>
      </c>
      <c r="B12" s="108" t="inlineStr">
        <is>
          <t>417 W 6TH ST</t>
        </is>
      </c>
      <c r="C12" s="108" t="inlineStr">
        <is>
          <t>COVINGTON CITY OF</t>
        </is>
      </c>
      <c r="D12" s="108" t="inlineStr">
        <is>
          <t>RETAIL W/APARTMENTS</t>
        </is>
      </c>
      <c r="E12" s="122" t="n">
        <v>55569</v>
      </c>
      <c r="F12" s="123">
        <f>E12/43560</f>
        <v/>
      </c>
      <c r="G12" s="108" t="inlineStr">
        <is>
          <t>COVINGTON</t>
        </is>
      </c>
    </row>
    <row r="13" ht="15" customHeight="1" s="62">
      <c r="A13" s="108" t="inlineStr">
        <is>
          <t>054-21-20-009.00</t>
        </is>
      </c>
      <c r="B13" s="108" t="inlineStr">
        <is>
          <t>109 W PIKE ST</t>
        </is>
      </c>
      <c r="C13" s="108" t="inlineStr">
        <is>
          <t>COVINGTON CITY OF</t>
        </is>
      </c>
      <c r="D13" s="108" t="inlineStr">
        <is>
          <t>PAVED LOT</t>
        </is>
      </c>
      <c r="E13" s="122" t="n">
        <v>52090</v>
      </c>
      <c r="F13" s="123">
        <f>E13/43560</f>
        <v/>
      </c>
      <c r="G13" s="108" t="inlineStr">
        <is>
          <t>COVINGTON</t>
        </is>
      </c>
    </row>
    <row r="14" ht="15" customHeight="1" s="62">
      <c r="A14" s="108" t="inlineStr">
        <is>
          <t>054-14-02-002.05</t>
        </is>
      </c>
      <c r="B14" s="108" t="inlineStr">
        <is>
          <t>220 MADISON AVE</t>
        </is>
      </c>
      <c r="C14" s="108" t="inlineStr">
        <is>
          <t>KENTON COUNTY</t>
        </is>
      </c>
      <c r="D14" s="108" t="inlineStr">
        <is>
          <t>PARKING GARAGE</t>
        </is>
      </c>
      <c r="E14" s="122" t="n">
        <v>50366</v>
      </c>
      <c r="F14" s="123">
        <f>E14/43560</f>
        <v/>
      </c>
      <c r="G14" s="108" t="inlineStr">
        <is>
          <t>COVINGTON</t>
        </is>
      </c>
    </row>
    <row r="15" ht="15" customHeight="1" s="62">
      <c r="A15" s="108" t="inlineStr">
        <is>
          <t>054-21-24-011.00</t>
        </is>
      </c>
      <c r="B15" s="108" t="inlineStr">
        <is>
          <t>710 WASHINGTON ST</t>
        </is>
      </c>
      <c r="C15" s="108" t="inlineStr">
        <is>
          <t>COVINGTON CITY OF</t>
        </is>
      </c>
      <c r="D15" s="108" t="inlineStr">
        <is>
          <t>RETAIL W/APARTMENTS</t>
        </is>
      </c>
      <c r="E15" s="122" t="n">
        <v>49399</v>
      </c>
      <c r="F15" s="123">
        <f>E15/43560</f>
        <v/>
      </c>
      <c r="G15" s="108" t="inlineStr">
        <is>
          <t>COVINGTON</t>
        </is>
      </c>
    </row>
    <row r="16" ht="15" customHeight="1" s="62">
      <c r="A16" s="108" t="inlineStr">
        <is>
          <t>054-23-05-014.01</t>
        </is>
      </c>
      <c r="B16" s="108" t="inlineStr">
        <is>
          <t>525 SCOTT ST</t>
        </is>
      </c>
      <c r="C16" s="108" t="inlineStr">
        <is>
          <t>COVINGTON CITY OF</t>
        </is>
      </c>
      <c r="D16" s="108" t="inlineStr">
        <is>
          <t>OFFICE TOWER - 3 STORY &amp; UP</t>
        </is>
      </c>
      <c r="E16" s="122" t="n">
        <v>39631</v>
      </c>
      <c r="F16" s="123">
        <f>E16/43560</f>
        <v/>
      </c>
      <c r="G16" s="108" t="inlineStr">
        <is>
          <t>COVINGTON</t>
        </is>
      </c>
    </row>
    <row r="17" ht="15" customHeight="1" s="62">
      <c r="A17" s="108" t="inlineStr">
        <is>
          <t>040-34-01-001.17</t>
        </is>
      </c>
      <c r="B17" s="108" t="inlineStr">
        <is>
          <t>201 CRESCENT AVE</t>
        </is>
      </c>
      <c r="C17" s="108" t="inlineStr">
        <is>
          <t>COVINGTON CITY OF</t>
        </is>
      </c>
      <c r="D17" s="108" t="inlineStr">
        <is>
          <t>PAVED LOT</t>
        </is>
      </c>
      <c r="E17" s="122" t="n">
        <v>38642</v>
      </c>
      <c r="F17" s="123">
        <f>E17/43560</f>
        <v/>
      </c>
      <c r="G17" s="108" t="inlineStr">
        <is>
          <t>COVINGTON</t>
        </is>
      </c>
    </row>
    <row r="18" ht="15" customHeight="1" s="62">
      <c r="A18" s="108" t="inlineStr">
        <is>
          <t>055-14-12-006.00</t>
        </is>
      </c>
      <c r="B18" s="108" t="inlineStr">
        <is>
          <t>1920 MICHAEL PARTIN CT</t>
        </is>
      </c>
      <c r="C18" s="108" t="inlineStr">
        <is>
          <t>COVINGTON CITY OF</t>
        </is>
      </c>
      <c r="D18" s="108" t="inlineStr">
        <is>
          <t>PAVED LOT</t>
        </is>
      </c>
      <c r="E18" s="122" t="n">
        <v>38577</v>
      </c>
      <c r="F18" s="123">
        <f>E18/43560</f>
        <v/>
      </c>
      <c r="G18" s="108" t="inlineStr">
        <is>
          <t>COVINGTON</t>
        </is>
      </c>
    </row>
    <row r="19" ht="15" customHeight="1" s="62">
      <c r="A19" s="108" t="inlineStr">
        <is>
          <t>055-21-06-007.00</t>
        </is>
      </c>
      <c r="B19" s="108" t="inlineStr">
        <is>
          <t>701 HIGHLAND AVE</t>
        </is>
      </c>
      <c r="C19" s="108" t="inlineStr">
        <is>
          <t>COVINGTON CITY OF</t>
        </is>
      </c>
      <c r="D19" s="108" t="inlineStr">
        <is>
          <t>LAND/W MISCELLANEOUS IMPROVEMENT</t>
        </is>
      </c>
      <c r="E19" s="122" t="n">
        <v>35446</v>
      </c>
      <c r="F19" s="123">
        <f>E19/43560</f>
        <v/>
      </c>
      <c r="G19" s="108" t="inlineStr">
        <is>
          <t>COVINGTON</t>
        </is>
      </c>
    </row>
    <row r="20" ht="15" customHeight="1" s="62">
      <c r="A20" s="108" t="inlineStr">
        <is>
          <t>055-32-15-007.00</t>
        </is>
      </c>
      <c r="B20" s="108" t="inlineStr">
        <is>
          <t>404 E 19TH ST</t>
        </is>
      </c>
      <c r="C20" s="108" t="inlineStr">
        <is>
          <t>COVINGTON INDEPENDENT SCHOOL</t>
        </is>
      </c>
      <c r="D20" s="108" t="inlineStr">
        <is>
          <t>LAND/W MISCELLANEOUS IMPROVEMENT</t>
        </is>
      </c>
      <c r="E20" s="122" t="n">
        <v>35060</v>
      </c>
      <c r="F20" s="123">
        <f>E20/43560</f>
        <v/>
      </c>
      <c r="G20" s="108" t="inlineStr">
        <is>
          <t>COVINGTON</t>
        </is>
      </c>
    </row>
    <row r="21" ht="15" customHeight="1" s="62">
      <c r="A21" s="108" t="inlineStr">
        <is>
          <t>054-12-03-001.05</t>
        </is>
      </c>
      <c r="B21" s="108" t="inlineStr">
        <is>
          <t>101 W 3RD ST</t>
        </is>
      </c>
      <c r="C21" s="108" t="inlineStr">
        <is>
          <t>COVINGTON CITY OF</t>
        </is>
      </c>
      <c r="D21" s="108" t="inlineStr">
        <is>
          <t>DAY CARE CENTER</t>
        </is>
      </c>
      <c r="E21" s="122" t="n">
        <v>34184</v>
      </c>
      <c r="F21" s="123">
        <f>E21/43560</f>
        <v/>
      </c>
      <c r="G21" s="108" t="inlineStr">
        <is>
          <t>COVINGTON</t>
        </is>
      </c>
    </row>
    <row r="22" ht="15" customHeight="1" s="62">
      <c r="A22" s="108" t="inlineStr">
        <is>
          <t>054-23-07-012.00</t>
        </is>
      </c>
      <c r="B22" s="108" t="inlineStr">
        <is>
          <t>27 E PIKE ST</t>
        </is>
      </c>
      <c r="C22" s="108" t="inlineStr">
        <is>
          <t>COVINGTON MOTOR VEHICLE</t>
        </is>
      </c>
      <c r="D22" s="108" t="inlineStr">
        <is>
          <t>PARKING GARAGE</t>
        </is>
      </c>
      <c r="E22" s="122" t="n">
        <v>31426</v>
      </c>
      <c r="F22" s="123">
        <f>E22/43560</f>
        <v/>
      </c>
      <c r="G22" s="108" t="inlineStr">
        <is>
          <t>COVINGTON</t>
        </is>
      </c>
    </row>
    <row r="23" ht="15" customHeight="1" s="62">
      <c r="A23" s="108" t="inlineStr">
        <is>
          <t>055-14-12-004.00</t>
        </is>
      </c>
      <c r="B23" s="108" t="inlineStr">
        <is>
          <t>1 POLICE MEMORIAL DR</t>
        </is>
      </c>
      <c r="C23" s="108" t="inlineStr">
        <is>
          <t>COVINGTON CITY OF</t>
        </is>
      </c>
      <c r="D23" s="108" t="inlineStr">
        <is>
          <t>OFFICE BLDG 1 OR 2 STORY</t>
        </is>
      </c>
      <c r="E23" s="122" t="n">
        <v>29643</v>
      </c>
      <c r="F23" s="123">
        <f>E23/43560</f>
        <v/>
      </c>
      <c r="G23" s="108" t="inlineStr">
        <is>
          <t>COVINGTON</t>
        </is>
      </c>
    </row>
    <row r="24" ht="15" customHeight="1" s="62">
      <c r="A24" s="108" t="inlineStr">
        <is>
          <t>054-23-25-017.00</t>
        </is>
      </c>
      <c r="B24" s="108" t="inlineStr">
        <is>
          <t>402 GARRARD ST</t>
        </is>
      </c>
      <c r="C24" s="108" t="inlineStr">
        <is>
          <t>COMMONWEALTH OF KY</t>
        </is>
      </c>
      <c r="D24" s="108" t="inlineStr">
        <is>
          <t>PAVED LOT</t>
        </is>
      </c>
      <c r="E24" s="122" t="n">
        <v>29618</v>
      </c>
      <c r="F24" s="123">
        <f>E24/43560</f>
        <v/>
      </c>
      <c r="G24" s="108" t="inlineStr">
        <is>
          <t>FRANKFORT</t>
        </is>
      </c>
    </row>
    <row r="25" ht="15" customHeight="1" s="62">
      <c r="A25" s="108" t="inlineStr">
        <is>
          <t>059-30-00-121.00</t>
        </is>
      </c>
      <c r="B25" s="108" t="inlineStr">
        <is>
          <t>5885 TAYLOR MILL RD</t>
        </is>
      </c>
      <c r="C25" s="108" t="inlineStr">
        <is>
          <t>KENTON COUNTY</t>
        </is>
      </c>
      <c r="D25" s="108" t="inlineStr">
        <is>
          <t>LAND/W MISCELLANEOUS IMPROVEMENT</t>
        </is>
      </c>
      <c r="E25" s="122" t="n">
        <v>28800</v>
      </c>
      <c r="F25" s="123">
        <f>E25/43560</f>
        <v/>
      </c>
      <c r="G25" s="108" t="inlineStr">
        <is>
          <t>COVINGTON</t>
        </is>
      </c>
    </row>
    <row r="26" ht="15" customHeight="1" s="62">
      <c r="A26" s="108" t="inlineStr">
        <is>
          <t>055-23-17-008.00</t>
        </is>
      </c>
      <c r="B26" s="108" t="inlineStr">
        <is>
          <t>2300 MADISON AVE</t>
        </is>
      </c>
      <c r="C26" s="108" t="inlineStr">
        <is>
          <t>HOUSING AUTHORITY OF COVINGTON</t>
        </is>
      </c>
      <c r="D26" s="108" t="inlineStr">
        <is>
          <t>OFFICE BLDG 1 OR 2 STORY</t>
        </is>
      </c>
      <c r="E26" s="122" t="n">
        <v>27347</v>
      </c>
      <c r="F26" s="123">
        <f>E26/43560</f>
        <v/>
      </c>
      <c r="G26" s="108" t="inlineStr">
        <is>
          <t>COVINGTON</t>
        </is>
      </c>
    </row>
    <row r="27" ht="15" customHeight="1" s="62">
      <c r="A27" s="108" t="inlineStr">
        <is>
          <t>054-23-05-007.00</t>
        </is>
      </c>
      <c r="B27" s="108" t="inlineStr">
        <is>
          <t>25 E 5TH ST</t>
        </is>
      </c>
      <c r="C27" s="108" t="inlineStr">
        <is>
          <t>COVINGTON MOTOR VEHICLE</t>
        </is>
      </c>
      <c r="D27" s="108" t="inlineStr">
        <is>
          <t>PARKING GARAGE</t>
        </is>
      </c>
      <c r="E27" s="122" t="n">
        <v>25374</v>
      </c>
      <c r="F27" s="123">
        <f>E27/43560</f>
        <v/>
      </c>
      <c r="G27" s="108" t="inlineStr">
        <is>
          <t>COVINGTON</t>
        </is>
      </c>
    </row>
    <row r="28" ht="15" customHeight="1" s="62">
      <c r="A28" s="108" t="inlineStr">
        <is>
          <t>054-23-09-002.00</t>
        </is>
      </c>
      <c r="B28" s="108" t="inlineStr">
        <is>
          <t>17 E 8TH ST</t>
        </is>
      </c>
      <c r="C28" s="108" t="inlineStr">
        <is>
          <t>COVINGTON MOTOR VEHICLE</t>
        </is>
      </c>
      <c r="D28" s="108" t="inlineStr">
        <is>
          <t>PAVED LOT</t>
        </is>
      </c>
      <c r="E28" s="122" t="n">
        <v>24950</v>
      </c>
      <c r="F28" s="123">
        <f>E28/43560</f>
        <v/>
      </c>
      <c r="G28" s="108" t="inlineStr">
        <is>
          <t>COVINGTON</t>
        </is>
      </c>
    </row>
    <row r="29" ht="15" customHeight="1" s="62">
      <c r="A29" s="108" t="inlineStr">
        <is>
          <t>055-13-09-035.00</t>
        </is>
      </c>
      <c r="B29" s="108" t="inlineStr">
        <is>
          <t>1524 MADISON AVE</t>
        </is>
      </c>
      <c r="C29" s="108" t="inlineStr">
        <is>
          <t>BOARD OF TRUSTEES OF MADISON</t>
        </is>
      </c>
      <c r="D29" s="108" t="inlineStr">
        <is>
          <t>PAVED LOT</t>
        </is>
      </c>
      <c r="E29" s="122" t="n">
        <v>24780</v>
      </c>
      <c r="F29" s="123">
        <f>E29/43560</f>
        <v/>
      </c>
      <c r="G29" s="108" t="inlineStr">
        <is>
          <t>COVINGTON</t>
        </is>
      </c>
    </row>
    <row r="30" ht="15" customHeight="1" s="62">
      <c r="A30" s="108" t="inlineStr">
        <is>
          <t>055-11-14-001.00</t>
        </is>
      </c>
      <c r="B30" s="108" t="inlineStr">
        <is>
          <t>436 W 13TH ST</t>
        </is>
      </c>
      <c r="C30" s="108" t="inlineStr">
        <is>
          <t>KENTON COUNTY</t>
        </is>
      </c>
      <c r="D30" s="108" t="inlineStr">
        <is>
          <t>OFFICE BLDG 1 OR 2 STORY</t>
        </is>
      </c>
      <c r="E30" s="122" t="n">
        <v>24234</v>
      </c>
      <c r="F30" s="123">
        <f>E30/43560</f>
        <v/>
      </c>
      <c r="G30" s="108" t="inlineStr">
        <is>
          <t>COVINGTON</t>
        </is>
      </c>
    </row>
    <row r="31" ht="15" customHeight="1" s="62">
      <c r="A31" s="108" t="inlineStr">
        <is>
          <t>056-41-04-048.00</t>
        </is>
      </c>
      <c r="B31" s="108" t="inlineStr">
        <is>
          <t>E 43RD ST</t>
        </is>
      </c>
      <c r="C31" s="108" t="inlineStr">
        <is>
          <t>COVINGTON CITY OF</t>
        </is>
      </c>
      <c r="D31" s="108" t="inlineStr">
        <is>
          <t>LAND/W MISCELLANEOUS IMPROVEMENT</t>
        </is>
      </c>
      <c r="E31" s="122" t="n">
        <v>24051</v>
      </c>
      <c r="F31" s="123">
        <f>E31/43560</f>
        <v/>
      </c>
      <c r="G31" s="108" t="inlineStr">
        <is>
          <t>COVINGTON</t>
        </is>
      </c>
    </row>
    <row r="32" ht="15" customHeight="1" s="62">
      <c r="A32" s="108" t="inlineStr">
        <is>
          <t>054-42-14-004.00</t>
        </is>
      </c>
      <c r="B32" s="108" t="inlineStr">
        <is>
          <t>1220 MARYLAND AVE</t>
        </is>
      </c>
      <c r="C32" s="108" t="inlineStr">
        <is>
          <t>COVINGTON CITY OF</t>
        </is>
      </c>
      <c r="D32" s="108" t="inlineStr">
        <is>
          <t>LAND/W MISCELLANEOUS IMPROVEMENT</t>
        </is>
      </c>
      <c r="E32" s="122" t="n">
        <v>22303</v>
      </c>
      <c r="F32" s="123">
        <f>E32/43560</f>
        <v/>
      </c>
      <c r="G32" s="108" t="inlineStr">
        <is>
          <t>COVINGTON</t>
        </is>
      </c>
    </row>
    <row r="33" ht="15" customHeight="1" s="62">
      <c r="A33" s="108" t="inlineStr">
        <is>
          <t>040-34-03-003.00</t>
        </is>
      </c>
      <c r="B33" s="108" t="inlineStr">
        <is>
          <t>669 W 3RD ST</t>
        </is>
      </c>
      <c r="C33" s="108" t="inlineStr">
        <is>
          <t>COMMONWEALTH OF KY</t>
        </is>
      </c>
      <c r="D33" s="108" t="inlineStr">
        <is>
          <t>PAVED LOT</t>
        </is>
      </c>
      <c r="E33" s="122" t="n">
        <v>21909</v>
      </c>
      <c r="F33" s="123">
        <f>E33/43560</f>
        <v/>
      </c>
      <c r="G33" s="108" t="inlineStr">
        <is>
          <t>FRANKFORT</t>
        </is>
      </c>
    </row>
    <row r="34" ht="15" customHeight="1" s="62">
      <c r="A34" s="108" t="inlineStr">
        <is>
          <t>054-23-08-002.00</t>
        </is>
      </c>
      <c r="B34" s="108" t="inlineStr">
        <is>
          <t>15 E 7TH ST</t>
        </is>
      </c>
      <c r="C34" s="108" t="inlineStr">
        <is>
          <t>COVINGTON MOTOR VEHICLE</t>
        </is>
      </c>
      <c r="D34" s="108" t="inlineStr">
        <is>
          <t>PAVED LOT</t>
        </is>
      </c>
      <c r="E34" s="122" t="n">
        <v>19300</v>
      </c>
      <c r="F34" s="123">
        <f>E34/43560</f>
        <v/>
      </c>
      <c r="G34" s="108" t="inlineStr">
        <is>
          <t>COVINGTON</t>
        </is>
      </c>
    </row>
    <row r="35" ht="15" customHeight="1" s="62">
      <c r="A35" s="108" t="inlineStr">
        <is>
          <t>054-23-04-001.00</t>
        </is>
      </c>
      <c r="B35" s="108" t="inlineStr">
        <is>
          <t>404 MADISON AVE</t>
        </is>
      </c>
      <c r="C35" s="108" t="inlineStr">
        <is>
          <t>CENTRAL TRUST OF KENTON COUNTY</t>
        </is>
      </c>
      <c r="D35" s="108" t="inlineStr">
        <is>
          <t>FULL SERVICE BANK</t>
        </is>
      </c>
      <c r="E35" s="122" t="n">
        <v>18050</v>
      </c>
      <c r="F35" s="123">
        <f>E35/43560</f>
        <v/>
      </c>
      <c r="G35" s="108" t="inlineStr">
        <is>
          <t>AURORA</t>
        </is>
      </c>
    </row>
    <row r="36" ht="15" customHeight="1" s="62">
      <c r="A36" s="108" t="inlineStr">
        <is>
          <t>054-23-10-003.00</t>
        </is>
      </c>
      <c r="B36" s="108" t="inlineStr">
        <is>
          <t>22 E 9TH ST</t>
        </is>
      </c>
      <c r="C36" s="108" t="inlineStr">
        <is>
          <t>COVINGTON MOTOR VEHICLE</t>
        </is>
      </c>
      <c r="D36" s="108" t="inlineStr">
        <is>
          <t>PAVED LOT</t>
        </is>
      </c>
      <c r="E36" s="122" t="n">
        <v>17385</v>
      </c>
      <c r="F36" s="123">
        <f>E36/43560</f>
        <v/>
      </c>
      <c r="G36" s="108" t="inlineStr">
        <is>
          <t>COVINGTON</t>
        </is>
      </c>
    </row>
    <row r="37" ht="15" customHeight="1" s="62">
      <c r="A37" s="108" t="inlineStr">
        <is>
          <t>040-34-02-012.00</t>
        </is>
      </c>
      <c r="B37" s="108" t="inlineStr">
        <is>
          <t>W 2ND ST</t>
        </is>
      </c>
      <c r="C37" s="108" t="inlineStr">
        <is>
          <t>COVINGTON CITY OF</t>
        </is>
      </c>
      <c r="D37" s="108" t="inlineStr">
        <is>
          <t>PAVED LOT</t>
        </is>
      </c>
      <c r="E37" s="122" t="n">
        <v>14864</v>
      </c>
      <c r="F37" s="123">
        <f>E37/43560</f>
        <v/>
      </c>
      <c r="G37" s="108" t="inlineStr">
        <is>
          <t>COVINGTON</t>
        </is>
      </c>
    </row>
    <row r="38" ht="15" customHeight="1" s="62">
      <c r="A38" s="108" t="inlineStr">
        <is>
          <t>040-34-03-002.00</t>
        </is>
      </c>
      <c r="B38" s="108" t="inlineStr">
        <is>
          <t>673 W 3RD ST</t>
        </is>
      </c>
      <c r="C38" s="108" t="inlineStr">
        <is>
          <t>COMMONWEALTH OF KY</t>
        </is>
      </c>
      <c r="D38" s="108" t="inlineStr">
        <is>
          <t>PAVED LOT</t>
        </is>
      </c>
      <c r="E38" s="122" t="n">
        <v>13279</v>
      </c>
      <c r="F38" s="123">
        <f>E38/43560</f>
        <v/>
      </c>
      <c r="G38" s="108" t="inlineStr">
        <is>
          <t>FRANKFORT</t>
        </is>
      </c>
    </row>
    <row r="39" ht="15" customHeight="1" s="62">
      <c r="A39" s="108" t="inlineStr">
        <is>
          <t>055-14-14-034.00</t>
        </is>
      </c>
      <c r="B39" s="108" t="inlineStr">
        <is>
          <t>2013 MADISON AVE</t>
        </is>
      </c>
      <c r="C39" s="108" t="inlineStr">
        <is>
          <t>COVINGTON CITY OF</t>
        </is>
      </c>
      <c r="D39" s="108" t="inlineStr">
        <is>
          <t>PAVED LOT</t>
        </is>
      </c>
      <c r="E39" s="122" t="n">
        <v>13150</v>
      </c>
      <c r="F39" s="123">
        <f>E39/43560</f>
        <v/>
      </c>
      <c r="G39" s="108" t="inlineStr">
        <is>
          <t>COVINGTON</t>
        </is>
      </c>
    </row>
    <row r="40" ht="15" customHeight="1" s="62">
      <c r="A40" s="108" t="inlineStr">
        <is>
          <t>054-21-17-009.00</t>
        </is>
      </c>
      <c r="B40" s="108" t="inlineStr">
        <is>
          <t>425 MADISON AVE</t>
        </is>
      </c>
      <c r="C40" s="108" t="inlineStr">
        <is>
          <t>COVINGTON MOTOR VEHICLE</t>
        </is>
      </c>
      <c r="D40" s="108" t="inlineStr">
        <is>
          <t>PAVED LOT</t>
        </is>
      </c>
      <c r="E40" s="122" t="n">
        <v>12350</v>
      </c>
      <c r="F40" s="123">
        <f>E40/43560</f>
        <v/>
      </c>
      <c r="G40" s="108" t="inlineStr">
        <is>
          <t>COVINGTON</t>
        </is>
      </c>
    </row>
    <row r="41" ht="15" customHeight="1" s="62">
      <c r="A41" s="108" t="inlineStr">
        <is>
          <t>054-21-24-005.00</t>
        </is>
      </c>
      <c r="B41" s="108" t="inlineStr">
        <is>
          <t>20 W 8TH ST</t>
        </is>
      </c>
      <c r="C41" s="108" t="inlineStr">
        <is>
          <t>COVINGTON MOTOR VEHICLE</t>
        </is>
      </c>
      <c r="D41" s="108" t="inlineStr">
        <is>
          <t>PAVED LOT</t>
        </is>
      </c>
      <c r="E41" s="122" t="n">
        <v>11244</v>
      </c>
      <c r="F41" s="123">
        <f>E41/43560</f>
        <v/>
      </c>
      <c r="G41" s="108" t="inlineStr">
        <is>
          <t>COVINGTON</t>
        </is>
      </c>
    </row>
    <row r="42" ht="15" customHeight="1" s="62">
      <c r="A42" s="108" t="inlineStr">
        <is>
          <t>054-23-11-002.00</t>
        </is>
      </c>
      <c r="B42" s="108" t="inlineStr">
        <is>
          <t>103 E 4TH ST</t>
        </is>
      </c>
      <c r="C42" s="108" t="inlineStr">
        <is>
          <t>COVINGTON CITY OF</t>
        </is>
      </c>
      <c r="D42" s="108" t="inlineStr">
        <is>
          <t>OFFICE TOWER - 3 STORY &amp; UP</t>
        </is>
      </c>
      <c r="E42" s="122" t="n">
        <v>10925</v>
      </c>
      <c r="F42" s="123">
        <f>E42/43560</f>
        <v/>
      </c>
      <c r="G42" s="108" t="inlineStr">
        <is>
          <t>COVINGTON</t>
        </is>
      </c>
    </row>
    <row r="43" ht="15" customHeight="1" s="62">
      <c r="A43" s="108" t="inlineStr">
        <is>
          <t>054-23-08-014.00</t>
        </is>
      </c>
      <c r="B43" s="108" t="inlineStr">
        <is>
          <t>16 E 8TH ST</t>
        </is>
      </c>
      <c r="C43" s="108" t="inlineStr">
        <is>
          <t>COVINGTON MOTOR VEHICLE</t>
        </is>
      </c>
      <c r="D43" s="108" t="inlineStr">
        <is>
          <t>PAVED LOT</t>
        </is>
      </c>
      <c r="E43" s="122" t="n">
        <v>9650</v>
      </c>
      <c r="F43" s="123">
        <f>E43/43560</f>
        <v/>
      </c>
      <c r="G43" s="108" t="inlineStr">
        <is>
          <t>COVINGTON</t>
        </is>
      </c>
    </row>
    <row r="44" ht="15" customHeight="1" s="62">
      <c r="A44" s="108" t="inlineStr">
        <is>
          <t>055-13-07-014.00</t>
        </is>
      </c>
      <c r="B44" s="108" t="inlineStr">
        <is>
          <t>1310 WOOD ST</t>
        </is>
      </c>
      <c r="C44" s="108" t="inlineStr">
        <is>
          <t>COVINGTON CITY OF</t>
        </is>
      </c>
      <c r="D44" s="108" t="inlineStr">
        <is>
          <t>PAVED LOT</t>
        </is>
      </c>
      <c r="E44" s="122" t="n">
        <v>9507</v>
      </c>
      <c r="F44" s="123">
        <f>E44/43560</f>
        <v/>
      </c>
      <c r="G44" s="108" t="inlineStr">
        <is>
          <t>COVINGTON</t>
        </is>
      </c>
    </row>
  </sheetData>
  <mergeCells count="1"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2026-08-02T05:12:37Z</dcterms:created>
  <dcterms:modified xmlns:dcterms="http://purl.org/dc/terms/" xmlns:xsi="http://www.w3.org/2001/XMLSchema-instance" xsi:type="dcterms:W3CDTF">2026-08-03T06:16:08Z</dcterms:modified>
  <cp:revision>0</cp:revision>
</cp:coreProperties>
</file>